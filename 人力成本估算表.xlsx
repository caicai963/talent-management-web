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media/image4.svg" ContentType="image/sv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WlWtbO6F7pMJkDYzJ+iZAbg8wFKf3r3JwpAGOccbgIm7DollL/GEBiiL1pNVorYlV08zPhSCp3+qW9VxkbkeAQ==" workbookSaltValue="v+XI6xxiH55YJepnaVJ1eg==" workbookSpinCount="100000" lockStructure="1"/>
  <bookViews>
    <workbookView windowWidth="28800" windowHeight="12375" tabRatio="867" firstSheet="3" activeTab="5"/>
  </bookViews>
  <sheets>
    <sheet name="【国内】特殊&amp;小众用户招募-数据源" sheetId="11" state="hidden" r:id="rId1"/>
    <sheet name="24&amp;25年渠道人力对比" sheetId="36" state="hidden" r:id="rId2"/>
    <sheet name="【国内】问卷调研-数据源（P3单独执行） " sheetId="32" state="hidden" r:id="rId3"/>
    <sheet name="【注】使用说明&amp;目录" sheetId="22" r:id="rId4"/>
    <sheet name="成本估算" sheetId="28" state="hidden" r:id="rId5"/>
    <sheet name="①【国内】研究资源成本估算 (v1.0)" sheetId="18" r:id="rId6"/>
    <sheet name="【国内】用户招募成本估算（完整版）" sheetId="6" state="hidden" r:id="rId7"/>
    <sheet name="【国内】问卷调研-数据源（OP单独执行） " sheetId="34" state="hidden" r:id="rId8"/>
    <sheet name="【国内】问卷调研-数据源（混合执行）  (2)" sheetId="33" state="hidden" r:id="rId9"/>
    <sheet name="【国内】问卷投放成本估算（完整版）" sheetId="13" state="hidden" r:id="rId10"/>
    <sheet name="【全球】CAA测试-数据源" sheetId="16" state="hidden" r:id="rId11"/>
    <sheet name="②【海外】研究资源成本估算 (v1.0)" sheetId="15" r:id="rId12"/>
    <sheet name="【海外】用户招募-数据源" sheetId="24" state="hidden" r:id="rId13"/>
    <sheet name="【国内】常规用户招募-数据源 （正职）" sheetId="30" state="hidden" r:id="rId14"/>
    <sheet name="【国内】保密性导量测试-数据源" sheetId="17" state="hidden" r:id="rId15"/>
    <sheet name="【国内】常规用户招募-数据源(正职+OP混合执行）" sheetId="7" state="hidden" r:id="rId16"/>
    <sheet name="【国内】常规用户招募-数据源 (OP)" sheetId="29" state="hidden" r:id="rId17"/>
    <sheet name="【国内】兼职人力-数据源" sheetId="19" state="hidden" r:id="rId18"/>
    <sheet name="【海外】问卷调研-数据源" sheetId="21" state="hidden" r:id="rId19"/>
    <sheet name="【海外】问卷投放成本估算（完整版）" sheetId="25" state="hidden" r:id="rId20"/>
    <sheet name="③【国内】常规用户招募-难度等级评估" sheetId="27" r:id="rId21"/>
    <sheet name="④【国内】特殊&amp;小众用户招募-难度等级评估" sheetId="10" r:id="rId22"/>
    <sheet name="⑤【国内】问卷调研-难度等级评估" sheetId="12" state="hidden" r:id="rId23"/>
    <sheet name="⑥【概览】发包相关费用标准" sheetId="26" r:id="rId24"/>
  </sheets>
  <definedNames>
    <definedName name="_xlnm._FilterDatabase" localSheetId="9" hidden="1">'【国内】问卷投放成本估算（完整版）'!$A$1:$K$129</definedName>
    <definedName name="_xlnm._FilterDatabase" localSheetId="11" hidden="1">'②【海外】研究资源成本估算 (v1.0)'!$A$5:$T$19</definedName>
    <definedName name="_xlnm._FilterDatabase" localSheetId="6" hidden="1">'【国内】用户招募成本估算（完整版）'!$A$3:$M$8</definedName>
    <definedName name="_xlnm._FilterDatabase" localSheetId="19" hidden="1">'【海外】问卷投放成本估算（完整版）'!$A$3:$I$11</definedName>
    <definedName name="_xlnm._FilterDatabase" localSheetId="5" hidden="1">'①【国内】研究资源成本估算 (v1.0)'!$A$6:$X$7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<sst xmlns="http://schemas.openxmlformats.org/spreadsheetml/2006/main" count="4172" uniqueCount="611">
  <si>
    <t>特殊用户数据源</t>
  </si>
  <si>
    <t>一级难度</t>
  </si>
  <si>
    <t>已知成本</t>
  </si>
  <si>
    <t>二级难度</t>
  </si>
  <si>
    <t>三级难度</t>
  </si>
  <si>
    <t>四级难度</t>
  </si>
  <si>
    <t>市场价：1100</t>
  </si>
  <si>
    <t>样本数</t>
  </si>
  <si>
    <t>P5</t>
  </si>
  <si>
    <t>P3</t>
  </si>
  <si>
    <t>OP</t>
  </si>
  <si>
    <t>实习</t>
  </si>
  <si>
    <t>线下礼金</t>
  </si>
  <si>
    <t>2小时及以内玩家礼金</t>
  </si>
  <si>
    <t>每增加0.5小时，礼金+200</t>
  </si>
  <si>
    <t>每增加0.5小时，礼金+250</t>
  </si>
  <si>
    <t>每增加0.5小时，礼金+300</t>
  </si>
  <si>
    <t>线上礼金</t>
  </si>
  <si>
    <t>每增加0.5小时，礼金+70</t>
  </si>
  <si>
    <t>每增加0.5小时，礼金+100</t>
  </si>
  <si>
    <t>每增加0.5小时，礼金+120</t>
  </si>
  <si>
    <t>每增加0.5小时，礼金+150</t>
  </si>
  <si>
    <t>小众用户数据源</t>
  </si>
  <si>
    <t>每增加0.5小时，礼金+115</t>
  </si>
  <si>
    <t>每增加0.5小时，礼金+90</t>
  </si>
  <si>
    <r>
      <rPr>
        <b/>
        <sz val="18"/>
        <color theme="0"/>
        <rFont val="微软雅黑"/>
        <charset val="134"/>
      </rPr>
      <t xml:space="preserve">招募
</t>
    </r>
    <r>
      <rPr>
        <sz val="10"/>
        <color theme="0"/>
        <rFont val="微软雅黑"/>
        <charset val="134"/>
      </rPr>
      <t>2H以内：2H以上的系数=0.8
国内常规用户难度递增系数：1.2
线上：线下系数=0.8
常规用户-特殊用户难度递增系数=1.64</t>
    </r>
  </si>
  <si>
    <t>国内线下</t>
  </si>
  <si>
    <t>变量范围</t>
  </si>
  <si>
    <t>上半年</t>
  </si>
  <si>
    <t>下半年</t>
  </si>
  <si>
    <t>P3单独执行</t>
  </si>
  <si>
    <t>25年预计定价</t>
  </si>
  <si>
    <t>25年实际定价</t>
  </si>
  <si>
    <t>市场价</t>
  </si>
  <si>
    <t>国内线上</t>
  </si>
  <si>
    <t>24年实际人力</t>
  </si>
  <si>
    <t>24年实际人力
线上访谈</t>
  </si>
  <si>
    <t>24年实际人力
线上测试</t>
  </si>
  <si>
    <t>常规一级</t>
  </si>
  <si>
    <t>2H以内</t>
  </si>
  <si>
    <t>2H以上</t>
  </si>
  <si>
    <t>常规二级</t>
  </si>
  <si>
    <t>常规三级</t>
  </si>
  <si>
    <t>常规四级</t>
  </si>
  <si>
    <t>常规五级</t>
  </si>
  <si>
    <t>特殊-一级</t>
  </si>
  <si>
    <t>特殊二级</t>
  </si>
  <si>
    <t>特殊三级</t>
  </si>
  <si>
    <t>特殊-四级</t>
  </si>
  <si>
    <t>小众-一级</t>
  </si>
  <si>
    <t>小众-二级</t>
  </si>
  <si>
    <t>小众-三级</t>
  </si>
  <si>
    <t>小众-四级</t>
  </si>
  <si>
    <t>海外线下</t>
  </si>
  <si>
    <t>海外线上</t>
  </si>
  <si>
    <t>海外常规-简单</t>
  </si>
  <si>
    <t>海外常规-中等</t>
  </si>
  <si>
    <t>海外常规-困难</t>
  </si>
  <si>
    <t>海外常规-所有（除去供应商）</t>
  </si>
  <si>
    <t>平均值</t>
  </si>
  <si>
    <r>
      <rPr>
        <b/>
        <sz val="18"/>
        <color theme="0"/>
        <rFont val="微软雅黑"/>
        <charset val="134"/>
      </rPr>
      <t xml:space="preserve">问卷
</t>
    </r>
    <r>
      <rPr>
        <sz val="10"/>
        <color theme="0"/>
        <rFont val="微软雅黑"/>
        <charset val="134"/>
      </rPr>
      <t>1.海外平台单价上涨，总单价与24年持平的情况下，人力定价有所下浮
2.国内投放新增渠道系数，若只使用支付宝渠道投放，当投放份数小于500，则X=（800-投放份数）/1000，若投放分数大于500份，X=0.3；若只用单抖音投放，则系数=0.6</t>
    </r>
  </si>
  <si>
    <t>国内问卷</t>
  </si>
  <si>
    <t>2024年</t>
  </si>
  <si>
    <t>25年（KOL+玩家群渠道定价)</t>
  </si>
  <si>
    <t>25年实际定价-单支付宝</t>
  </si>
  <si>
    <t>25年实际定价-单抖音</t>
  </si>
  <si>
    <t>2025年混合报价（混合渠道50%，支付宝渠道45%，抖音渠道5%）</t>
  </si>
  <si>
    <t>外部市场价</t>
  </si>
  <si>
    <t>海外</t>
  </si>
  <si>
    <t>P3独立执行</t>
  </si>
  <si>
    <t>OP独立执行</t>
  </si>
  <si>
    <t>支付宝渠道人力</t>
  </si>
  <si>
    <t>抖音渠道人力</t>
  </si>
  <si>
    <t>24年的实际投放成本</t>
  </si>
  <si>
    <t>一级</t>
  </si>
  <si>
    <t>二级</t>
  </si>
  <si>
    <t>泛用户</t>
  </si>
  <si>
    <t>三级</t>
  </si>
  <si>
    <t>定向用户</t>
  </si>
  <si>
    <t>四级</t>
  </si>
  <si>
    <t>五级</t>
  </si>
  <si>
    <t>六级</t>
  </si>
  <si>
    <r>
      <rPr>
        <b/>
        <sz val="18"/>
        <color theme="0"/>
        <rFont val="微软雅黑"/>
        <charset val="134"/>
      </rPr>
      <t xml:space="preserve">CAA投放
</t>
    </r>
    <r>
      <rPr>
        <sz val="10"/>
        <color theme="0"/>
        <rFont val="微软雅黑"/>
        <charset val="134"/>
      </rPr>
      <t>1.若CAA测试不包含报告输出，则人力-0.8~1.0
2.5张以下人力一致
3.24年数据默认包含报告输出（OP人力/基础5张）+24年实际人力</t>
    </r>
  </si>
  <si>
    <t>CAA投放</t>
  </si>
  <si>
    <t>24年实际人力单价</t>
  </si>
  <si>
    <t>24年包含报告输出单价</t>
  </si>
  <si>
    <t>25年定价均价</t>
  </si>
  <si>
    <t>中国</t>
  </si>
  <si>
    <t>日本</t>
  </si>
  <si>
    <t>美国</t>
  </si>
  <si>
    <t>港澳台</t>
  </si>
  <si>
    <t>人群难度</t>
  </si>
  <si>
    <t>问卷难度</t>
  </si>
  <si>
    <t>20题以内</t>
  </si>
  <si>
    <t>21~30题</t>
  </si>
  <si>
    <t>31~40题</t>
  </si>
  <si>
    <t>41~50题</t>
  </si>
  <si>
    <t>51~60</t>
  </si>
  <si>
    <t>61~70</t>
  </si>
  <si>
    <t>71~80</t>
  </si>
  <si>
    <t>单价</t>
  </si>
  <si>
    <t>份数</t>
  </si>
  <si>
    <t>P4</t>
  </si>
  <si>
    <t>实习生</t>
  </si>
  <si>
    <t>成本</t>
  </si>
  <si>
    <t>上限</t>
  </si>
  <si>
    <t>100份及以下</t>
  </si>
  <si>
    <t>101~200份</t>
  </si>
  <si>
    <t>201~300份</t>
  </si>
  <si>
    <t>301~500份</t>
  </si>
  <si>
    <t>501~700份</t>
  </si>
  <si>
    <t>701~900份</t>
  </si>
  <si>
    <t>901~1000份</t>
  </si>
  <si>
    <t>1001~1200份</t>
  </si>
  <si>
    <t>1201~1400份</t>
  </si>
  <si>
    <t>1401~1600份</t>
  </si>
  <si>
    <t>1601~1800份</t>
  </si>
  <si>
    <t>1801~2000份</t>
  </si>
  <si>
    <t>2001~2200份</t>
  </si>
  <si>
    <t>2201~2400份</t>
  </si>
  <si>
    <t>2401~2600份</t>
  </si>
  <si>
    <t>2601~2800份</t>
  </si>
  <si>
    <t>2801~3000份</t>
  </si>
  <si>
    <t>五级难度</t>
  </si>
  <si>
    <t>六级难度</t>
  </si>
  <si>
    <t>【UX】研究资源成本估算工具v1.0</t>
  </si>
  <si>
    <t>一、使用说明</t>
  </si>
  <si>
    <r>
      <rPr>
        <sz val="10"/>
        <color theme="1"/>
        <rFont val="微软雅黑"/>
        <charset val="134"/>
      </rPr>
      <t>1. 此工具用于对</t>
    </r>
    <r>
      <rPr>
        <b/>
        <sz val="10"/>
        <color theme="1"/>
        <rFont val="微软雅黑"/>
        <charset val="134"/>
      </rPr>
      <t>“UX研究资源”</t>
    </r>
    <r>
      <rPr>
        <sz val="10"/>
        <color theme="1"/>
        <rFont val="微软雅黑"/>
        <charset val="134"/>
      </rPr>
      <t>的使用成本进行标准化估算，成本结构包含</t>
    </r>
    <r>
      <rPr>
        <b/>
        <sz val="10"/>
        <color theme="1"/>
        <rFont val="微软雅黑"/>
        <charset val="134"/>
      </rPr>
      <t>“资源中台人力+发包相关费用”</t>
    </r>
    <r>
      <rPr>
        <sz val="10"/>
        <color theme="1"/>
        <rFont val="微软雅黑"/>
        <charset val="134"/>
      </rPr>
      <t>；
2. 前台可根据产品的研究需求，在对应的资源模块下进行</t>
    </r>
    <r>
      <rPr>
        <b/>
        <sz val="10"/>
        <color theme="1"/>
        <rFont val="微软雅黑"/>
        <charset val="134"/>
      </rPr>
      <t>变量配置</t>
    </r>
    <r>
      <rPr>
        <sz val="10"/>
        <color theme="1"/>
        <rFont val="微软雅黑"/>
        <charset val="134"/>
      </rPr>
      <t>，从而会自动得出成本估算结果；
3. 会能够更精准的估算资源成本，以及对资源做精细化运营，此表对部分资源增加了</t>
    </r>
    <r>
      <rPr>
        <b/>
        <sz val="10"/>
        <color theme="1"/>
        <rFont val="微软雅黑"/>
        <charset val="134"/>
      </rPr>
      <t>“难度等级”</t>
    </r>
    <r>
      <rPr>
        <sz val="10"/>
        <color theme="1"/>
        <rFont val="微软雅黑"/>
        <charset val="134"/>
      </rPr>
      <t>判定，可跳转难度等级页查看定义标准；
4. 当前可能会出现需求场景未穷尽情况，若自身需求无法在表中匹配，则可联系资源中台进行人工评估</t>
    </r>
    <r>
      <rPr>
        <sz val="10"/>
        <color theme="1" tint="0.499984740745262"/>
        <rFont val="微软雅黑"/>
        <charset val="134"/>
      </rPr>
      <t>（xiexin@corp.netease.com）</t>
    </r>
    <r>
      <rPr>
        <sz val="10"/>
        <color theme="1"/>
        <rFont val="微软雅黑"/>
        <charset val="134"/>
      </rPr>
      <t xml:space="preserve">；
</t>
    </r>
    <r>
      <rPr>
        <b/>
        <sz val="10"/>
        <color rgb="FFC00000"/>
        <rFont val="微软雅黑"/>
        <charset val="134"/>
      </rPr>
      <t>【注】</t>
    </r>
    <r>
      <rPr>
        <sz val="10"/>
        <color theme="1"/>
        <rFont val="微软雅黑"/>
        <charset val="134"/>
      </rPr>
      <t>预估成本可作为项目预算的前置评估参考，实际成本建议与资源中台进行二次确认。</t>
    </r>
  </si>
  <si>
    <t>二、目录</t>
  </si>
  <si>
    <t>①</t>
  </si>
  <si>
    <t>【国内】研究资源成本估算</t>
  </si>
  <si>
    <t>②</t>
  </si>
  <si>
    <t>【海外】研究资源成本估算</t>
  </si>
  <si>
    <t>③</t>
  </si>
  <si>
    <t>【国内】常规用户招募-难度等级评估</t>
  </si>
  <si>
    <t>④</t>
  </si>
  <si>
    <t>【国内】特殊&amp;小众用户招募-难度等级评估</t>
  </si>
  <si>
    <t>⑤</t>
  </si>
  <si>
    <t>【国内】问卷调研-难度等级评估</t>
  </si>
  <si>
    <t>⑥</t>
  </si>
  <si>
    <t>【概览】发包相关费用标准</t>
  </si>
  <si>
    <t>国内</t>
  </si>
  <si>
    <t>点击返回【使用说明&amp;目录】</t>
  </si>
  <si>
    <r>
      <rPr>
        <b/>
        <sz val="16"/>
        <color theme="0"/>
        <rFont val="微软雅黑"/>
        <charset val="134"/>
      </rPr>
      <t xml:space="preserve">         【UX】</t>
    </r>
    <r>
      <rPr>
        <b/>
        <sz val="16"/>
        <color theme="5" tint="0.399975585192419"/>
        <rFont val="微软雅黑"/>
        <charset val="134"/>
      </rPr>
      <t>国内</t>
    </r>
    <r>
      <rPr>
        <b/>
        <sz val="16"/>
        <color theme="0"/>
        <rFont val="微软雅黑"/>
        <charset val="134"/>
      </rPr>
      <t>研究资源成本估算</t>
    </r>
  </si>
  <si>
    <t>玩家招募类</t>
  </si>
  <si>
    <t>1. 下表人力为预估值，实际可能会根据需求真实情况出现上、下浮动，对应职级人天投入浮动在0.5左右；
2. 下表估算人力包含“甄别/邀约”工作，若前台自主执行“甄别/邀约”，则估算的P3及实习生人力减少20%；
3. 50人以上玩家招募需求由资源中台人工评估成本。
4.特殊用户默认混合执行，小众用户默认P3单独执行
5.16人规模以上的招募需求，默认使用【混合执行】报价
6.人力估值新增测试时长作为相关系数</t>
  </si>
  <si>
    <t>点击跳转【常规用户-难度等级说明表】</t>
  </si>
  <si>
    <t>点击跳转【特殊&amp;小众用户-难度等级说明表】</t>
  </si>
  <si>
    <t>服务编号</t>
  </si>
  <si>
    <t>样本类型</t>
  </si>
  <si>
    <t>测试方式</t>
  </si>
  <si>
    <t>难度等级</t>
  </si>
  <si>
    <t>测试时长</t>
  </si>
  <si>
    <t>需求执行人</t>
  </si>
  <si>
    <t>测试样本量</t>
  </si>
  <si>
    <t>测试时长系数转化</t>
  </si>
  <si>
    <t>执行人力单价</t>
  </si>
  <si>
    <t>人力投入合计</t>
  </si>
  <si>
    <t>玩家礼金合计</t>
  </si>
  <si>
    <r>
      <rPr>
        <b/>
        <sz val="10"/>
        <color theme="0"/>
        <rFont val="微软雅黑"/>
        <charset val="134"/>
      </rPr>
      <t xml:space="preserve">招募费用合计
</t>
    </r>
    <r>
      <rPr>
        <sz val="8"/>
        <color theme="0"/>
        <rFont val="微软雅黑"/>
        <charset val="134"/>
      </rPr>
      <t>（视情况应用）</t>
    </r>
  </si>
  <si>
    <t>甄别费用合计</t>
  </si>
  <si>
    <t>GT001</t>
  </si>
  <si>
    <r>
      <rPr>
        <b/>
        <sz val="10"/>
        <color theme="1"/>
        <rFont val="微软雅黑"/>
        <charset val="134"/>
      </rPr>
      <t xml:space="preserve">常规用户
</t>
    </r>
    <r>
      <rPr>
        <sz val="9"/>
        <color theme="1" tint="0.499984740745262"/>
        <rFont val="微软雅黑"/>
        <charset val="134"/>
      </rPr>
      <t>（普通游戏玩家，无身份/职业限制要求）</t>
    </r>
  </si>
  <si>
    <r>
      <rPr>
        <sz val="10"/>
        <color theme="1" tint="0.249977111117893"/>
        <rFont val="微软雅黑"/>
        <charset val="134"/>
      </rPr>
      <t>实验室测试/座谈会</t>
    </r>
    <r>
      <rPr>
        <sz val="10"/>
        <color theme="1"/>
        <rFont val="微软雅黑"/>
        <charset val="134"/>
      </rPr>
      <t xml:space="preserve">
</t>
    </r>
    <r>
      <rPr>
        <sz val="8"/>
        <color theme="1" tint="0.499984740745262"/>
        <rFont val="微软雅黑"/>
        <charset val="134"/>
      </rPr>
      <t>（广/杭/沪地区）</t>
    </r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</si>
  <si>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下拉选择</t>
    </r>
    <r>
      <rPr>
        <sz val="8"/>
        <color theme="1"/>
        <rFont val="微软雅黑"/>
        <charset val="134"/>
      </rPr>
      <t xml:space="preserve">
需求难度</t>
    </r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</si>
  <si>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测试时长
</t>
    </r>
    <r>
      <rPr>
        <sz val="8"/>
        <color theme="1" tint="0.499984740745262"/>
        <rFont val="微软雅黑"/>
        <charset val="134"/>
      </rPr>
      <t>（单位:小时)
（0.5为区间输入）</t>
    </r>
  </si>
  <si>
    <t>混合执行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</si>
  <si>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测试样本量
</t>
    </r>
    <r>
      <rPr>
        <sz val="8"/>
        <color theme="1" tint="0.499984740745262"/>
        <rFont val="微软雅黑"/>
        <charset val="134"/>
      </rPr>
      <t>（单位:个)</t>
    </r>
    <r>
      <rPr>
        <sz val="8"/>
        <color theme="1"/>
        <rFont val="微软雅黑"/>
        <charset val="134"/>
      </rPr>
      <t xml:space="preserve">
</t>
    </r>
  </si>
  <si>
    <t>GT002</t>
  </si>
  <si>
    <r>
      <rPr>
        <sz val="10"/>
        <color theme="1" tint="0.249977111117893"/>
        <rFont val="微软雅黑"/>
        <charset val="134"/>
      </rPr>
      <t xml:space="preserve">入户调研
</t>
    </r>
    <r>
      <rPr>
        <sz val="8"/>
        <color theme="1" tint="0.499984740745262"/>
        <rFont val="微软雅黑"/>
        <charset val="134"/>
      </rPr>
      <t>（广/杭/沪地区）</t>
    </r>
  </si>
  <si>
    <t>OP单独执行</t>
  </si>
  <si>
    <t>GT003</t>
  </si>
  <si>
    <r>
      <rPr>
        <sz val="10"/>
        <color theme="1" tint="0.249977111117893"/>
        <rFont val="微软雅黑"/>
        <charset val="134"/>
      </rPr>
      <t>实验室测试/座谈会</t>
    </r>
    <r>
      <rPr>
        <sz val="10"/>
        <color theme="1"/>
        <rFont val="微软雅黑"/>
        <charset val="134"/>
      </rPr>
      <t xml:space="preserve">
</t>
    </r>
    <r>
      <rPr>
        <sz val="8"/>
        <color theme="1" tint="0.499984740745262"/>
        <rFont val="微软雅黑"/>
        <charset val="134"/>
      </rPr>
      <t>（广/杭/沪以外地区）</t>
    </r>
  </si>
  <si>
    <t>GT004</t>
  </si>
  <si>
    <r>
      <rPr>
        <sz val="10"/>
        <color theme="1" tint="0.249977111117893"/>
        <rFont val="微软雅黑"/>
        <charset val="134"/>
      </rPr>
      <t xml:space="preserve">入户调研
</t>
    </r>
    <r>
      <rPr>
        <sz val="8"/>
        <color theme="1" tint="0.499984740745262"/>
        <rFont val="微软雅黑"/>
        <charset val="134"/>
      </rPr>
      <t>（广/杭/沪以外地区）</t>
    </r>
  </si>
  <si>
    <t>GT005</t>
  </si>
  <si>
    <r>
      <rPr>
        <sz val="10"/>
        <color theme="1" tint="0.249977111117893"/>
        <rFont val="微软雅黑"/>
        <charset val="134"/>
      </rPr>
      <t>线上深访/测试</t>
    </r>
    <r>
      <rPr>
        <sz val="10"/>
        <color theme="1"/>
        <rFont val="微软雅黑"/>
        <charset val="134"/>
      </rPr>
      <t xml:space="preserve">
</t>
    </r>
    <r>
      <rPr>
        <sz val="8"/>
        <color theme="1" tint="0.499984740745262"/>
        <rFont val="微软雅黑"/>
        <charset val="134"/>
      </rPr>
      <t>（不限城市）</t>
    </r>
  </si>
  <si>
    <t>GT006</t>
  </si>
  <si>
    <r>
      <rPr>
        <sz val="10"/>
        <color theme="1" tint="0.249977111117893"/>
        <rFont val="微软雅黑"/>
        <charset val="134"/>
      </rPr>
      <t>保密性导量测试</t>
    </r>
    <r>
      <rPr>
        <sz val="10"/>
        <color theme="1"/>
        <rFont val="微软雅黑"/>
        <charset val="134"/>
      </rPr>
      <t xml:space="preserve">
</t>
    </r>
    <r>
      <rPr>
        <sz val="8"/>
        <color theme="1" tint="0.499984740745262"/>
        <rFont val="微软雅黑"/>
        <charset val="134"/>
      </rPr>
      <t>（不限城市/100人起）</t>
    </r>
  </si>
  <si>
    <t>仅支持1~3级难度</t>
  </si>
  <si>
    <t>首日登录（2小时及以内）</t>
  </si>
  <si>
    <t>/</t>
  </si>
  <si>
    <t>GT007</t>
  </si>
  <si>
    <r>
      <rPr>
        <b/>
        <sz val="10"/>
        <color theme="1"/>
        <rFont val="微软雅黑"/>
        <charset val="134"/>
      </rPr>
      <t xml:space="preserve">特殊用户
</t>
    </r>
    <r>
      <rPr>
        <sz val="9"/>
        <color theme="0" tint="-0.499984740745262"/>
        <rFont val="微软雅黑"/>
        <charset val="134"/>
      </rPr>
      <t>（KOL/主播/超R/地图作者等）</t>
    </r>
  </si>
  <si>
    <r>
      <rPr>
        <sz val="10"/>
        <color theme="1" tint="0.249977111117893"/>
        <rFont val="微软雅黑"/>
        <charset val="134"/>
      </rPr>
      <t>实验室测试/座谈会</t>
    </r>
    <r>
      <rPr>
        <sz val="10"/>
        <color theme="1"/>
        <rFont val="微软雅黑"/>
        <charset val="134"/>
      </rPr>
      <t xml:space="preserve">
</t>
    </r>
    <r>
      <rPr>
        <sz val="8"/>
        <color theme="1" tint="0.499984740745262"/>
        <rFont val="微软雅黑"/>
        <charset val="134"/>
      </rPr>
      <t>（广/杭/沪本地需求）</t>
    </r>
  </si>
  <si>
    <t>GT008</t>
  </si>
  <si>
    <t>GT009</t>
  </si>
  <si>
    <r>
      <rPr>
        <b/>
        <sz val="10"/>
        <color theme="1"/>
        <rFont val="微软雅黑"/>
        <charset val="134"/>
      </rPr>
      <t xml:space="preserve">小众用户
</t>
    </r>
    <r>
      <rPr>
        <sz val="9"/>
        <color theme="0" tint="-0.499984740745262"/>
        <rFont val="微软雅黑"/>
        <charset val="134"/>
      </rPr>
      <t>（国内外籍/未成年/特定职业人群）</t>
    </r>
  </si>
  <si>
    <t>GT010</t>
  </si>
  <si>
    <t>问卷调研类</t>
  </si>
  <si>
    <r>
      <rPr>
        <sz val="10"/>
        <color theme="1"/>
        <rFont val="微软雅黑"/>
        <charset val="134"/>
      </rPr>
      <t>1. 下表人力为预估值，实际会根据需求执行情况出现上、下浮动，对应职级人天投入浮动在0.5左右；
2. 根据需求情况，会涉及使用外部供应商投放，若使用外部供应商，则人力投入缩减30%~60%，但对应问卷费用会视情况提升；
3. 3000份以上或60题以上问卷需求由资源中台人工评估成本。
4</t>
    </r>
    <r>
      <rPr>
        <b/>
        <sz val="10"/>
        <color rgb="FFFF0000"/>
        <rFont val="微软雅黑"/>
        <charset val="134"/>
      </rPr>
      <t>.OP单独执行仅限于三级以及三级以上的问卷回需求</t>
    </r>
  </si>
  <si>
    <t>点击跳转【问卷调研-难度等级说明表】</t>
  </si>
  <si>
    <t>题目数量</t>
  </si>
  <si>
    <t>调研样本量</t>
  </si>
  <si>
    <t>需求执行方式</t>
  </si>
  <si>
    <t>执行人力单价(元）</t>
  </si>
  <si>
    <t>问卷投放费用</t>
  </si>
  <si>
    <t>执行系数</t>
  </si>
  <si>
    <t>GT011</t>
  </si>
  <si>
    <t>20题及以内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</si>
  <si>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调研样本量
</t>
    </r>
    <r>
      <rPr>
        <sz val="8"/>
        <color theme="1" tint="0.499984740745262"/>
        <rFont val="微软雅黑"/>
        <charset val="134"/>
      </rPr>
      <t>（单位:份)</t>
    </r>
  </si>
  <si>
    <t>多渠道执行</t>
  </si>
  <si>
    <t>GT012</t>
  </si>
  <si>
    <t>21-30题</t>
  </si>
  <si>
    <t>GT013</t>
  </si>
  <si>
    <t>GT014</t>
  </si>
  <si>
    <t>GT015</t>
  </si>
  <si>
    <t>51~60题</t>
  </si>
  <si>
    <t>GT016</t>
  </si>
  <si>
    <t>61~70题</t>
  </si>
  <si>
    <t>GT017</t>
  </si>
  <si>
    <t>71~80题</t>
  </si>
  <si>
    <t>CAA点击测试</t>
  </si>
  <si>
    <t>1. 下表人力含报告输出，若仅需原始数据，则P3/OP3人天对应-1；
2. 测试地区在可选范围以外，由资源中台评估测试可行性及成本；
3. 若同期测多个地区，则人力投入为总和的70%；
4. 超过20张素材的测试需求由资源中台人工评估成本。</t>
  </si>
  <si>
    <t>测试地区</t>
  </si>
  <si>
    <t>素材类型</t>
  </si>
  <si>
    <t>素材数量</t>
  </si>
  <si>
    <t>OP3</t>
  </si>
  <si>
    <t>投放费用合计</t>
  </si>
  <si>
    <t>素材投放单价
（含费用金）</t>
  </si>
  <si>
    <t>转化系数</t>
  </si>
  <si>
    <t>GT018</t>
  </si>
  <si>
    <t>中国大陆</t>
  </si>
  <si>
    <t>视频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</si>
  <si>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素材数量
</t>
    </r>
    <r>
      <rPr>
        <sz val="8"/>
        <color theme="1" tint="0.499984740745262"/>
        <rFont val="微软雅黑"/>
        <charset val="134"/>
      </rPr>
      <t>（单位:个)</t>
    </r>
  </si>
  <si>
    <t>GT019</t>
  </si>
  <si>
    <t>中国港澳台</t>
  </si>
  <si>
    <t>图片</t>
  </si>
  <si>
    <t>GT020</t>
  </si>
  <si>
    <t>欧美地区</t>
  </si>
  <si>
    <t>GT021</t>
  </si>
  <si>
    <t>日韩地区</t>
  </si>
  <si>
    <t>GT022</t>
  </si>
  <si>
    <t>东南亚地区</t>
  </si>
  <si>
    <t>兼职人力</t>
  </si>
  <si>
    <r>
      <rPr>
        <sz val="10"/>
        <color theme="1"/>
        <rFont val="微软雅黑"/>
        <charset val="134"/>
      </rPr>
      <t xml:space="preserve">1. 下表人力预估包含对兼职工作的跟进及质量把控，若仅需提供兼职人力对接，则对应人力缩减50%；
2. 若需使用兼职协助其他工作内容，则由资源中台人工评估成本。
</t>
    </r>
    <r>
      <rPr>
        <i/>
        <sz val="9"/>
        <color theme="1" tint="0.499984740745262"/>
        <rFont val="微软雅黑"/>
        <charset val="134"/>
      </rPr>
      <t>注释：①工作难度：兼职协助完成1个有效样本执行的所需时间；②兼职工作量：需要兼职协助执行完成的有效样本数量。</t>
    </r>
  </si>
  <si>
    <t>工作类型</t>
  </si>
  <si>
    <t>工作难度</t>
  </si>
  <si>
    <t>兼职工作量</t>
  </si>
  <si>
    <t>P3/OP3</t>
  </si>
  <si>
    <t>兼职费用合计</t>
  </si>
  <si>
    <t>GT023</t>
  </si>
  <si>
    <t>甄别执行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</si>
  <si>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下拉选择</t>
    </r>
    <r>
      <rPr>
        <sz val="8"/>
        <color theme="1"/>
        <rFont val="微软雅黑"/>
        <charset val="134"/>
      </rPr>
      <t xml:space="preserve">
兼职工作难度</t>
    </r>
  </si>
  <si>
    <t>30min以内/样本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</si>
  <si>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兼职工作量</t>
    </r>
  </si>
  <si>
    <t>GT024</t>
  </si>
  <si>
    <t>电访执行</t>
  </si>
  <si>
    <t>30~60min/样本</t>
  </si>
  <si>
    <t>GT025</t>
  </si>
  <si>
    <t>街访执行</t>
  </si>
  <si>
    <t>10min以内/样本</t>
  </si>
  <si>
    <t>GT026</t>
  </si>
  <si>
    <t>测试执行</t>
  </si>
  <si>
    <t>2~4H/样本</t>
  </si>
  <si>
    <t xml:space="preserve">         【网易UX】研究资源标准化成本估算表 —— 样本招募</t>
  </si>
  <si>
    <t>1. 下表人力为预估值，实际会根据需求执行情况出现上、下浮动，对应职级人天投入浮动在0.1~0.5之间；
2. 下表估算人力包含“甄别/邀约”工作，若前台自主执行“甄别/邀约”，则推算人力减少20%；
3. 若线下测试在广/杭/沪以外的地区，则视需求情况，人力提升1.2~1.5倍。</t>
  </si>
  <si>
    <t>样本属性</t>
  </si>
  <si>
    <t>执行方式</t>
  </si>
  <si>
    <r>
      <rPr>
        <b/>
        <sz val="10"/>
        <color theme="0"/>
        <rFont val="微软雅黑"/>
        <charset val="134"/>
      </rPr>
      <t>测试时长</t>
    </r>
    <r>
      <rPr>
        <sz val="8"/>
        <color theme="0"/>
        <rFont val="微软雅黑"/>
        <charset val="134"/>
      </rPr>
      <t>（单位：小时）</t>
    </r>
    <r>
      <rPr>
        <b/>
        <sz val="10"/>
        <color theme="0"/>
        <rFont val="微软雅黑"/>
        <charset val="134"/>
      </rPr>
      <t xml:space="preserve">
</t>
    </r>
    <r>
      <rPr>
        <sz val="8"/>
        <color theme="0"/>
        <rFont val="微软雅黑"/>
        <charset val="134"/>
      </rPr>
      <t>（以0.5为单位区间输入）</t>
    </r>
  </si>
  <si>
    <r>
      <rPr>
        <b/>
        <sz val="10"/>
        <color theme="0"/>
        <rFont val="微软雅黑"/>
        <charset val="134"/>
      </rPr>
      <t>样本量</t>
    </r>
    <r>
      <rPr>
        <sz val="8"/>
        <color theme="0"/>
        <rFont val="微软雅黑"/>
        <charset val="134"/>
      </rPr>
      <t>（单位：人）</t>
    </r>
  </si>
  <si>
    <t>人天投入合计</t>
  </si>
  <si>
    <t>招募费用合计</t>
  </si>
  <si>
    <t>单样本招募人力（2H）</t>
  </si>
  <si>
    <t>单样本招募人力（1H）</t>
  </si>
  <si>
    <t>GT027</t>
  </si>
  <si>
    <t>GT028</t>
  </si>
  <si>
    <t>GT046</t>
  </si>
  <si>
    <t>保密性导量测试
（不限城市/100人起）</t>
  </si>
  <si>
    <t>GT047</t>
  </si>
  <si>
    <t>3日登录（每天2小时及以内）</t>
  </si>
  <si>
    <t>GT048</t>
  </si>
  <si>
    <t>5日登录（每天2小时及以内）</t>
  </si>
  <si>
    <t>GT049</t>
  </si>
  <si>
    <t>7日登录（每天2小时及以内）</t>
  </si>
  <si>
    <t>GT030</t>
  </si>
  <si>
    <t>特殊用户
（KOL/主播/超R/地图作者等）</t>
  </si>
  <si>
    <t>GT031</t>
  </si>
  <si>
    <t>GT032</t>
  </si>
  <si>
    <t>GT033</t>
  </si>
  <si>
    <t>GT034</t>
  </si>
  <si>
    <t>GT035</t>
  </si>
  <si>
    <t>GT036</t>
  </si>
  <si>
    <t>GT037</t>
  </si>
  <si>
    <t>GT038</t>
  </si>
  <si>
    <r>
      <rPr>
        <b/>
        <sz val="10"/>
        <color theme="1"/>
        <rFont val="微软雅黑"/>
        <charset val="134"/>
      </rPr>
      <t xml:space="preserve">小众用户
</t>
    </r>
    <r>
      <rPr>
        <sz val="9"/>
        <color theme="1" tint="0.499984740745262"/>
        <rFont val="微软雅黑"/>
        <charset val="134"/>
      </rPr>
      <t>（国内外籍/未成年/特定职业人群）</t>
    </r>
  </si>
  <si>
    <t>GT039</t>
  </si>
  <si>
    <t>GT040</t>
  </si>
  <si>
    <t>GT041</t>
  </si>
  <si>
    <t>GT042</t>
  </si>
  <si>
    <t>GT043</t>
  </si>
  <si>
    <t>GT044</t>
  </si>
  <si>
    <t>GT045</t>
  </si>
  <si>
    <t xml:space="preserve">         【网易UX】研究资源标准化成本估算表 —— 问卷回收（国内）</t>
  </si>
  <si>
    <t>1. 下表人力为预估值，实际会根据需求执行情况出现上、下浮动，对应职级人天投入浮动在0.1~0.5之间；
2. 根据需求情况，会涉及使用外部供应商投放，若使用外部供应商，则人力投入缩减30%~60%，但对应问卷费用会视情况提升。</t>
  </si>
  <si>
    <r>
      <rPr>
        <b/>
        <sz val="10"/>
        <color theme="0"/>
        <rFont val="微软雅黑"/>
        <charset val="134"/>
      </rPr>
      <t>样本量</t>
    </r>
    <r>
      <rPr>
        <sz val="8"/>
        <color theme="0"/>
        <rFont val="微软雅黑"/>
        <charset val="134"/>
      </rPr>
      <t>（单位：份）
(&gt;3k份由人工评估)</t>
    </r>
  </si>
  <si>
    <t>问卷费用合计</t>
  </si>
  <si>
    <t>GT029</t>
  </si>
  <si>
    <t>以下人天成本为【含报告】的估算，若仅需原始数据，则OP人天对应-1
4张及以下-0.5</t>
  </si>
  <si>
    <t>欧美</t>
  </si>
  <si>
    <t>测试素材量</t>
  </si>
  <si>
    <t>图片投放单价</t>
  </si>
  <si>
    <t>视频投放单价</t>
  </si>
  <si>
    <t>单价（不含礼金）</t>
  </si>
  <si>
    <t>4张及以内</t>
  </si>
  <si>
    <t>5~8张</t>
  </si>
  <si>
    <t>9~12张</t>
  </si>
  <si>
    <t>13~16张</t>
  </si>
  <si>
    <t>17~20张</t>
  </si>
  <si>
    <t>日本/韩国</t>
  </si>
  <si>
    <t>东南亚</t>
  </si>
  <si>
    <r>
      <rPr>
        <b/>
        <sz val="16"/>
        <color theme="0"/>
        <rFont val="微软雅黑"/>
        <charset val="134"/>
      </rPr>
      <t xml:space="preserve">                            【UX】</t>
    </r>
    <r>
      <rPr>
        <b/>
        <sz val="16"/>
        <color theme="7" tint="0.399975585192419"/>
        <rFont val="微软雅黑"/>
        <charset val="134"/>
      </rPr>
      <t>海外</t>
    </r>
    <r>
      <rPr>
        <b/>
        <sz val="16"/>
        <color theme="0"/>
        <rFont val="微软雅黑"/>
        <charset val="134"/>
      </rPr>
      <t>研究资源成本估算</t>
    </r>
  </si>
  <si>
    <r>
      <rPr>
        <sz val="10"/>
        <color theme="1"/>
        <rFont val="微软雅黑"/>
        <charset val="134"/>
      </rPr>
      <t>1. 下表人力为常规类需求的预估值，海外暂未划定需求难度，实际可能会根据需求真实情况出现上、下浮动，对应职级人天投入浮动在1左右；
2. 下表北美和日本的估算人力包含“甄别/邀约”工作，韩国甄别成本需联系资源中台人工评估；
3. 若玩家来自端内，则按照端外人力60%计算（仅限常规线上线下访谈）；
4. 48人以上玩家招募需求由资源中台人工评估成本；
5. 若需求涉及发包供应商完成，则相关成本由资源中台人工评估；
6. 下述不包含因测试产生的【场地费】和【设备物流费】</t>
    </r>
    <r>
      <rPr>
        <i/>
        <sz val="9"/>
        <color theme="1"/>
        <rFont val="微软雅黑"/>
        <charset val="134"/>
      </rPr>
      <t xml:space="preserve">（场地费约2w人民币/天 | PC物流费约2.1w人民币/次 | 手机物流费约3.5k人民币/次）
</t>
    </r>
    <r>
      <rPr>
        <b/>
        <sz val="10"/>
        <color rgb="FFC00000"/>
        <rFont val="微软雅黑"/>
        <charset val="134"/>
      </rPr>
      <t>【注】</t>
    </r>
    <r>
      <rPr>
        <sz val="10"/>
        <color theme="1"/>
        <rFont val="微软雅黑"/>
        <charset val="134"/>
      </rPr>
      <t>因海外需求相较困难，成本预估可供参考，实际情况以资源中台评估为准。</t>
    </r>
  </si>
  <si>
    <t>研究地区</t>
  </si>
  <si>
    <t>调研方式</t>
  </si>
  <si>
    <t>样本量</t>
  </si>
  <si>
    <t>样本难度</t>
  </si>
  <si>
    <t>渠道人力</t>
  </si>
  <si>
    <r>
      <rPr>
        <b/>
        <sz val="10"/>
        <color theme="0"/>
        <rFont val="微软雅黑"/>
        <charset val="134"/>
      </rPr>
      <t xml:space="preserve">玩家礼金合计
</t>
    </r>
    <r>
      <rPr>
        <sz val="8"/>
        <color theme="0"/>
        <rFont val="微软雅黑"/>
        <charset val="134"/>
      </rPr>
      <t>（人民币）</t>
    </r>
  </si>
  <si>
    <r>
      <rPr>
        <b/>
        <sz val="10"/>
        <color theme="0"/>
        <rFont val="微软雅黑"/>
        <charset val="134"/>
      </rPr>
      <t xml:space="preserve">招募费用合计
</t>
    </r>
    <r>
      <rPr>
        <sz val="8"/>
        <color theme="0"/>
        <rFont val="微软雅黑"/>
        <charset val="134"/>
      </rPr>
      <t>（人民币）</t>
    </r>
  </si>
  <si>
    <t>单样本执行人力</t>
  </si>
  <si>
    <t>北美</t>
  </si>
  <si>
    <t>线下实验室测试/座谈会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</si>
  <si>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测试时长
</t>
    </r>
    <r>
      <rPr>
        <sz val="8"/>
        <color theme="1" tint="0.349986266670736"/>
        <rFont val="微软雅黑"/>
        <charset val="134"/>
      </rPr>
      <t>（单位:小时）
（0.5为区间输入）</t>
    </r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</si>
  <si>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测试样本量
</t>
    </r>
    <r>
      <rPr>
        <sz val="8"/>
        <color theme="1" tint="0.349986266670736"/>
        <rFont val="微软雅黑"/>
        <charset val="134"/>
      </rPr>
      <t>（单位:人）</t>
    </r>
  </si>
  <si>
    <t>线上测试/访谈</t>
  </si>
  <si>
    <t>常规-中等</t>
  </si>
  <si>
    <t>常规-简单</t>
  </si>
  <si>
    <t>韩国</t>
  </si>
  <si>
    <r>
      <rPr>
        <sz val="10"/>
        <color theme="1"/>
        <rFont val="微软雅黑"/>
        <charset val="134"/>
      </rPr>
      <t>1. 下表人力为常规类需求的预估值，海外暂未划定需求难度，实际可能会根据需求真实情况出现上、下浮动，对应职级人天投入浮动在1左右；
2. 北美&amp;日本2000份以上问卷调研需求由资源中台人工评估成本</t>
    </r>
    <r>
      <rPr>
        <sz val="9"/>
        <color theme="1" tint="0.349986266670736"/>
        <rFont val="微软雅黑"/>
        <charset val="134"/>
      </rPr>
      <t>（其它地区1000份以上）</t>
    </r>
    <r>
      <rPr>
        <sz val="10"/>
        <color theme="1"/>
        <rFont val="微软雅黑"/>
        <charset val="134"/>
      </rPr>
      <t>；</t>
    </r>
    <r>
      <rPr>
        <i/>
        <sz val="9"/>
        <color theme="1" tint="0.349986266670736"/>
        <rFont val="微软雅黑"/>
        <charset val="134"/>
      </rPr>
      <t xml:space="preserve">
</t>
    </r>
    <r>
      <rPr>
        <b/>
        <sz val="10"/>
        <color rgb="FFC00000"/>
        <rFont val="微软雅黑"/>
        <charset val="134"/>
      </rPr>
      <t>【注】</t>
    </r>
    <r>
      <rPr>
        <sz val="10"/>
        <color theme="1" tint="0.349986266670736"/>
        <rFont val="微软雅黑"/>
        <charset val="134"/>
      </rPr>
      <t>因海外需求相较困难，成本预估可供参考，实际情况以资源中台评估为准。</t>
    </r>
  </si>
  <si>
    <t>问卷题目量</t>
  </si>
  <si>
    <r>
      <rPr>
        <b/>
        <sz val="10"/>
        <color theme="0"/>
        <rFont val="微软雅黑"/>
        <charset val="134"/>
      </rPr>
      <t xml:space="preserve">问卷费用合计
</t>
    </r>
    <r>
      <rPr>
        <sz val="8"/>
        <color theme="0"/>
        <rFont val="微软雅黑"/>
        <charset val="134"/>
      </rPr>
      <t>（人民币）</t>
    </r>
  </si>
  <si>
    <t>单样本执行人力（元）</t>
  </si>
  <si>
    <t>【泛】用户调研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</si>
  <si>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下拉选择</t>
    </r>
    <r>
      <rPr>
        <sz val="8"/>
        <color theme="1"/>
        <rFont val="微软雅黑"/>
        <charset val="134"/>
      </rPr>
      <t xml:space="preserve">
问卷题目量</t>
    </r>
  </si>
  <si>
    <t>31-40题</t>
  </si>
  <si>
    <r>
      <rPr>
        <sz val="8"/>
        <color theme="1"/>
        <rFont val="微软雅黑"/>
        <charset val="134"/>
      </rPr>
      <t>右侧</t>
    </r>
    <r>
      <rPr>
        <sz val="8"/>
        <color rgb="FFC00000"/>
        <rFont val="微软雅黑"/>
        <charset val="134"/>
      </rPr>
      <t>手动输入</t>
    </r>
    <r>
      <rPr>
        <sz val="8"/>
        <color theme="1"/>
        <rFont val="微软雅黑"/>
        <charset val="134"/>
      </rPr>
      <t xml:space="preserve">
调研样本量
</t>
    </r>
    <r>
      <rPr>
        <sz val="8"/>
        <color theme="1" tint="0.349986266670736"/>
        <rFont val="微软雅黑"/>
        <charset val="134"/>
      </rPr>
      <t>（单位:份）</t>
    </r>
  </si>
  <si>
    <t>【定向】人群调研</t>
  </si>
  <si>
    <t>71-80题</t>
  </si>
  <si>
    <t>其它</t>
  </si>
  <si>
    <t>测试形式</t>
  </si>
  <si>
    <t>线下</t>
  </si>
  <si>
    <t>max=1600</t>
  </si>
  <si>
    <t>礼金标准</t>
  </si>
  <si>
    <t>2h及以内700元/人，每超过半小时，礼金增加175元</t>
  </si>
  <si>
    <t>2h及以内400元/人，每超过半小时，礼金增加100元</t>
  </si>
  <si>
    <t>招募费</t>
  </si>
  <si>
    <t>250元/样本</t>
  </si>
  <si>
    <t>测试人数</t>
  </si>
  <si>
    <t>2H人力成本</t>
  </si>
  <si>
    <t>外包</t>
  </si>
  <si>
    <t>兼职甄别</t>
  </si>
  <si>
    <t>1~5人</t>
  </si>
  <si>
    <t>6~8人</t>
  </si>
  <si>
    <t>9~12人</t>
  </si>
  <si>
    <t>13~15人</t>
  </si>
  <si>
    <t>16~18人</t>
  </si>
  <si>
    <t>19~22人</t>
  </si>
  <si>
    <t>23~25人</t>
  </si>
  <si>
    <t>26~28人</t>
  </si>
  <si>
    <t>29~32人</t>
  </si>
  <si>
    <t>33~35人</t>
  </si>
  <si>
    <t>36~38人</t>
  </si>
  <si>
    <t>39~42人</t>
  </si>
  <si>
    <t>43~45人</t>
  </si>
  <si>
    <t>46~48人</t>
  </si>
  <si>
    <t>线上</t>
  </si>
  <si>
    <t>2h及以内440元/人，每超过半小时，礼金增加105元</t>
  </si>
  <si>
    <t>2h及以内300元/人，每超过半小时，礼金增加75元</t>
  </si>
  <si>
    <t>220元/样本</t>
  </si>
  <si>
    <t>200元/样本</t>
  </si>
  <si>
    <t>2H内单价（含人力）</t>
  </si>
  <si>
    <t>【线下】测试/访谈/座谈会：2小时及以内，200元/人，每增加0.5小时，礼金增加50元；
【线上】测试/访谈/座谈会：1小时及以内，80元/人，每增加0.5小时，礼金增加40元</t>
  </si>
  <si>
    <t>招募成本（2H人力单价）</t>
  </si>
  <si>
    <t>礼金</t>
  </si>
  <si>
    <t>招募单价</t>
  </si>
  <si>
    <t>人力单价</t>
  </si>
  <si>
    <t>单价上限</t>
  </si>
  <si>
    <r>
      <rPr>
        <b/>
        <sz val="10"/>
        <color theme="0"/>
        <rFont val="微软雅黑"/>
        <charset val="134"/>
      </rPr>
      <t xml:space="preserve">首日登录体验
</t>
    </r>
    <r>
      <rPr>
        <sz val="10"/>
        <color theme="0"/>
        <rFont val="微软雅黑"/>
        <charset val="134"/>
      </rPr>
      <t>（2小时及以内）</t>
    </r>
  </si>
  <si>
    <t>单样本费用</t>
  </si>
  <si>
    <r>
      <rPr>
        <b/>
        <sz val="10"/>
        <color theme="0"/>
        <rFont val="微软雅黑"/>
        <charset val="134"/>
      </rPr>
      <t xml:space="preserve">3日登录体验
</t>
    </r>
    <r>
      <rPr>
        <sz val="10"/>
        <color theme="0"/>
        <rFont val="微软雅黑"/>
        <charset val="134"/>
      </rPr>
      <t>（每天2小时及以内）</t>
    </r>
  </si>
  <si>
    <r>
      <rPr>
        <b/>
        <sz val="10"/>
        <color theme="0"/>
        <rFont val="微软雅黑"/>
        <charset val="134"/>
      </rPr>
      <t xml:space="preserve">5日登录体验
</t>
    </r>
    <r>
      <rPr>
        <sz val="10"/>
        <color theme="0"/>
        <rFont val="微软雅黑"/>
        <charset val="134"/>
      </rPr>
      <t>（每天2小时及以内）</t>
    </r>
  </si>
  <si>
    <r>
      <rPr>
        <b/>
        <sz val="10"/>
        <color theme="0"/>
        <rFont val="微软雅黑"/>
        <charset val="134"/>
      </rPr>
      <t xml:space="preserve">7日登录体验
</t>
    </r>
    <r>
      <rPr>
        <sz val="10"/>
        <color theme="0"/>
        <rFont val="微软雅黑"/>
        <charset val="134"/>
      </rPr>
      <t>（每天2小时及以内）</t>
    </r>
  </si>
  <si>
    <t>人数</t>
  </si>
  <si>
    <t>20~50</t>
  </si>
  <si>
    <t>51~100</t>
  </si>
  <si>
    <t>101~150</t>
  </si>
  <si>
    <t>151~200</t>
  </si>
  <si>
    <t>201~250</t>
  </si>
  <si>
    <t>251~300</t>
  </si>
  <si>
    <t>301~350</t>
  </si>
  <si>
    <t>351~400</t>
  </si>
  <si>
    <t>401~450</t>
  </si>
  <si>
    <t>451~500</t>
  </si>
  <si>
    <t>501~550</t>
  </si>
  <si>
    <t>551~600</t>
  </si>
  <si>
    <t>601~650</t>
  </si>
  <si>
    <t>651~700</t>
  </si>
  <si>
    <t>701~750</t>
  </si>
  <si>
    <t>751~800</t>
  </si>
  <si>
    <t>801~850</t>
  </si>
  <si>
    <t>851~900</t>
  </si>
  <si>
    <t>901~950</t>
  </si>
  <si>
    <t>951~1000</t>
  </si>
  <si>
    <t>招募成本</t>
  </si>
  <si>
    <t>单样本人力差价</t>
  </si>
  <si>
    <t>P3/OP</t>
  </si>
  <si>
    <t>招募成本（2H单价）</t>
  </si>
  <si>
    <t>招募成本（2H单价）-P3</t>
  </si>
  <si>
    <t>单样本人力差异</t>
  </si>
  <si>
    <t>是否满足大于等于的条件</t>
  </si>
  <si>
    <t>工作内容</t>
  </si>
  <si>
    <r>
      <rPr>
        <b/>
        <sz val="10"/>
        <color rgb="FFFFFFFF"/>
        <rFont val="微软雅黑"/>
        <charset val="134"/>
      </rPr>
      <t xml:space="preserve">基础工资
</t>
    </r>
    <r>
      <rPr>
        <sz val="8"/>
        <color rgb="FFFFFFFF"/>
        <rFont val="微软雅黑"/>
        <charset val="134"/>
      </rPr>
      <t>（元/天）</t>
    </r>
  </si>
  <si>
    <r>
      <rPr>
        <b/>
        <sz val="10"/>
        <color rgb="FFFFFFFF"/>
        <rFont val="微软雅黑"/>
        <charset val="134"/>
      </rPr>
      <t xml:space="preserve">激励提成
</t>
    </r>
    <r>
      <rPr>
        <sz val="8"/>
        <color rgb="FFFFFFFF"/>
        <rFont val="微软雅黑"/>
        <charset val="134"/>
      </rPr>
      <t>（元/有效样本）</t>
    </r>
  </si>
  <si>
    <t>30分钟以内/个</t>
  </si>
  <si>
    <t>10分钟以内/个</t>
  </si>
  <si>
    <t>30~60分钟/个</t>
  </si>
  <si>
    <t>10~30分钟/个</t>
  </si>
  <si>
    <t>工作量</t>
  </si>
  <si>
    <t>8人以内</t>
  </si>
  <si>
    <t>8~12人</t>
  </si>
  <si>
    <t>13~16人</t>
  </si>
  <si>
    <t>17~20人</t>
  </si>
  <si>
    <t>21~24人</t>
  </si>
  <si>
    <t>25~28人</t>
  </si>
  <si>
    <t>33~36人</t>
  </si>
  <si>
    <t>37~40人</t>
  </si>
  <si>
    <t>41~44人</t>
  </si>
  <si>
    <t>45~48人</t>
  </si>
  <si>
    <t>49~52人</t>
  </si>
  <si>
    <t>53~62人</t>
  </si>
  <si>
    <t>62~100人</t>
  </si>
  <si>
    <t>100~200人</t>
  </si>
  <si>
    <r>
      <rPr>
        <sz val="9"/>
        <color theme="1"/>
        <rFont val="微软雅黑"/>
        <charset val="134"/>
      </rPr>
      <t>2小时以内/场</t>
    </r>
  </si>
  <si>
    <r>
      <rPr>
        <sz val="9"/>
        <color theme="1"/>
        <rFont val="微软雅黑"/>
        <charset val="134"/>
      </rPr>
      <t>2~4小时/场</t>
    </r>
  </si>
  <si>
    <r>
      <rPr>
        <sz val="9"/>
        <color theme="1"/>
        <rFont val="微软雅黑"/>
        <charset val="134"/>
      </rPr>
      <t>4~6小时/场</t>
    </r>
  </si>
  <si>
    <t>调研地区</t>
  </si>
  <si>
    <t>北美-普投</t>
  </si>
  <si>
    <t>41-50题</t>
  </si>
  <si>
    <t>51-60题</t>
  </si>
  <si>
    <t>61-70题</t>
  </si>
  <si>
    <t>问卷费用（单价）</t>
  </si>
  <si>
    <t>北美-定投</t>
  </si>
  <si>
    <t>日本-普投</t>
  </si>
  <si>
    <t>日本-定投</t>
  </si>
  <si>
    <t>其他-普投</t>
  </si>
  <si>
    <t>其他-定投</t>
  </si>
  <si>
    <t xml:space="preserve">         【网易UX】研究资源标准化成本估算表 —— 问卷回收（海外）</t>
  </si>
  <si>
    <r>
      <rPr>
        <b/>
        <sz val="10"/>
        <color theme="0"/>
        <rFont val="微软雅黑"/>
        <charset val="134"/>
      </rPr>
      <t>样本量</t>
    </r>
    <r>
      <rPr>
        <sz val="8"/>
        <color theme="0"/>
        <rFont val="微软雅黑"/>
        <charset val="134"/>
      </rPr>
      <t>（单位：份）
(&gt;2k份由人工评估)</t>
    </r>
  </si>
  <si>
    <t>日本普投</t>
  </si>
  <si>
    <t>日本定投</t>
  </si>
  <si>
    <t>其它普投</t>
  </si>
  <si>
    <t>其它定投</t>
  </si>
  <si>
    <t xml:space="preserve">  点击返回【国内资源成本估算表】</t>
  </si>
  <si>
    <t>【常规用户】招募难度等级评估说明</t>
  </si>
  <si>
    <r>
      <rPr>
        <sz val="10"/>
        <color theme="1"/>
        <rFont val="微软雅黑"/>
        <charset val="134"/>
      </rPr>
      <t xml:space="preserve">【样本招募难度】由【受众规模】和【附加条件】两个维度的交叉判定
</t>
    </r>
    <r>
      <rPr>
        <b/>
        <sz val="10"/>
        <color rgb="FFC00000"/>
        <rFont val="微软雅黑"/>
        <charset val="134"/>
      </rPr>
      <t>注：因招募需求类型非标准化，难度评估无法穷尽所有需求场景，若涉及无法带入评估的需求，需联系资源中台人工评估。</t>
    </r>
  </si>
  <si>
    <t>难度定义</t>
  </si>
  <si>
    <t>需求举例</t>
  </si>
  <si>
    <t>大量级游戏+无附加或仅基础条件</t>
  </si>
  <si>
    <t>· 招募玩过《王者荣耀》游戏的玩家，累计体验2周以上，流失不超过1年，无其他特殊条件。</t>
  </si>
  <si>
    <t>大量级游戏+一般附加条件
中量级游戏+无附加或仅基础条件</t>
  </si>
  <si>
    <t>· 招募玩过《王者荣耀》游戏的玩家，累计体验1个月以上，并有任意额度付费经历；
· 招募玩过《暗区突围》的游戏玩家，累计体验2周以上，流失不超过1年，无其他特殊条件。</t>
  </si>
  <si>
    <t>大量级游戏+困难附加条件
中量级游戏+一般附加条件
低量级游戏+无附加或仅基础条件</t>
  </si>
  <si>
    <t>· 招募玩过《王者荣耀》游戏的玩家，累计体验6个月以上，历史最高段位达到王者；
· 招募玩过《暗区突围》的游戏玩家，累计体验1个月以上，并有任意额度付费经历；
· 招募玩过《长安幻想》的游戏玩家，累计体验2周以上，流失不超过1年，无其他特殊条件。</t>
  </si>
  <si>
    <t>中量级游戏+困难附加条件
低量级游戏+一般附加条件</t>
  </si>
  <si>
    <t>· 招募玩过《暗区突围》游戏的玩家，累计体验6个月以上，游戏内付费超过1000元；
· 招募玩过《长安幻想》的游戏玩家，累计体验1个月以上，并有任意额度付费经历；</t>
  </si>
  <si>
    <t>低量级游戏+困难附加条件</t>
  </si>
  <si>
    <t>· 招募玩过《长安幻想》的游戏玩家，累计体验6个月以上，游戏内付费超过1000元；</t>
  </si>
  <si>
    <t>评估维度定义</t>
  </si>
  <si>
    <t>维度一</t>
  </si>
  <si>
    <t>游戏受众规模</t>
  </si>
  <si>
    <t>定义标准</t>
  </si>
  <si>
    <t>大量级</t>
  </si>
  <si>
    <t>近3个月平均MAU在1000万以上的游戏受众，如《王者荣耀》、《和平精英》、《开心消消乐》、《原神》等游戏玩家</t>
  </si>
  <si>
    <t>中量级</t>
  </si>
  <si>
    <t>近3个月平均MAU在200~1000万的游戏受众，如《暗区突围》、《崩坏3》、《晶核》、《明日方舟》的游戏玩家</t>
  </si>
  <si>
    <t>低量级</t>
  </si>
  <si>
    <t>近3个月平均MAU在200万以下的游戏受众，如《长安幻想》、《天涯明月刀》、《剑与远征》等游戏玩家</t>
  </si>
  <si>
    <t>维度二</t>
  </si>
  <si>
    <t>附加条件</t>
  </si>
  <si>
    <t>无附加或仅基础条件</t>
  </si>
  <si>
    <t>对应受众人群需求上，无附加或仅有基础条件，如：
· 对游戏经历深度无特殊要求，或仅要求满足大于2周，且流失不超过1年，对付费无要求；
· 对人口属性无特殊要求，或者人口配额要求符合该受众的大盘比例；</t>
  </si>
  <si>
    <t>一般附加条件</t>
  </si>
  <si>
    <r>
      <rPr>
        <sz val="9"/>
        <color theme="1"/>
        <rFont val="微软雅黑"/>
        <charset val="134"/>
      </rPr>
      <t>对应受众人群需求上，有任一一般难度的附加条件</t>
    </r>
    <r>
      <rPr>
        <sz val="9"/>
        <color theme="1" tint="0.499984740745262"/>
        <rFont val="微软雅黑"/>
        <charset val="134"/>
      </rPr>
      <t>（附加条件需在2条及以内，超过2条则判定为困难附加条件）</t>
    </r>
    <r>
      <rPr>
        <sz val="9"/>
        <color theme="1"/>
        <rFont val="微软雅黑"/>
        <charset val="134"/>
      </rPr>
      <t>，如：
· 有常规的游戏深度要求：游戏体验时长需大于1个月或25小时，要求留存状态或流失不超过1年；
· 有常规的游戏付费要求：要求玩家有基础的付费经历，对应目标游戏中的中小R标准；
· 有常规的人口配额要求：对性别、年龄、职业、地域中的任一维度做配额要求；
· 有流失经历要求：要求玩家玩过某款游戏，且当前已流失一定时长；或者流失后又回流；
· 有趣缘偏好要求：要求玩家偏好某类内容（网文/影视/周边等）、偏好某些题材（武侠/西方/军事等）、偏好某些风格、偏好某些IP等；
· 有多款游戏要求：要求玩家有多款目标游戏的游玩经历；
......</t>
    </r>
  </si>
  <si>
    <t>困难附加条件</t>
  </si>
  <si>
    <t>对应受众人群需求上，有任一困难的附加条件
· 有困难的游戏深度要求：游戏体验时长需大于6个月或100小时，要求留存状态或流失不超过6个月；
· 有困难的游戏付费要求：要求玩家有深度的付费经历，对应目标游戏中的中R或大R标准；
· 有困难的人口配额要求：对性别、年龄、职业、地域中的任意多个维度做交叉配额要求；
. 要求有2条以上的“一般附加条件”；
......</t>
  </si>
  <si>
    <r>
      <rPr>
        <b/>
        <sz val="10"/>
        <color rgb="FFC00000"/>
        <rFont val="微软雅黑"/>
        <charset val="134"/>
      </rPr>
      <t>【备注】</t>
    </r>
    <r>
      <rPr>
        <b/>
        <sz val="10"/>
        <color theme="1"/>
        <rFont val="微软雅黑"/>
        <charset val="134"/>
      </rPr>
      <t xml:space="preserve">
</t>
    </r>
    <r>
      <rPr>
        <b/>
        <sz val="10"/>
        <color theme="4" tint="-0.249977111117893"/>
        <rFont val="微软雅黑"/>
        <charset val="134"/>
      </rPr>
      <t>1. 招募某一类型的玩家，玩家玩过类型中任一款即可，无指定游戏的配比要求。此场景以目标游戏中MAU量级最大的游戏来判定受众规模；</t>
    </r>
    <r>
      <rPr>
        <b/>
        <sz val="10"/>
        <color theme="1"/>
        <rFont val="微软雅黑"/>
        <charset val="134"/>
      </rPr>
      <t xml:space="preserve">
</t>
    </r>
    <r>
      <rPr>
        <sz val="10"/>
        <color theme="1"/>
        <rFont val="楷体"/>
        <charset val="134"/>
      </rPr>
      <t>—— 示例：招募玩过任意MOBA类型手游的玩家，游戏包括但不限于《王者荣耀》《英雄联盟M》《决战平安京》等；以《王者荣耀》来判定受众规模，定义为大量级受众。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4" tint="-0.249977111117893"/>
        <rFont val="微软雅黑"/>
        <charset val="134"/>
      </rPr>
      <t>2. 招募某一类型的玩家，但希望招募到的玩家，是玩过目标类型下的不同游戏，且有配额要求。此场景以要求的不同游戏来分别判定受众规模；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楷体"/>
        <charset val="134"/>
      </rPr>
      <t>—— 示例：招募玩过MOBA类型手游的玩家，游戏包括但不限于《王者荣耀》《英雄联盟M》《决战平安京》等，要求《王者荣耀》《英雄联盟M》《决战平安京》的玩家各有4人，则拆分三个游戏分别评估受众规模及对应渗透率，最终成本为累加求和</t>
    </r>
    <r>
      <rPr>
        <sz val="10"/>
        <color theme="1"/>
        <rFont val="微软雅黑"/>
        <charset val="134"/>
      </rPr>
      <t>*0</t>
    </r>
    <r>
      <rPr>
        <sz val="10"/>
        <color theme="1"/>
        <rFont val="楷体"/>
        <charset val="134"/>
      </rPr>
      <t>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4" tint="-0.249977111117893"/>
        <rFont val="微软雅黑"/>
        <charset val="134"/>
      </rPr>
      <t>3. 招募多类型的玩家，且每类有制定配比。此场景以需求类型为单位，将需求拆分评估；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楷体"/>
        <charset val="134"/>
      </rPr>
      <t>—— 示例：招募以下三种类型的游戏玩家，A类玩过任意MOBA游戏、B类玩过任意TPS游戏、C类玩过涉及卡牌RPG游戏，则拆分三个游戏分别评估受众规模及对应渗透率，最终成本累加计算。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4" tint="-0.249977111117893"/>
        <rFont val="微软雅黑"/>
        <charset val="134"/>
      </rPr>
      <t>4. 招募的玩家需要同时满足多款游戏经历。此场景以目标游戏范围中，MAU量级最少的来判定受众规模；</t>
    </r>
    <r>
      <rPr>
        <sz val="10"/>
        <color theme="1"/>
        <rFont val="微软雅黑"/>
        <charset val="134"/>
      </rPr>
      <t xml:space="preserve">
</t>
    </r>
    <r>
      <rPr>
        <sz val="10"/>
        <color theme="1"/>
        <rFont val="楷体"/>
        <charset val="134"/>
      </rPr>
      <t>—— 示例：招募同时玩过《王者荣耀》《英雄联盟M》《决战平安京》的游戏玩家；以《决战平安京》来判定受众规模，定义为低量级受众。</t>
    </r>
  </si>
  <si>
    <t>【特殊用户】招募难度等级评估说明</t>
  </si>
  <si>
    <t>【小众用户】招募难度等级评估说明</t>
  </si>
  <si>
    <t>注：因招募需求类型非标准化，难度评估无法穷尽所有需求场景，若涉及无法带入评估的需求，需联系资源中台人工评估。</t>
  </si>
  <si>
    <t>评估维度</t>
  </si>
  <si>
    <t>渠道放线渗透率</t>
  </si>
  <si>
    <t>备注</t>
  </si>
  <si>
    <t>大量级游戏+基础条件
大量级游戏+一般条件
中量级游戏+基础条件</t>
  </si>
  <si>
    <t>《王者荣耀》KOL，粉丝量要求在1w+
《和平精英》KOL，粉丝量要求在8w+
《金铲铲之战》大/超R，付费在5w~10w</t>
  </si>
  <si>
    <t>&gt;60%</t>
  </si>
  <si>
    <t>当招募“国内外籍”“未成年”“未成年家长”“特定职业或属性人群”时，由渠道侧根据历史项目和放线投放来评估样本渗透率
此类需求频次较低，且需求偏定制化，因此根据每次需求进行定制评估。</t>
  </si>
  <si>
    <t>大量级游戏+困难条件
中量级游戏+一般条件
中低量级游戏+基础条件</t>
  </si>
  <si>
    <t>《王者荣耀》KOL，粉丝量要求在15w+
《金铲铲之战》KOL，粉丝量要求在8w+
《崩坏3》大/超R，付费在5w~10w</t>
  </si>
  <si>
    <t>40~60%</t>
  </si>
  <si>
    <t>中量级游戏+困难条件
中低量级游戏+一般条件
低量级+基础条件</t>
  </si>
  <si>
    <t>《金铲铲之战》KOL，粉丝量要求在15w+
《崩坏3》KOL，粉丝量要求再8w+
《天涯明月刀》大/超R，付费在5w~10w</t>
  </si>
  <si>
    <t>20%~40%</t>
  </si>
  <si>
    <t>中低量级游戏+困难条件
低量级+一般条件
低量级+困难条件</t>
  </si>
  <si>
    <t>《暗区突围》KOL，粉丝量要求在15w+
《天涯明月刀》KOL，粉丝量要求再8w+
《天涯明月刀》大/超R，付费在30w+</t>
  </si>
  <si>
    <t>&lt;20%</t>
  </si>
  <si>
    <t>受众规模</t>
  </si>
  <si>
    <t>近3个月平均MAU在3000万以上的游戏受众，如《王者荣耀》、《和平精英》、《开心消消乐》等游戏玩家</t>
  </si>
  <si>
    <t>近3个月平均MAU在1000~3000万的游戏受众，如《金铲铲之战》、《崩坏:苍穹铁道》、《原神》等游戏玩家</t>
  </si>
  <si>
    <t>中低量级</t>
  </si>
  <si>
    <t>基础条件</t>
  </si>
  <si>
    <t>KOL/主播-粉丝数在5000~5w；大R/超R-付费累积5w~10w</t>
  </si>
  <si>
    <t>一般条件</t>
  </si>
  <si>
    <t>KOL/主播-粉丝数在5w~15w；大R/超R-付费累积10w~30w</t>
  </si>
  <si>
    <t>困难条件</t>
  </si>
  <si>
    <t>KOL/主播-粉丝数在15w+；大R/超R-付费累积30w+</t>
  </si>
  <si>
    <t>【问卷回收】难度等级评估说明</t>
  </si>
  <si>
    <r>
      <rPr>
        <sz val="10"/>
        <color theme="1"/>
        <rFont val="微软雅黑"/>
        <charset val="134"/>
      </rPr>
      <t xml:space="preserve">问卷回收难度基于对样本的【属性特质】、【属性深度】、【人口学结构】三个维度综合评估
</t>
    </r>
    <r>
      <rPr>
        <b/>
        <sz val="10"/>
        <color rgb="FFC00000"/>
        <rFont val="微软雅黑"/>
        <charset val="134"/>
      </rPr>
      <t>注：因问卷需求类型非标准化，难度评估无法穷尽所有需求场景，若涉及无法带入评估的需求，需联系资源中台人工评估。</t>
    </r>
  </si>
  <si>
    <t>需求示例</t>
  </si>
  <si>
    <t>· 针对手游泛用户进行调研，调研用户需有任意手游经历在1周以上
· 针对有任意MOBA游戏的玩家进行调研
· 针对日常有短视频观看习惯的用户进行调研</t>
  </si>
  <si>
    <t>属性特质（普遍）+属性深度（基础）</t>
  </si>
  <si>
    <t>· 针对玩过《王者荣耀》的玩家进行调研，游戏体验在1个月以上
· 针对日常有短视频观看习惯的用户进行调研，平均每周使用3-4次，每次大于半小时</t>
  </si>
  <si>
    <t>属性特质（普遍）+属性深度（中等）
属性特质（适中）+属性深度（基础）</t>
  </si>
  <si>
    <t>· 针对玩过《王者荣耀》的玩家进行调研，游戏体验在3个月以上，且累计付费超过500元；
· 针对玩过《崩坏:苍穹铁道》的玩家进行调研，游戏体验超过1个月
· 针对玩过《无期迷途》的玩家进行调研，游戏体验超过1周</t>
  </si>
  <si>
    <t>属性特质（普遍）+属性深度（困难）
属性特质（适中）+属性深度（中等）
属性特质（稀少）+属性深度（基础）</t>
  </si>
  <si>
    <t>· 针对玩过《崩坏:苍穹铁道》的玩家进行调研，游戏体验在3个月以上，且累计付费超过500元；
· 针对玩过《无期迷途》的玩家进行调研，游戏体验超过1个月</t>
  </si>
  <si>
    <t>属性特质（适中）+属性深度（困难）
属性特质（稀少）+属性深度（中等）</t>
  </si>
  <si>
    <t>· 针对玩过《无期迷途》的玩家进行调研，游戏体验在3个月以上，且累计付费超过500元；
· 调研SCP资深关注用户，对该领域内容有深度了解，至少看过3部及以上小说或影视剧</t>
  </si>
  <si>
    <t>属性特质（稀少）+属性深度（困难）</t>
  </si>
  <si>
    <t>五级难度基础上增加对人口学结构的约束要求</t>
  </si>
  <si>
    <t>五级难度+人口学要求</t>
  </si>
  <si>
    <t>难度等级对照</t>
  </si>
  <si>
    <t>属性特质</t>
  </si>
  <si>
    <t>属性深度</t>
  </si>
  <si>
    <t>普遍（1级）</t>
  </si>
  <si>
    <t>基础（1级）</t>
  </si>
  <si>
    <t>注：任意难度条件下，如果附加【人口学结构】要求，则难度等级+1</t>
  </si>
  <si>
    <t>中等（2级）</t>
  </si>
  <si>
    <t>适中（2级）</t>
  </si>
  <si>
    <t>困难（3级）</t>
  </si>
  <si>
    <t>稀少（3级）</t>
  </si>
  <si>
    <t>样本经历没有或仅有简单的筛选性，生活中大多数人群都会满足，如：平时玩手游或是玩过大DAU手游（王者/吃鸡/消消乐等）、看过动漫/番剧、刷短视频、电商购物等</t>
  </si>
  <si>
    <t>样本经历具有一定的筛选性，生活中部分人群会满足，如：玩过特定的某类或某款游戏（类别或指定游戏受众规模适中，MAU在1000w+）、看过指定的动漫/番剧（热度适中）、关注某方面的内容等</t>
  </si>
  <si>
    <t>样本经历具有较高的筛选性，生活中较少人群会满足，如：玩过特定的某类或某款游戏（类别或指定游戏受众规模较少，MAU在1000w以下）、看过指定的动漫（热度较低）、关注较小众的内容等</t>
  </si>
  <si>
    <t>对样本经历深度没有或仅有基础的约束要求，如：玩过某款或某类游戏至少体验1周以上 / 对游戏状态（留存/流失）无要求 / 对某内容有过接触，并有基础了解等</t>
  </si>
  <si>
    <t>对样本经历深度有中等的约束要求，如：玩过某款或某类游戏至少体验1个月以上 / 要求目前还在玩某款或某类游戏 / 要求在指定的某款或某类游戏中有任意额度付费经历 / 对某内容有较多接触，并有较多了解</t>
  </si>
  <si>
    <t>对样本经历深度有困难的约束要求，如：玩过某款或某类游戏至少体验3个月以上 / 要求玩过多款某类型的游戏 / 要求在指定的某款或某类游戏中有100+付费经历等 / 对某内容有深度接触，并非常了解</t>
  </si>
  <si>
    <t>人口学结构</t>
  </si>
  <si>
    <t>有要求</t>
  </si>
  <si>
    <t>针对调研样本的性别、年龄、职业、地域等任意人口学条件做比例或配额要求</t>
  </si>
  <si>
    <t>无要求</t>
  </si>
  <si>
    <t>无人口学配比要求</t>
  </si>
  <si>
    <t xml:space="preserve">  点击返回【海外资源成本估算表】</t>
  </si>
  <si>
    <t>【UX】玩家礼金&amp;招募费用标准</t>
  </si>
  <si>
    <t>【UX】问卷调研费用标准</t>
  </si>
  <si>
    <t>【UX】兼职人力费用标准</t>
  </si>
  <si>
    <t>【UX】CAA投放费用标准</t>
  </si>
  <si>
    <t>国家</t>
  </si>
  <si>
    <t>玩家礼金标准</t>
  </si>
  <si>
    <t>招募费用标准</t>
  </si>
  <si>
    <t>基础工资（元/天）</t>
  </si>
  <si>
    <t>激励提成（元/有效样本）</t>
  </si>
  <si>
    <r>
      <rPr>
        <b/>
        <sz val="10"/>
        <color theme="0"/>
        <rFont val="微软雅黑"/>
        <charset val="134"/>
      </rPr>
      <t xml:space="preserve">图片素材
</t>
    </r>
    <r>
      <rPr>
        <sz val="8"/>
        <color theme="0"/>
        <rFont val="微软雅黑"/>
        <charset val="134"/>
      </rPr>
      <t>（约1.5~2w曝光量）</t>
    </r>
  </si>
  <si>
    <r>
      <rPr>
        <b/>
        <sz val="10"/>
        <color theme="0"/>
        <rFont val="微软雅黑"/>
        <charset val="134"/>
      </rPr>
      <t xml:space="preserve">视频素材
</t>
    </r>
    <r>
      <rPr>
        <sz val="8"/>
        <color theme="0"/>
        <rFont val="微软雅黑"/>
        <charset val="134"/>
      </rPr>
      <t>（约1.5~2w曝光量）</t>
    </r>
  </si>
  <si>
    <r>
      <rPr>
        <b/>
        <sz val="10"/>
        <color theme="1" tint="0.0499893185216834"/>
        <rFont val="微软雅黑"/>
        <charset val="134"/>
      </rPr>
      <t>常规用户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（普通游戏玩家，无身份/职业限制要求）</t>
    </r>
  </si>
  <si>
    <t>实验室测试/座谈会</t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</si>
  <si>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200元/人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（每超过0.5H，费用增加50元/人）</t>
    </r>
  </si>
  <si>
    <r>
      <rPr>
        <sz val="10"/>
        <color theme="1" tint="0.249977111117893"/>
        <rFont val="微软雅黑"/>
        <charset val="134"/>
      </rPr>
      <t>50~200元/人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（视需求难度及紧迫度情况启用）</t>
    </r>
  </si>
  <si>
    <r>
      <rPr>
        <b/>
        <sz val="10"/>
        <color theme="0"/>
        <rFont val="微软雅黑"/>
        <charset val="134"/>
      </rPr>
      <t>中国</t>
    </r>
    <r>
      <rPr>
        <sz val="9"/>
        <color theme="0"/>
        <rFont val="微软雅黑"/>
        <charset val="134"/>
      </rPr>
      <t>（单位:元/有效样本）</t>
    </r>
  </si>
  <si>
    <t>入户调研</t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</si>
  <si>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300元/人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（每超过0.5H，费用增加70元/人）</t>
    </r>
  </si>
  <si>
    <r>
      <rPr>
        <sz val="10"/>
        <color theme="1" tint="0.249977111117893"/>
        <rFont val="微软雅黑"/>
        <charset val="134"/>
      </rPr>
      <t>100~200元/人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（视需求难度及紧迫度情况启用）</t>
    </r>
  </si>
  <si>
    <t>10~30min/样本</t>
  </si>
  <si>
    <t>日韩</t>
  </si>
  <si>
    <t>线上深访/测试</t>
  </si>
  <si>
    <r>
      <rPr>
        <sz val="10"/>
        <color theme="1" tint="0.249977111117893"/>
        <rFont val="微软雅黑"/>
        <charset val="134"/>
      </rPr>
      <t>1H及以内</t>
    </r>
    <r>
      <rPr>
        <sz val="10"/>
        <color rgb="FFC00000"/>
        <rFont val="微软雅黑"/>
        <charset val="134"/>
      </rPr>
      <t>80元/人</t>
    </r>
    <r>
      <rPr>
        <sz val="10"/>
        <color theme="1" tint="0.249977111117893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（每超过0.5H，费用增加40元/人）</t>
    </r>
  </si>
  <si>
    <r>
      <rPr>
        <sz val="10"/>
        <color theme="1" tint="0.249977111117893"/>
        <rFont val="微软雅黑"/>
        <charset val="134"/>
      </rPr>
      <t>50~70元/人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（视需求难度及紧迫度情况启用）</t>
    </r>
  </si>
  <si>
    <t>保密性导量测试</t>
  </si>
  <si>
    <t>仅要求首日登录</t>
  </si>
  <si>
    <r>
      <rPr>
        <sz val="10"/>
        <color rgb="FFC00000"/>
        <rFont val="微软雅黑"/>
        <charset val="134"/>
      </rPr>
      <t>50元/人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（含导量费）</t>
    </r>
  </si>
  <si>
    <t>含礼金标准中</t>
  </si>
  <si>
    <r>
      <rPr>
        <sz val="10"/>
        <color theme="1" tint="0.249977111117893"/>
        <rFont val="微软雅黑"/>
        <charset val="134"/>
      </rPr>
      <t xml:space="preserve">要求三日登录
</t>
    </r>
    <r>
      <rPr>
        <sz val="8"/>
        <color theme="1" tint="0.499984740745262"/>
        <rFont val="微软雅黑"/>
        <charset val="134"/>
      </rPr>
      <t>（每日体验2H及以内）</t>
    </r>
  </si>
  <si>
    <r>
      <rPr>
        <sz val="10"/>
        <color rgb="FFC00000"/>
        <rFont val="微软雅黑"/>
        <charset val="134"/>
      </rPr>
      <t>150元/人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（含导量费）</t>
    </r>
  </si>
  <si>
    <t>2小时以内/场</t>
  </si>
  <si>
    <t>其他</t>
  </si>
  <si>
    <t>2~4小时/场</t>
  </si>
  <si>
    <r>
      <rPr>
        <sz val="10"/>
        <color theme="1" tint="0.249977111117893"/>
        <rFont val="微软雅黑"/>
        <charset val="134"/>
      </rPr>
      <t xml:space="preserve">要求五日登录
</t>
    </r>
    <r>
      <rPr>
        <sz val="8"/>
        <color theme="1" tint="0.499984740745262"/>
        <rFont val="微软雅黑"/>
        <charset val="134"/>
      </rPr>
      <t>（每日体验2H及以内）</t>
    </r>
  </si>
  <si>
    <r>
      <rPr>
        <sz val="10"/>
        <color rgb="FFC00000"/>
        <rFont val="微软雅黑"/>
        <charset val="134"/>
      </rPr>
      <t>250元/人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（含导量费）</t>
    </r>
  </si>
  <si>
    <t>泛用户调研</t>
  </si>
  <si>
    <t>定向人群调研</t>
  </si>
  <si>
    <t>4~6小时/场</t>
  </si>
  <si>
    <r>
      <rPr>
        <sz val="10"/>
        <color theme="1" tint="0.249977111117893"/>
        <rFont val="微软雅黑"/>
        <charset val="134"/>
      </rPr>
      <t xml:space="preserve">要求七日登录
</t>
    </r>
    <r>
      <rPr>
        <sz val="8"/>
        <color theme="1" tint="0.499984740745262"/>
        <rFont val="微软雅黑"/>
        <charset val="134"/>
      </rPr>
      <t>（每日体验2H及以内）</t>
    </r>
  </si>
  <si>
    <r>
      <rPr>
        <sz val="10"/>
        <color rgb="FFC00000"/>
        <rFont val="微软雅黑"/>
        <charset val="134"/>
      </rPr>
      <t>350元/人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（含导量费）</t>
    </r>
  </si>
  <si>
    <r>
      <rPr>
        <b/>
        <sz val="10"/>
        <color theme="1" tint="0.0499893185216834"/>
        <rFont val="微软雅黑"/>
        <charset val="134"/>
      </rPr>
      <t>特殊用户</t>
    </r>
    <r>
      <rPr>
        <b/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（KOL/主播/超R）</t>
    </r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</si>
  <si>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 xml:space="preserve">600~1200元/人
</t>
    </r>
    <r>
      <rPr>
        <sz val="9"/>
        <color theme="1" tint="0.499984740745262"/>
        <rFont val="微软雅黑"/>
        <charset val="134"/>
      </rPr>
      <t>（因样本获取难度而波动）</t>
    </r>
  </si>
  <si>
    <r>
      <rPr>
        <sz val="10"/>
        <color theme="1" tint="0.249977111117893"/>
        <rFont val="微软雅黑"/>
        <charset val="134"/>
      </rPr>
      <t>200~300元/人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（视需求难度及紧迫度情况启用）</t>
    </r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</si>
  <si>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 xml:space="preserve">300~800元/人
</t>
    </r>
    <r>
      <rPr>
        <sz val="9"/>
        <color theme="1" tint="0.499984740745262"/>
        <rFont val="微软雅黑"/>
        <charset val="134"/>
      </rPr>
      <t>（因样本获取难度而波动）</t>
    </r>
  </si>
  <si>
    <r>
      <rPr>
        <sz val="10"/>
        <color theme="1" tint="0.249977111117893"/>
        <rFont val="微软雅黑"/>
        <charset val="134"/>
      </rPr>
      <t>150~200元/人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（视需求难度及紧迫度情况启用）</t>
    </r>
  </si>
  <si>
    <r>
      <rPr>
        <b/>
        <sz val="10"/>
        <color theme="1" tint="0.0499893185216834"/>
        <rFont val="微软雅黑"/>
        <charset val="134"/>
      </rPr>
      <t>小众用户</t>
    </r>
    <r>
      <rPr>
        <b/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（国内外籍/未成年/特定职业人群）</t>
    </r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</si>
  <si>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450元/人</t>
    </r>
    <r>
      <rPr>
        <sz val="10"/>
        <color theme="1" tint="0.249977111117893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（每超过0.5H，费用增115元/人）</t>
    </r>
  </si>
  <si>
    <t>300~400元/人</t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</si>
  <si>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350元/人</t>
    </r>
    <r>
      <rPr>
        <sz val="10"/>
        <color theme="1" tint="0.249977111117893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（每超过0.5H，费用增90元/人）</t>
    </r>
  </si>
  <si>
    <r>
      <rPr>
        <b/>
        <sz val="10"/>
        <color theme="1"/>
        <rFont val="微软雅黑"/>
        <charset val="134"/>
      </rPr>
      <t>常规用户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（普通游戏玩家，无身份/职业限制要求）</t>
    </r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</si>
  <si>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700元/人</t>
    </r>
    <r>
      <rPr>
        <sz val="10"/>
        <color theme="1" tint="0.249977111117893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（每超过0.5H，费用增175元/人）</t>
    </r>
  </si>
  <si>
    <t>250元/人</t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</si>
  <si>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440元/人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（每超过0.5H，费用增105元/人）</t>
    </r>
  </si>
  <si>
    <t>220元/人</t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</si>
  <si>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400元/人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（每超过0.5H，费用增100元/人）</t>
    </r>
  </si>
  <si>
    <r>
      <rPr>
        <sz val="10"/>
        <color theme="1" tint="0.249977111117893"/>
        <rFont val="微软雅黑"/>
        <charset val="134"/>
      </rPr>
      <t>2H及以内</t>
    </r>
    <r>
      <rPr>
        <sz val="10"/>
        <color rgb="FFC00000"/>
        <rFont val="微软雅黑"/>
        <charset val="134"/>
      </rPr>
      <t>300元/人</t>
    </r>
    <r>
      <rPr>
        <sz val="10"/>
        <color theme="1"/>
        <rFont val="微软雅黑"/>
        <charset val="134"/>
      </rPr>
      <t xml:space="preserve">
</t>
    </r>
    <r>
      <rPr>
        <sz val="9"/>
        <color theme="1" tint="0.499984740745262"/>
        <rFont val="微软雅黑"/>
        <charset val="134"/>
      </rPr>
      <t>（每超过0.5H，费用增75元/人）</t>
    </r>
  </si>
  <si>
    <t>200元/人</t>
  </si>
  <si>
    <r>
      <rPr>
        <b/>
        <sz val="10"/>
        <color theme="1"/>
        <rFont val="微软雅黑"/>
        <charset val="134"/>
      </rPr>
      <t xml:space="preserve">常规用户
</t>
    </r>
    <r>
      <rPr>
        <b/>
        <sz val="9"/>
        <color theme="1" tint="0.499984740745262"/>
        <rFont val="微软雅黑"/>
        <charset val="134"/>
      </rPr>
      <t>（普通游戏玩家，无身份/职业限制要求）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</si>
</sst>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.00_ "/>
  </numFmts>
  <fonts count="7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i/>
      <sz val="10"/>
      <color rgb="FF800080"/>
      <name val="微软雅黑"/>
      <charset val="134"/>
    </font>
    <font>
      <b/>
      <sz val="12"/>
      <color theme="0"/>
      <name val="微软雅黑"/>
      <charset val="134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 tint="0.0499893185216834"/>
      <name val="微软雅黑"/>
      <charset val="134"/>
    </font>
    <font>
      <sz val="10"/>
      <color theme="1" tint="0.249977111117893"/>
      <name val="微软雅黑"/>
      <charset val="134"/>
    </font>
    <font>
      <sz val="10"/>
      <color rgb="FFC00000"/>
      <name val="微软雅黑"/>
      <charset val="134"/>
    </font>
    <font>
      <sz val="9"/>
      <color theme="1" tint="0.499984740745262"/>
      <name val="微软雅黑"/>
      <charset val="134"/>
    </font>
    <font>
      <i/>
      <sz val="10"/>
      <color theme="1"/>
      <name val="微软雅黑"/>
      <charset val="134"/>
    </font>
    <font>
      <b/>
      <sz val="10"/>
      <color rgb="FFC0000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14"/>
      <color theme="0"/>
      <name val="微软雅黑"/>
      <charset val="134"/>
    </font>
    <font>
      <b/>
      <sz val="10"/>
      <color theme="4" tint="-0.499984740745262"/>
      <name val="微软雅黑"/>
      <charset val="134"/>
    </font>
    <font>
      <b/>
      <sz val="10"/>
      <color rgb="FF664A00"/>
      <name val="微软雅黑"/>
      <charset val="134"/>
    </font>
    <font>
      <b/>
      <sz val="10"/>
      <color theme="9" tint="-0.499984740745262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C00000"/>
      <name val="微软雅黑"/>
      <charset val="134"/>
    </font>
    <font>
      <sz val="9"/>
      <color theme="1"/>
      <name val="宋体"/>
      <charset val="134"/>
      <scheme val="minor"/>
    </font>
    <font>
      <b/>
      <sz val="10"/>
      <color theme="1" tint="0.149998474074526"/>
      <name val="微软雅黑"/>
      <charset val="134"/>
    </font>
    <font>
      <b/>
      <sz val="10"/>
      <color theme="1" tint="0.249977111117893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b/>
      <sz val="9"/>
      <color theme="0"/>
      <name val="微软雅黑"/>
      <charset val="134"/>
    </font>
    <font>
      <sz val="8"/>
      <color theme="1"/>
      <name val="微软雅黑"/>
      <charset val="134"/>
    </font>
    <font>
      <b/>
      <sz val="10"/>
      <color theme="5" tint="-0.499984740745262"/>
      <name val="微软雅黑"/>
      <charset val="134"/>
    </font>
    <font>
      <b/>
      <sz val="10"/>
      <color theme="3" tint="-0.499984740745262"/>
      <name val="微软雅黑"/>
      <charset val="134"/>
    </font>
    <font>
      <b/>
      <sz val="10"/>
      <color rgb="FF7030A0"/>
      <name val="微软雅黑"/>
      <charset val="134"/>
    </font>
    <font>
      <b/>
      <sz val="10"/>
      <color rgb="FF7E0000"/>
      <name val="微软雅黑"/>
      <charset val="134"/>
    </font>
    <font>
      <b/>
      <sz val="14"/>
      <color theme="1"/>
      <name val="微软雅黑"/>
      <charset val="134"/>
    </font>
    <font>
      <b/>
      <sz val="10"/>
      <color theme="7" tint="-0.499984740745262"/>
      <name val="微软雅黑"/>
      <charset val="134"/>
    </font>
    <font>
      <b/>
      <sz val="10"/>
      <color theme="3" tint="-0.249977111117893"/>
      <name val="微软雅黑"/>
      <charset val="134"/>
    </font>
    <font>
      <sz val="10"/>
      <color rgb="FF800080"/>
      <name val="微软雅黑"/>
      <charset val="134"/>
    </font>
    <font>
      <sz val="10"/>
      <color rgb="FF1C1F23"/>
      <name val="微软雅黑"/>
      <charset val="134"/>
    </font>
    <font>
      <b/>
      <sz val="18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 tint="0.149998474074526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 tint="0.499984740745262"/>
      <name val="微软雅黑"/>
      <charset val="134"/>
    </font>
    <font>
      <sz val="8"/>
      <color rgb="FFC00000"/>
      <name val="微软雅黑"/>
      <charset val="134"/>
    </font>
    <font>
      <sz val="9"/>
      <color theme="0"/>
      <name val="微软雅黑"/>
      <charset val="134"/>
    </font>
    <font>
      <sz val="8"/>
      <color theme="0"/>
      <name val="微软雅黑"/>
      <charset val="134"/>
    </font>
    <font>
      <sz val="9"/>
      <color theme="0" tint="-0.499984740745262"/>
      <name val="微软雅黑"/>
      <charset val="134"/>
    </font>
    <font>
      <b/>
      <sz val="16"/>
      <color theme="7" tint="0.399975585192419"/>
      <name val="微软雅黑"/>
      <charset val="134"/>
    </font>
    <font>
      <sz val="8"/>
      <color rgb="FFFFFFFF"/>
      <name val="微软雅黑"/>
      <charset val="134"/>
    </font>
    <font>
      <sz val="9"/>
      <color theme="1" tint="0.349986266670736"/>
      <name val="微软雅黑"/>
      <charset val="134"/>
    </font>
    <font>
      <i/>
      <sz val="9"/>
      <color theme="1" tint="0.349986266670736"/>
      <name val="微软雅黑"/>
      <charset val="134"/>
    </font>
    <font>
      <sz val="10"/>
      <color theme="1" tint="0.349986266670736"/>
      <name val="微软雅黑"/>
      <charset val="134"/>
    </font>
    <font>
      <i/>
      <sz val="9"/>
      <color theme="1"/>
      <name val="微软雅黑"/>
      <charset val="134"/>
    </font>
    <font>
      <b/>
      <sz val="9"/>
      <color theme="1" tint="0.499984740745262"/>
      <name val="微软雅黑"/>
      <charset val="134"/>
    </font>
    <font>
      <i/>
      <sz val="9"/>
      <color theme="1" tint="0.499984740745262"/>
      <name val="微软雅黑"/>
      <charset val="134"/>
    </font>
    <font>
      <b/>
      <sz val="16"/>
      <color theme="5" tint="0.399975585192419"/>
      <name val="微软雅黑"/>
      <charset val="134"/>
    </font>
    <font>
      <sz val="8"/>
      <color theme="1" tint="0.349986266670736"/>
      <name val="微软雅黑"/>
      <charset val="134"/>
    </font>
    <font>
      <sz val="10"/>
      <color theme="1" tint="0.499984740745262"/>
      <name val="微软雅黑"/>
      <charset val="134"/>
    </font>
    <font>
      <b/>
      <sz val="10"/>
      <color theme="4" tint="-0.249977111117893"/>
      <name val="微软雅黑"/>
      <charset val="134"/>
    </font>
    <font>
      <sz val="10"/>
      <color theme="1"/>
      <name val="楷体"/>
      <charset val="134"/>
    </font>
    <font>
      <b/>
      <sz val="10"/>
      <color rgb="FFFF0000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030A1C"/>
        <bgColor indexed="64"/>
      </patternFill>
    </fill>
    <fill>
      <patternFill patternType="solid">
        <fgColor rgb="FFC95B1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rgb="FF0510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/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/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6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0" tint="-0.349986266670736"/>
      </top>
      <bottom/>
      <diagonal/>
    </border>
    <border>
      <left/>
      <right style="thin">
        <color theme="0" tint="-0.349986266670736"/>
      </right>
      <top/>
      <bottom/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/>
      <top/>
      <bottom style="thin">
        <color theme="0" tint="-0.349986266670736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/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medium">
        <color theme="1"/>
      </top>
      <bottom style="thin">
        <color auto="1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theme="1"/>
      </bottom>
      <diagonal/>
    </border>
    <border>
      <left style="thin">
        <color theme="1" tint="0.499984740745262"/>
      </left>
      <right style="medium">
        <color theme="1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medium">
        <color theme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theme="0" tint="-0.149998474074526"/>
      </right>
      <top style="medium">
        <color auto="1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medium">
        <color auto="1"/>
      </top>
      <bottom style="thin">
        <color theme="0" tint="-0.149998474074526"/>
      </bottom>
      <diagonal/>
    </border>
    <border>
      <left style="thin">
        <color theme="0" tint="-0.149998474074526"/>
      </left>
      <right style="medium">
        <color auto="1"/>
      </right>
      <top style="medium">
        <color auto="1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medium">
        <color auto="1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medium">
        <color auto="1"/>
      </bottom>
      <diagonal/>
    </border>
    <border>
      <left style="thin">
        <color theme="0" tint="-0.149998474074526"/>
      </left>
      <right style="medium">
        <color auto="1"/>
      </right>
      <top style="thin">
        <color theme="0" tint="-0.149998474074526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/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/>
      <diagonal/>
    </border>
    <border>
      <left style="medium">
        <color theme="1" tint="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 tint="0.25"/>
      </left>
      <right/>
      <top style="medium">
        <color theme="1" tint="0.25"/>
      </top>
      <bottom/>
      <diagonal/>
    </border>
    <border>
      <left/>
      <right/>
      <top style="medium">
        <color theme="1" tint="0.25"/>
      </top>
      <bottom/>
      <diagonal/>
    </border>
    <border>
      <left/>
      <right style="medium">
        <color theme="1" tint="0.25"/>
      </right>
      <top style="medium">
        <color theme="1" tint="0.25"/>
      </top>
      <bottom/>
      <diagonal/>
    </border>
    <border>
      <left style="medium">
        <color theme="1" tint="0.25"/>
      </left>
      <right/>
      <top/>
      <bottom/>
      <diagonal/>
    </border>
    <border>
      <left/>
      <right style="medium">
        <color theme="1" tint="0.25"/>
      </right>
      <top/>
      <bottom/>
      <diagonal/>
    </border>
    <border>
      <left style="medium">
        <color theme="1" tint="0.25"/>
      </left>
      <right/>
      <top/>
      <bottom style="medium">
        <color theme="1" tint="0.25"/>
      </bottom>
      <diagonal/>
    </border>
    <border>
      <left/>
      <right/>
      <top/>
      <bottom style="medium">
        <color theme="1" tint="0.25"/>
      </bottom>
      <diagonal/>
    </border>
    <border>
      <left/>
      <right style="medium">
        <color theme="1" tint="0.25"/>
      </right>
      <top/>
      <bottom style="medium">
        <color theme="1" tint="0.25"/>
      </bottom>
      <diagonal/>
    </border>
    <border>
      <left/>
      <right style="medium">
        <color auto="1"/>
      </right>
      <top style="medium">
        <color theme="1" tint="0.25"/>
      </top>
      <bottom/>
      <diagonal/>
    </border>
    <border>
      <left/>
      <right style="medium">
        <color auto="1"/>
      </right>
      <top/>
      <bottom style="medium">
        <color theme="1" tint="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39" borderId="116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17" applyNumberFormat="0" applyFill="0" applyAlignment="0" applyProtection="0">
      <alignment vertical="center"/>
    </xf>
    <xf numFmtId="0" fontId="47" fillId="0" borderId="117" applyNumberFormat="0" applyFill="0" applyAlignment="0" applyProtection="0">
      <alignment vertical="center"/>
    </xf>
    <xf numFmtId="0" fontId="48" fillId="0" borderId="118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0" borderId="119" applyNumberFormat="0" applyAlignment="0" applyProtection="0">
      <alignment vertical="center"/>
    </xf>
    <xf numFmtId="0" fontId="50" fillId="41" borderId="120" applyNumberFormat="0" applyAlignment="0" applyProtection="0">
      <alignment vertical="center"/>
    </xf>
    <xf numFmtId="0" fontId="51" fillId="41" borderId="119" applyNumberFormat="0" applyAlignment="0" applyProtection="0">
      <alignment vertical="center"/>
    </xf>
    <xf numFmtId="0" fontId="52" fillId="42" borderId="121" applyNumberFormat="0" applyAlignment="0" applyProtection="0">
      <alignment vertical="center"/>
    </xf>
    <xf numFmtId="0" fontId="53" fillId="0" borderId="122" applyNumberFormat="0" applyFill="0" applyAlignment="0" applyProtection="0">
      <alignment vertical="center"/>
    </xf>
    <xf numFmtId="0" fontId="54" fillId="0" borderId="123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8" fillId="58" borderId="0" applyNumberFormat="0" applyBorder="0" applyAlignment="0" applyProtection="0">
      <alignment vertical="center"/>
    </xf>
  </cellStyleXfs>
  <cellXfs count="6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9" fontId="1" fillId="0" borderId="15" xfId="0" applyNumberFormat="1" applyFont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6" fillId="10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0" fontId="1" fillId="11" borderId="12" xfId="0" applyFont="1" applyFill="1" applyBorder="1" applyAlignment="1">
      <alignment vertical="center"/>
    </xf>
    <xf numFmtId="0" fontId="15" fillId="11" borderId="13" xfId="0" applyFont="1" applyFill="1" applyBorder="1" applyAlignment="1">
      <alignment vertical="center"/>
    </xf>
    <xf numFmtId="0" fontId="15" fillId="11" borderId="14" xfId="0" applyFont="1" applyFill="1" applyBorder="1" applyAlignment="1">
      <alignment vertical="center"/>
    </xf>
    <xf numFmtId="176" fontId="5" fillId="2" borderId="11" xfId="0" applyNumberFormat="1" applyFont="1" applyFill="1" applyBorder="1" applyAlignment="1">
      <alignment horizontal="center" vertical="center"/>
    </xf>
    <xf numFmtId="176" fontId="5" fillId="12" borderId="17" xfId="0" applyNumberFormat="1" applyFont="1" applyFill="1" applyBorder="1" applyAlignment="1">
      <alignment horizontal="center" vertical="center"/>
    </xf>
    <xf numFmtId="176" fontId="5" fillId="12" borderId="11" xfId="0" applyNumberFormat="1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1" fillId="4" borderId="11" xfId="0" applyNumberFormat="1" applyFont="1" applyFill="1" applyBorder="1" applyAlignment="1">
      <alignment horizontal="center" vertical="center" wrapText="1"/>
    </xf>
    <xf numFmtId="176" fontId="1" fillId="4" borderId="11" xfId="0" applyNumberFormat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20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76" fontId="14" fillId="0" borderId="2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16" borderId="0" xfId="0" applyFill="1">
      <alignment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7" fontId="5" fillId="2" borderId="0" xfId="0" applyNumberFormat="1" applyFont="1" applyFill="1" applyAlignment="1">
      <alignment horizontal="center" vertical="center"/>
    </xf>
    <xf numFmtId="177" fontId="5" fillId="17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22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6" fillId="18" borderId="0" xfId="0" applyNumberFormat="1" applyFont="1" applyFill="1" applyAlignment="1">
      <alignment horizontal="center" vertical="center"/>
    </xf>
    <xf numFmtId="176" fontId="1" fillId="18" borderId="0" xfId="0" applyNumberFormat="1" applyFont="1" applyFill="1" applyAlignment="1">
      <alignment horizontal="center" vertical="center"/>
    </xf>
    <xf numFmtId="178" fontId="1" fillId="18" borderId="0" xfId="0" applyNumberFormat="1" applyFont="1" applyFill="1" applyAlignment="1">
      <alignment horizontal="center" vertical="center"/>
    </xf>
    <xf numFmtId="176" fontId="6" fillId="18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76" fontId="1" fillId="16" borderId="0" xfId="0" applyNumberFormat="1" applyFont="1" applyFill="1" applyAlignment="1">
      <alignment horizontal="center" vertical="center"/>
    </xf>
    <xf numFmtId="177" fontId="1" fillId="16" borderId="0" xfId="0" applyNumberFormat="1" applyFont="1" applyFill="1" applyAlignment="1">
      <alignment horizontal="center" vertical="center"/>
    </xf>
    <xf numFmtId="177" fontId="22" fillId="16" borderId="0" xfId="0" applyNumberFormat="1" applyFont="1" applyFill="1" applyAlignment="1">
      <alignment horizontal="center" vertical="center"/>
    </xf>
    <xf numFmtId="177" fontId="5" fillId="16" borderId="0" xfId="0" applyNumberFormat="1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178" fontId="1" fillId="19" borderId="0" xfId="0" applyNumberFormat="1" applyFont="1" applyFill="1" applyAlignment="1">
      <alignment horizontal="center" vertical="center"/>
    </xf>
    <xf numFmtId="177" fontId="1" fillId="19" borderId="0" xfId="0" applyNumberFormat="1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77" fontId="1" fillId="18" borderId="0" xfId="0" applyNumberFormat="1" applyFont="1" applyFill="1" applyAlignment="1">
      <alignment horizontal="center" vertical="center"/>
    </xf>
    <xf numFmtId="177" fontId="5" fillId="18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3" fillId="4" borderId="8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4" fillId="11" borderId="0" xfId="0" applyFont="1" applyFill="1" applyAlignment="1">
      <alignment horizontal="left" vertical="center"/>
    </xf>
    <xf numFmtId="0" fontId="24" fillId="11" borderId="24" xfId="0" applyFont="1" applyFill="1" applyBorder="1" applyAlignment="1">
      <alignment horizontal="left" vertical="center"/>
    </xf>
    <xf numFmtId="0" fontId="25" fillId="22" borderId="2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176" fontId="5" fillId="12" borderId="17" xfId="0" applyNumberFormat="1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/>
    </xf>
    <xf numFmtId="0" fontId="27" fillId="10" borderId="17" xfId="0" applyFont="1" applyFill="1" applyBorder="1" applyAlignment="1">
      <alignment horizontal="center" vertical="center" wrapText="1"/>
    </xf>
    <xf numFmtId="0" fontId="1" fillId="10" borderId="19" xfId="0" applyNumberFormat="1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center" vertical="center"/>
    </xf>
    <xf numFmtId="176" fontId="1" fillId="4" borderId="12" xfId="0" applyNumberFormat="1" applyFont="1" applyFill="1" applyBorder="1" applyAlignment="1">
      <alignment horizontal="center" vertical="center"/>
    </xf>
    <xf numFmtId="176" fontId="1" fillId="4" borderId="26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1" fillId="10" borderId="11" xfId="0" applyNumberFormat="1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/>
    </xf>
    <xf numFmtId="0" fontId="1" fillId="4" borderId="19" xfId="0" applyNumberFormat="1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177" fontId="1" fillId="4" borderId="26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25" fillId="6" borderId="25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/>
    </xf>
    <xf numFmtId="176" fontId="5" fillId="2" borderId="19" xfId="0" applyNumberFormat="1" applyFont="1" applyFill="1" applyBorder="1" applyAlignment="1">
      <alignment horizontal="center" vertical="center"/>
    </xf>
    <xf numFmtId="176" fontId="5" fillId="12" borderId="19" xfId="0" applyNumberFormat="1" applyFont="1" applyFill="1" applyBorder="1" applyAlignment="1">
      <alignment horizontal="center" vertical="center"/>
    </xf>
    <xf numFmtId="176" fontId="5" fillId="12" borderId="27" xfId="0" applyNumberFormat="1" applyFont="1" applyFill="1" applyBorder="1" applyAlignment="1">
      <alignment horizontal="center" vertical="center" wrapText="1"/>
    </xf>
    <xf numFmtId="176" fontId="5" fillId="12" borderId="26" xfId="0" applyNumberFormat="1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/>
    </xf>
    <xf numFmtId="0" fontId="27" fillId="10" borderId="19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11" borderId="13" xfId="0" applyFont="1" applyFill="1" applyBorder="1" applyAlignment="1">
      <alignment vertical="center"/>
    </xf>
    <xf numFmtId="0" fontId="8" fillId="23" borderId="35" xfId="0" applyFont="1" applyFill="1" applyBorder="1" applyAlignment="1">
      <alignment vertical="center" wrapText="1"/>
    </xf>
    <xf numFmtId="0" fontId="16" fillId="4" borderId="18" xfId="0" applyFont="1" applyFill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17" fillId="4" borderId="18" xfId="0" applyFont="1" applyFill="1" applyBorder="1" applyAlignment="1">
      <alignment vertical="center"/>
    </xf>
    <xf numFmtId="0" fontId="18" fillId="4" borderId="18" xfId="0" applyFont="1" applyFill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8" fillId="24" borderId="11" xfId="0" applyFont="1" applyFill="1" applyBorder="1" applyAlignment="1">
      <alignment horizontal="center" vertical="center" wrapText="1"/>
    </xf>
    <xf numFmtId="0" fontId="1" fillId="19" borderId="0" xfId="0" applyFont="1" applyFill="1">
      <alignment vertical="center"/>
    </xf>
    <xf numFmtId="0" fontId="1" fillId="0" borderId="0" xfId="0" applyFont="1">
      <alignment vertical="center"/>
    </xf>
    <xf numFmtId="0" fontId="1" fillId="8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" fillId="19" borderId="0" xfId="0" applyNumberFormat="1" applyFont="1" applyFill="1" applyAlignment="1">
      <alignment horizontal="center" vertical="center"/>
    </xf>
    <xf numFmtId="179" fontId="1" fillId="19" borderId="0" xfId="0" applyNumberFormat="1" applyFont="1" applyFill="1" applyAlignment="1">
      <alignment horizontal="center" vertical="center"/>
    </xf>
    <xf numFmtId="179" fontId="1" fillId="25" borderId="0" xfId="0" applyNumberFormat="1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176" fontId="12" fillId="19" borderId="0" xfId="0" applyNumberFormat="1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176" fontId="1" fillId="24" borderId="0" xfId="0" applyNumberFormat="1" applyFont="1" applyFill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179" fontId="1" fillId="26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15" fillId="11" borderId="0" xfId="0" applyFont="1" applyFill="1" applyAlignment="1">
      <alignment horizontal="left" vertical="center"/>
    </xf>
    <xf numFmtId="0" fontId="32" fillId="11" borderId="0" xfId="0" applyFont="1" applyFill="1" applyAlignment="1">
      <alignment horizontal="left" vertical="center"/>
    </xf>
    <xf numFmtId="176" fontId="1" fillId="11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vertical="center" wrapText="1"/>
    </xf>
    <xf numFmtId="0" fontId="8" fillId="23" borderId="36" xfId="0" applyFont="1" applyFill="1" applyBorder="1" applyAlignment="1">
      <alignment vertical="center" wrapText="1"/>
    </xf>
    <xf numFmtId="0" fontId="16" fillId="23" borderId="37" xfId="0" applyFont="1" applyFill="1" applyBorder="1" applyAlignment="1">
      <alignment horizontal="center" vertical="center"/>
    </xf>
    <xf numFmtId="0" fontId="1" fillId="23" borderId="37" xfId="0" applyNumberFormat="1" applyFont="1" applyFill="1" applyBorder="1" applyAlignment="1">
      <alignment horizontal="center" vertical="center" wrapText="1"/>
    </xf>
    <xf numFmtId="176" fontId="1" fillId="23" borderId="37" xfId="0" applyNumberFormat="1" applyFont="1" applyFill="1" applyBorder="1" applyAlignment="1">
      <alignment horizontal="center" vertical="center"/>
    </xf>
    <xf numFmtId="176" fontId="1" fillId="23" borderId="38" xfId="0" applyNumberFormat="1" applyFont="1" applyFill="1" applyBorder="1" applyAlignment="1">
      <alignment horizontal="center" vertical="center"/>
    </xf>
    <xf numFmtId="0" fontId="28" fillId="23" borderId="11" xfId="0" applyFont="1" applyFill="1" applyBorder="1" applyAlignment="1">
      <alignment horizontal="center" vertical="center"/>
    </xf>
    <xf numFmtId="0" fontId="1" fillId="23" borderId="11" xfId="0" applyNumberFormat="1" applyFont="1" applyFill="1" applyBorder="1" applyAlignment="1">
      <alignment horizontal="center" vertical="center" wrapText="1"/>
    </xf>
    <xf numFmtId="176" fontId="1" fillId="23" borderId="11" xfId="0" applyNumberFormat="1" applyFont="1" applyFill="1" applyBorder="1" applyAlignment="1">
      <alignment horizontal="center" vertical="center"/>
    </xf>
    <xf numFmtId="176" fontId="1" fillId="23" borderId="39" xfId="0" applyNumberFormat="1" applyFont="1" applyFill="1" applyBorder="1" applyAlignment="1">
      <alignment horizontal="center" vertical="center"/>
    </xf>
    <xf numFmtId="0" fontId="33" fillId="23" borderId="11" xfId="0" applyFont="1" applyFill="1" applyBorder="1" applyAlignment="1">
      <alignment horizontal="center" vertical="center"/>
    </xf>
    <xf numFmtId="0" fontId="18" fillId="23" borderId="11" xfId="0" applyFont="1" applyFill="1" applyBorder="1" applyAlignment="1">
      <alignment horizontal="center" vertical="center"/>
    </xf>
    <xf numFmtId="0" fontId="34" fillId="23" borderId="40" xfId="0" applyFont="1" applyFill="1" applyBorder="1" applyAlignment="1">
      <alignment horizontal="center" vertical="center"/>
    </xf>
    <xf numFmtId="0" fontId="1" fillId="23" borderId="40" xfId="0" applyNumberFormat="1" applyFont="1" applyFill="1" applyBorder="1" applyAlignment="1">
      <alignment horizontal="center" vertical="center" wrapText="1"/>
    </xf>
    <xf numFmtId="176" fontId="1" fillId="23" borderId="40" xfId="0" applyNumberFormat="1" applyFont="1" applyFill="1" applyBorder="1" applyAlignment="1">
      <alignment horizontal="center" vertical="center"/>
    </xf>
    <xf numFmtId="176" fontId="1" fillId="23" borderId="41" xfId="0" applyNumberFormat="1" applyFont="1" applyFill="1" applyBorder="1" applyAlignment="1">
      <alignment horizontal="center" vertical="center"/>
    </xf>
    <xf numFmtId="0" fontId="8" fillId="23" borderId="35" xfId="0" applyFont="1" applyFill="1" applyBorder="1" applyAlignment="1">
      <alignment vertical="center"/>
    </xf>
    <xf numFmtId="0" fontId="1" fillId="23" borderId="42" xfId="0" applyNumberFormat="1" applyFont="1" applyFill="1" applyBorder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/>
    </xf>
    <xf numFmtId="0" fontId="1" fillId="23" borderId="14" xfId="0" applyNumberFormat="1" applyFont="1" applyFill="1" applyBorder="1" applyAlignment="1">
      <alignment horizontal="center" vertical="center" wrapText="1"/>
    </xf>
    <xf numFmtId="0" fontId="1" fillId="23" borderId="43" xfId="0" applyNumberFormat="1" applyFont="1" applyFill="1" applyBorder="1" applyAlignment="1">
      <alignment horizontal="center" vertical="center" wrapText="1"/>
    </xf>
    <xf numFmtId="0" fontId="34" fillId="23" borderId="18" xfId="0" applyFont="1" applyFill="1" applyBorder="1" applyAlignment="1">
      <alignment horizontal="center" vertical="center"/>
    </xf>
    <xf numFmtId="0" fontId="1" fillId="23" borderId="44" xfId="0" applyNumberFormat="1" applyFont="1" applyFill="1" applyBorder="1" applyAlignment="1">
      <alignment horizontal="center" vertical="center" wrapText="1"/>
    </xf>
    <xf numFmtId="0" fontId="1" fillId="23" borderId="18" xfId="0" applyNumberFormat="1" applyFont="1" applyFill="1" applyBorder="1" applyAlignment="1">
      <alignment horizontal="center" vertical="center" wrapText="1"/>
    </xf>
    <xf numFmtId="176" fontId="1" fillId="23" borderId="18" xfId="0" applyNumberFormat="1" applyFont="1" applyFill="1" applyBorder="1" applyAlignment="1">
      <alignment horizontal="center" vertical="center"/>
    </xf>
    <xf numFmtId="176" fontId="1" fillId="23" borderId="45" xfId="0" applyNumberFormat="1" applyFont="1" applyFill="1" applyBorder="1" applyAlignment="1">
      <alignment horizontal="center" vertical="center"/>
    </xf>
    <xf numFmtId="0" fontId="8" fillId="27" borderId="46" xfId="0" applyFont="1" applyFill="1" applyBorder="1" applyAlignment="1">
      <alignment vertical="center" wrapText="1"/>
    </xf>
    <xf numFmtId="0" fontId="16" fillId="27" borderId="47" xfId="0" applyFont="1" applyFill="1" applyBorder="1" applyAlignment="1">
      <alignment horizontal="center" vertical="center"/>
    </xf>
    <xf numFmtId="0" fontId="1" fillId="27" borderId="48" xfId="0" applyNumberFormat="1" applyFont="1" applyFill="1" applyBorder="1" applyAlignment="1">
      <alignment horizontal="center" vertical="center" wrapText="1"/>
    </xf>
    <xf numFmtId="0" fontId="1" fillId="27" borderId="49" xfId="0" applyNumberFormat="1" applyFont="1" applyFill="1" applyBorder="1" applyAlignment="1">
      <alignment horizontal="center" vertical="center" wrapText="1"/>
    </xf>
    <xf numFmtId="176" fontId="1" fillId="27" borderId="49" xfId="0" applyNumberFormat="1" applyFont="1" applyFill="1" applyBorder="1" applyAlignment="1">
      <alignment horizontal="center" vertical="center"/>
    </xf>
    <xf numFmtId="176" fontId="1" fillId="27" borderId="50" xfId="0" applyNumberFormat="1" applyFont="1" applyFill="1" applyBorder="1" applyAlignment="1">
      <alignment horizontal="center" vertical="center"/>
    </xf>
    <xf numFmtId="176" fontId="1" fillId="27" borderId="46" xfId="0" applyNumberFormat="1" applyFont="1" applyFill="1" applyBorder="1" applyAlignment="1">
      <alignment horizontal="center" vertical="center"/>
    </xf>
    <xf numFmtId="176" fontId="1" fillId="27" borderId="51" xfId="0" applyNumberFormat="1" applyFont="1" applyFill="1" applyBorder="1" applyAlignment="1">
      <alignment horizontal="center" vertical="center"/>
    </xf>
    <xf numFmtId="0" fontId="28" fillId="27" borderId="52" xfId="0" applyFont="1" applyFill="1" applyBorder="1" applyAlignment="1">
      <alignment horizontal="center" vertical="center"/>
    </xf>
    <xf numFmtId="0" fontId="1" fillId="27" borderId="14" xfId="0" applyNumberFormat="1" applyFont="1" applyFill="1" applyBorder="1" applyAlignment="1">
      <alignment horizontal="center" vertical="center" wrapText="1"/>
    </xf>
    <xf numFmtId="0" fontId="1" fillId="27" borderId="11" xfId="0" applyNumberFormat="1" applyFont="1" applyFill="1" applyBorder="1" applyAlignment="1">
      <alignment horizontal="center" vertical="center" wrapText="1"/>
    </xf>
    <xf numFmtId="176" fontId="1" fillId="27" borderId="11" xfId="0" applyNumberFormat="1" applyFont="1" applyFill="1" applyBorder="1" applyAlignment="1">
      <alignment horizontal="center" vertical="center"/>
    </xf>
    <xf numFmtId="176" fontId="1" fillId="27" borderId="19" xfId="0" applyNumberFormat="1" applyFont="1" applyFill="1" applyBorder="1" applyAlignment="1">
      <alignment horizontal="center" vertical="center"/>
    </xf>
    <xf numFmtId="176" fontId="1" fillId="27" borderId="0" xfId="0" applyNumberFormat="1" applyFont="1" applyFill="1" applyAlignment="1">
      <alignment horizontal="center" vertical="center"/>
    </xf>
    <xf numFmtId="176" fontId="1" fillId="27" borderId="33" xfId="0" applyNumberFormat="1" applyFont="1" applyFill="1" applyBorder="1" applyAlignment="1">
      <alignment horizontal="center" vertical="center"/>
    </xf>
    <xf numFmtId="176" fontId="1" fillId="27" borderId="53" xfId="0" applyNumberFormat="1" applyFont="1" applyFill="1" applyBorder="1" applyAlignment="1">
      <alignment horizontal="center" vertical="center"/>
    </xf>
    <xf numFmtId="0" fontId="33" fillId="27" borderId="52" xfId="0" applyFont="1" applyFill="1" applyBorder="1" applyAlignment="1">
      <alignment horizontal="center" vertical="center"/>
    </xf>
    <xf numFmtId="0" fontId="18" fillId="27" borderId="52" xfId="0" applyFont="1" applyFill="1" applyBorder="1" applyAlignment="1">
      <alignment horizontal="center" vertical="center"/>
    </xf>
    <xf numFmtId="0" fontId="1" fillId="27" borderId="33" xfId="0" applyFont="1" applyFill="1" applyBorder="1" applyAlignment="1">
      <alignment horizontal="center" vertical="center"/>
    </xf>
    <xf numFmtId="0" fontId="34" fillId="27" borderId="52" xfId="0" applyFont="1" applyFill="1" applyBorder="1" applyAlignment="1">
      <alignment horizontal="center" vertical="center"/>
    </xf>
    <xf numFmtId="176" fontId="1" fillId="27" borderId="54" xfId="0" applyNumberFormat="1" applyFont="1" applyFill="1" applyBorder="1" applyAlignment="1">
      <alignment horizontal="center" vertical="center"/>
    </xf>
    <xf numFmtId="0" fontId="1" fillId="27" borderId="54" xfId="0" applyFont="1" applyFill="1" applyBorder="1" applyAlignment="1">
      <alignment horizontal="center" vertical="center"/>
    </xf>
    <xf numFmtId="176" fontId="1" fillId="27" borderId="55" xfId="0" applyNumberFormat="1" applyFont="1" applyFill="1" applyBorder="1" applyAlignment="1">
      <alignment horizontal="center" vertical="center"/>
    </xf>
    <xf numFmtId="0" fontId="8" fillId="27" borderId="33" xfId="0" applyFont="1" applyFill="1" applyBorder="1" applyAlignment="1">
      <alignment vertical="center"/>
    </xf>
    <xf numFmtId="0" fontId="16" fillId="27" borderId="52" xfId="0" applyFont="1" applyFill="1" applyBorder="1" applyAlignment="1">
      <alignment horizontal="center" vertical="center"/>
    </xf>
    <xf numFmtId="176" fontId="1" fillId="27" borderId="56" xfId="0" applyNumberFormat="1" applyFont="1" applyFill="1" applyBorder="1" applyAlignment="1">
      <alignment horizontal="center" vertical="center"/>
    </xf>
    <xf numFmtId="176" fontId="1" fillId="27" borderId="57" xfId="0" applyNumberFormat="1" applyFont="1" applyFill="1" applyBorder="1" applyAlignment="1">
      <alignment horizontal="center" vertical="center"/>
    </xf>
    <xf numFmtId="0" fontId="8" fillId="27" borderId="33" xfId="0" applyFont="1" applyFill="1" applyBorder="1" applyAlignment="1">
      <alignment vertical="center" wrapText="1"/>
    </xf>
    <xf numFmtId="0" fontId="34" fillId="27" borderId="58" xfId="0" applyFont="1" applyFill="1" applyBorder="1" applyAlignment="1">
      <alignment horizontal="center" vertical="center"/>
    </xf>
    <xf numFmtId="0" fontId="1" fillId="27" borderId="59" xfId="0" applyNumberFormat="1" applyFont="1" applyFill="1" applyBorder="1" applyAlignment="1">
      <alignment horizontal="center" vertical="center" wrapText="1"/>
    </xf>
    <xf numFmtId="0" fontId="1" fillId="27" borderId="60" xfId="0" applyNumberFormat="1" applyFont="1" applyFill="1" applyBorder="1" applyAlignment="1">
      <alignment horizontal="center" vertical="center" wrapText="1"/>
    </xf>
    <xf numFmtId="176" fontId="1" fillId="27" borderId="60" xfId="0" applyNumberFormat="1" applyFont="1" applyFill="1" applyBorder="1" applyAlignment="1">
      <alignment horizontal="center" vertical="center"/>
    </xf>
    <xf numFmtId="176" fontId="1" fillId="27" borderId="61" xfId="0" applyNumberFormat="1" applyFont="1" applyFill="1" applyBorder="1" applyAlignment="1">
      <alignment horizontal="center" vertical="center"/>
    </xf>
    <xf numFmtId="176" fontId="1" fillId="27" borderId="62" xfId="0" applyNumberFormat="1" applyFont="1" applyFill="1" applyBorder="1" applyAlignment="1">
      <alignment horizontal="center" vertical="center"/>
    </xf>
    <xf numFmtId="0" fontId="8" fillId="8" borderId="63" xfId="0" applyFont="1" applyFill="1" applyBorder="1" applyAlignment="1">
      <alignment vertical="center" wrapText="1"/>
    </xf>
    <xf numFmtId="0" fontId="16" fillId="8" borderId="19" xfId="0" applyFont="1" applyFill="1" applyBorder="1" applyAlignment="1">
      <alignment horizontal="center" vertical="center"/>
    </xf>
    <xf numFmtId="0" fontId="1" fillId="8" borderId="19" xfId="0" applyNumberFormat="1" applyFont="1" applyFill="1" applyBorder="1" applyAlignment="1">
      <alignment horizontal="center" vertical="center" wrapText="1"/>
    </xf>
    <xf numFmtId="176" fontId="1" fillId="8" borderId="19" xfId="0" applyNumberFormat="1" applyFont="1" applyFill="1" applyBorder="1" applyAlignment="1">
      <alignment horizontal="center" vertical="center"/>
    </xf>
    <xf numFmtId="176" fontId="1" fillId="8" borderId="64" xfId="0" applyNumberFormat="1" applyFont="1" applyFill="1" applyBorder="1" applyAlignment="1">
      <alignment horizontal="center" vertical="center"/>
    </xf>
    <xf numFmtId="176" fontId="1" fillId="8" borderId="28" xfId="0" applyNumberFormat="1" applyFont="1" applyFill="1" applyBorder="1" applyAlignment="1">
      <alignment horizontal="center" vertical="center"/>
    </xf>
    <xf numFmtId="0" fontId="28" fillId="8" borderId="11" xfId="0" applyFont="1" applyFill="1" applyBorder="1" applyAlignment="1">
      <alignment horizontal="center" vertical="center"/>
    </xf>
    <xf numFmtId="0" fontId="1" fillId="8" borderId="11" xfId="0" applyNumberFormat="1" applyFont="1" applyFill="1" applyBorder="1" applyAlignment="1">
      <alignment horizontal="center" vertical="center" wrapText="1"/>
    </xf>
    <xf numFmtId="176" fontId="1" fillId="8" borderId="11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0" fontId="33" fillId="8" borderId="11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34" fillId="8" borderId="18" xfId="0" applyFont="1" applyFill="1" applyBorder="1" applyAlignment="1">
      <alignment horizontal="center" vertical="center"/>
    </xf>
    <xf numFmtId="0" fontId="1" fillId="8" borderId="18" xfId="0" applyNumberFormat="1" applyFont="1" applyFill="1" applyBorder="1" applyAlignment="1">
      <alignment horizontal="center" vertical="center" wrapText="1"/>
    </xf>
    <xf numFmtId="176" fontId="1" fillId="8" borderId="17" xfId="0" applyNumberFormat="1" applyFont="1" applyFill="1" applyBorder="1" applyAlignment="1">
      <alignment horizontal="center" vertical="center"/>
    </xf>
    <xf numFmtId="176" fontId="1" fillId="8" borderId="18" xfId="0" applyNumberFormat="1" applyFont="1" applyFill="1" applyBorder="1" applyAlignment="1">
      <alignment horizontal="center" vertical="center"/>
    </xf>
    <xf numFmtId="0" fontId="8" fillId="8" borderId="65" xfId="0" applyFont="1" applyFill="1" applyBorder="1" applyAlignment="1">
      <alignment vertical="center"/>
    </xf>
    <xf numFmtId="0" fontId="16" fillId="8" borderId="66" xfId="0" applyFont="1" applyFill="1" applyBorder="1" applyAlignment="1">
      <alignment horizontal="center" vertical="center"/>
    </xf>
    <xf numFmtId="0" fontId="1" fillId="8" borderId="66" xfId="0" applyNumberFormat="1" applyFont="1" applyFill="1" applyBorder="1" applyAlignment="1">
      <alignment horizontal="center" vertical="center" wrapText="1"/>
    </xf>
    <xf numFmtId="176" fontId="1" fillId="8" borderId="66" xfId="0" applyNumberFormat="1" applyFont="1" applyFill="1" applyBorder="1" applyAlignment="1">
      <alignment horizontal="center" vertical="center"/>
    </xf>
    <xf numFmtId="176" fontId="1" fillId="8" borderId="67" xfId="0" applyNumberFormat="1" applyFont="1" applyFill="1" applyBorder="1" applyAlignment="1">
      <alignment horizontal="center" vertical="center"/>
    </xf>
    <xf numFmtId="0" fontId="28" fillId="8" borderId="68" xfId="0" applyFont="1" applyFill="1" applyBorder="1" applyAlignment="1">
      <alignment horizontal="center" vertical="center"/>
    </xf>
    <xf numFmtId="0" fontId="1" fillId="8" borderId="68" xfId="0" applyNumberFormat="1" applyFont="1" applyFill="1" applyBorder="1" applyAlignment="1">
      <alignment horizontal="center" vertical="center" wrapText="1"/>
    </xf>
    <xf numFmtId="176" fontId="1" fillId="8" borderId="68" xfId="0" applyNumberFormat="1" applyFont="1" applyFill="1" applyBorder="1" applyAlignment="1">
      <alignment horizontal="center" vertical="center"/>
    </xf>
    <xf numFmtId="176" fontId="1" fillId="8" borderId="69" xfId="0" applyNumberFormat="1" applyFont="1" applyFill="1" applyBorder="1" applyAlignment="1">
      <alignment horizontal="center" vertical="center"/>
    </xf>
    <xf numFmtId="0" fontId="33" fillId="8" borderId="68" xfId="0" applyFont="1" applyFill="1" applyBorder="1" applyAlignment="1">
      <alignment horizontal="center" vertical="center"/>
    </xf>
    <xf numFmtId="0" fontId="18" fillId="8" borderId="68" xfId="0" applyFont="1" applyFill="1" applyBorder="1" applyAlignment="1">
      <alignment horizontal="center" vertical="center"/>
    </xf>
    <xf numFmtId="0" fontId="34" fillId="8" borderId="70" xfId="0" applyFont="1" applyFill="1" applyBorder="1" applyAlignment="1">
      <alignment horizontal="center" vertical="center"/>
    </xf>
    <xf numFmtId="0" fontId="1" fillId="8" borderId="70" xfId="0" applyNumberFormat="1" applyFont="1" applyFill="1" applyBorder="1" applyAlignment="1">
      <alignment horizontal="center" vertical="center" wrapText="1"/>
    </xf>
    <xf numFmtId="176" fontId="1" fillId="8" borderId="70" xfId="0" applyNumberFormat="1" applyFont="1" applyFill="1" applyBorder="1" applyAlignment="1">
      <alignment horizontal="center" vertical="center"/>
    </xf>
    <xf numFmtId="176" fontId="1" fillId="8" borderId="71" xfId="0" applyNumberFormat="1" applyFont="1" applyFill="1" applyBorder="1" applyAlignment="1">
      <alignment horizontal="center" vertical="center"/>
    </xf>
    <xf numFmtId="0" fontId="8" fillId="8" borderId="72" xfId="0" applyFont="1" applyFill="1" applyBorder="1" applyAlignment="1">
      <alignment vertical="center" wrapText="1"/>
    </xf>
    <xf numFmtId="0" fontId="16" fillId="8" borderId="73" xfId="0" applyFont="1" applyFill="1" applyBorder="1" applyAlignment="1">
      <alignment horizontal="center" vertical="center"/>
    </xf>
    <xf numFmtId="0" fontId="1" fillId="8" borderId="73" xfId="0" applyNumberFormat="1" applyFont="1" applyFill="1" applyBorder="1" applyAlignment="1">
      <alignment horizontal="center" vertical="center" wrapText="1"/>
    </xf>
    <xf numFmtId="176" fontId="1" fillId="8" borderId="73" xfId="0" applyNumberFormat="1" applyFont="1" applyFill="1" applyBorder="1" applyAlignment="1">
      <alignment horizontal="center" vertical="center"/>
    </xf>
    <xf numFmtId="176" fontId="1" fillId="8" borderId="74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6" fontId="1" fillId="8" borderId="57" xfId="0" applyNumberFormat="1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0" fontId="1" fillId="8" borderId="15" xfId="0" applyNumberFormat="1" applyFont="1" applyFill="1" applyBorder="1" applyAlignment="1">
      <alignment horizontal="center" vertical="center" wrapText="1"/>
    </xf>
    <xf numFmtId="176" fontId="1" fillId="8" borderId="75" xfId="0" applyNumberFormat="1" applyFont="1" applyFill="1" applyBorder="1" applyAlignment="1">
      <alignment horizontal="center" vertical="center"/>
    </xf>
    <xf numFmtId="176" fontId="1" fillId="8" borderId="15" xfId="0" applyNumberFormat="1" applyFont="1" applyFill="1" applyBorder="1" applyAlignment="1">
      <alignment horizontal="center" vertical="center"/>
    </xf>
    <xf numFmtId="176" fontId="1" fillId="8" borderId="76" xfId="0" applyNumberFormat="1" applyFont="1" applyFill="1" applyBorder="1" applyAlignment="1">
      <alignment horizontal="center" vertical="center"/>
    </xf>
    <xf numFmtId="0" fontId="33" fillId="8" borderId="15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34" fillId="8" borderId="77" xfId="0" applyFont="1" applyFill="1" applyBorder="1" applyAlignment="1">
      <alignment horizontal="center" vertical="center"/>
    </xf>
    <xf numFmtId="0" fontId="1" fillId="8" borderId="77" xfId="0" applyNumberFormat="1" applyFont="1" applyFill="1" applyBorder="1" applyAlignment="1">
      <alignment horizontal="center" vertical="center" wrapText="1"/>
    </xf>
    <xf numFmtId="176" fontId="1" fillId="8" borderId="78" xfId="0" applyNumberFormat="1" applyFont="1" applyFill="1" applyBorder="1" applyAlignment="1">
      <alignment horizontal="center" vertical="center"/>
    </xf>
    <xf numFmtId="176" fontId="1" fillId="8" borderId="77" xfId="0" applyNumberFormat="1" applyFont="1" applyFill="1" applyBorder="1" applyAlignment="1">
      <alignment horizontal="center" vertical="center"/>
    </xf>
    <xf numFmtId="176" fontId="1" fillId="8" borderId="79" xfId="0" applyNumberFormat="1" applyFont="1" applyFill="1" applyBorder="1" applyAlignment="1">
      <alignment horizontal="center" vertical="center"/>
    </xf>
    <xf numFmtId="176" fontId="1" fillId="8" borderId="44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8" borderId="80" xfId="0" applyNumberFormat="1" applyFont="1" applyFill="1" applyBorder="1" applyAlignment="1">
      <alignment horizontal="center" vertical="center"/>
    </xf>
    <xf numFmtId="0" fontId="8" fillId="23" borderId="81" xfId="0" applyFont="1" applyFill="1" applyBorder="1" applyAlignment="1">
      <alignment vertical="center" wrapText="1"/>
    </xf>
    <xf numFmtId="0" fontId="16" fillId="23" borderId="82" xfId="0" applyFont="1" applyFill="1" applyBorder="1" applyAlignment="1">
      <alignment horizontal="center" vertical="center"/>
    </xf>
    <xf numFmtId="0" fontId="1" fillId="23" borderId="82" xfId="0" applyNumberFormat="1" applyFont="1" applyFill="1" applyBorder="1" applyAlignment="1">
      <alignment horizontal="center" vertical="center" wrapText="1"/>
    </xf>
    <xf numFmtId="176" fontId="1" fillId="23" borderId="82" xfId="0" applyNumberFormat="1" applyFont="1" applyFill="1" applyBorder="1" applyAlignment="1">
      <alignment horizontal="center" vertical="center"/>
    </xf>
    <xf numFmtId="176" fontId="1" fillId="23" borderId="83" xfId="0" applyNumberFormat="1" applyFont="1" applyFill="1" applyBorder="1" applyAlignment="1">
      <alignment horizontal="center" vertical="center"/>
    </xf>
    <xf numFmtId="176" fontId="1" fillId="23" borderId="84" xfId="0" applyNumberFormat="1" applyFont="1" applyFill="1" applyBorder="1" applyAlignment="1">
      <alignment horizontal="center" vertical="center"/>
    </xf>
    <xf numFmtId="176" fontId="1" fillId="23" borderId="85" xfId="0" applyNumberFormat="1" applyFont="1" applyFill="1" applyBorder="1" applyAlignment="1">
      <alignment horizontal="center" vertical="center"/>
    </xf>
    <xf numFmtId="176" fontId="1" fillId="23" borderId="86" xfId="0" applyNumberFormat="1" applyFont="1" applyFill="1" applyBorder="1" applyAlignment="1">
      <alignment horizontal="center" vertical="center"/>
    </xf>
    <xf numFmtId="0" fontId="28" fillId="23" borderId="15" xfId="0" applyFont="1" applyFill="1" applyBorder="1" applyAlignment="1">
      <alignment horizontal="center" vertical="center"/>
    </xf>
    <xf numFmtId="0" fontId="1" fillId="23" borderId="15" xfId="0" applyNumberFormat="1" applyFont="1" applyFill="1" applyBorder="1" applyAlignment="1">
      <alignment horizontal="center" vertical="center" wrapText="1"/>
    </xf>
    <xf numFmtId="176" fontId="1" fillId="23" borderId="15" xfId="0" applyNumberFormat="1" applyFont="1" applyFill="1" applyBorder="1" applyAlignment="1">
      <alignment horizontal="center" vertical="center"/>
    </xf>
    <xf numFmtId="176" fontId="1" fillId="23" borderId="87" xfId="0" applyNumberFormat="1" applyFont="1" applyFill="1" applyBorder="1" applyAlignment="1">
      <alignment horizontal="center" vertical="center"/>
    </xf>
    <xf numFmtId="176" fontId="1" fillId="23" borderId="88" xfId="0" applyNumberFormat="1" applyFont="1" applyFill="1" applyBorder="1" applyAlignment="1">
      <alignment horizontal="center" vertical="center"/>
    </xf>
    <xf numFmtId="176" fontId="1" fillId="23" borderId="89" xfId="0" applyNumberFormat="1" applyFont="1" applyFill="1" applyBorder="1" applyAlignment="1">
      <alignment horizontal="center" vertical="center"/>
    </xf>
    <xf numFmtId="0" fontId="33" fillId="23" borderId="15" xfId="0" applyFont="1" applyFill="1" applyBorder="1" applyAlignment="1">
      <alignment horizontal="center" vertical="center"/>
    </xf>
    <xf numFmtId="0" fontId="18" fillId="23" borderId="15" xfId="0" applyFont="1" applyFill="1" applyBorder="1" applyAlignment="1">
      <alignment horizontal="center" vertical="center"/>
    </xf>
    <xf numFmtId="0" fontId="34" fillId="23" borderId="90" xfId="0" applyFont="1" applyFill="1" applyBorder="1" applyAlignment="1">
      <alignment horizontal="center" vertical="center"/>
    </xf>
    <xf numFmtId="0" fontId="1" fillId="23" borderId="90" xfId="0" applyNumberFormat="1" applyFont="1" applyFill="1" applyBorder="1" applyAlignment="1">
      <alignment horizontal="center" vertical="center" wrapText="1"/>
    </xf>
    <xf numFmtId="176" fontId="1" fillId="23" borderId="90" xfId="0" applyNumberFormat="1" applyFont="1" applyFill="1" applyBorder="1" applyAlignment="1">
      <alignment horizontal="center" vertical="center"/>
    </xf>
    <xf numFmtId="176" fontId="1" fillId="23" borderId="91" xfId="0" applyNumberFormat="1" applyFont="1" applyFill="1" applyBorder="1" applyAlignment="1">
      <alignment horizontal="center" vertical="center"/>
    </xf>
    <xf numFmtId="0" fontId="8" fillId="23" borderId="81" xfId="0" applyFont="1" applyFill="1" applyBorder="1" applyAlignment="1">
      <alignment vertical="center"/>
    </xf>
    <xf numFmtId="176" fontId="1" fillId="23" borderId="92" xfId="0" applyNumberFormat="1" applyFont="1" applyFill="1" applyBorder="1" applyAlignment="1">
      <alignment horizontal="center" vertical="center"/>
    </xf>
    <xf numFmtId="176" fontId="1" fillId="23" borderId="93" xfId="0" applyNumberFormat="1" applyFont="1" applyFill="1" applyBorder="1" applyAlignment="1">
      <alignment horizontal="center" vertical="center"/>
    </xf>
    <xf numFmtId="176" fontId="1" fillId="23" borderId="94" xfId="0" applyNumberFormat="1" applyFont="1" applyFill="1" applyBorder="1" applyAlignment="1">
      <alignment horizontal="center" vertical="center"/>
    </xf>
    <xf numFmtId="0" fontId="8" fillId="28" borderId="95" xfId="0" applyFont="1" applyFill="1" applyBorder="1" applyAlignment="1">
      <alignment vertical="center"/>
    </xf>
    <xf numFmtId="0" fontId="16" fillId="28" borderId="19" xfId="0" applyFont="1" applyFill="1" applyBorder="1" applyAlignment="1">
      <alignment horizontal="center" vertical="center"/>
    </xf>
    <xf numFmtId="0" fontId="1" fillId="28" borderId="19" xfId="0" applyNumberFormat="1" applyFont="1" applyFill="1" applyBorder="1" applyAlignment="1">
      <alignment horizontal="center" vertical="center" wrapText="1"/>
    </xf>
    <xf numFmtId="176" fontId="1" fillId="28" borderId="19" xfId="0" applyNumberFormat="1" applyFont="1" applyFill="1" applyBorder="1" applyAlignment="1">
      <alignment horizontal="center" vertical="center"/>
    </xf>
    <xf numFmtId="176" fontId="1" fillId="28" borderId="84" xfId="0" applyNumberFormat="1" applyFont="1" applyFill="1" applyBorder="1" applyAlignment="1">
      <alignment horizontal="center" vertical="center"/>
    </xf>
    <xf numFmtId="176" fontId="1" fillId="28" borderId="85" xfId="0" applyNumberFormat="1" applyFont="1" applyFill="1" applyBorder="1" applyAlignment="1">
      <alignment horizontal="center" vertical="center"/>
    </xf>
    <xf numFmtId="176" fontId="1" fillId="28" borderId="86" xfId="0" applyNumberFormat="1" applyFont="1" applyFill="1" applyBorder="1" applyAlignment="1">
      <alignment horizontal="center" vertical="center"/>
    </xf>
    <xf numFmtId="0" fontId="28" fillId="28" borderId="11" xfId="0" applyFont="1" applyFill="1" applyBorder="1" applyAlignment="1">
      <alignment horizontal="center" vertical="center"/>
    </xf>
    <xf numFmtId="0" fontId="1" fillId="28" borderId="11" xfId="0" applyNumberFormat="1" applyFont="1" applyFill="1" applyBorder="1" applyAlignment="1">
      <alignment horizontal="center" vertical="center" wrapText="1"/>
    </xf>
    <xf numFmtId="176" fontId="1" fillId="28" borderId="11" xfId="0" applyNumberFormat="1" applyFont="1" applyFill="1" applyBorder="1" applyAlignment="1">
      <alignment horizontal="center" vertical="center"/>
    </xf>
    <xf numFmtId="176" fontId="1" fillId="28" borderId="88" xfId="0" applyNumberFormat="1" applyFont="1" applyFill="1" applyBorder="1" applyAlignment="1">
      <alignment horizontal="center" vertical="center"/>
    </xf>
    <xf numFmtId="176" fontId="1" fillId="28" borderId="15" xfId="0" applyNumberFormat="1" applyFont="1" applyFill="1" applyBorder="1" applyAlignment="1">
      <alignment horizontal="center" vertical="center"/>
    </xf>
    <xf numFmtId="176" fontId="1" fillId="28" borderId="89" xfId="0" applyNumberFormat="1" applyFont="1" applyFill="1" applyBorder="1" applyAlignment="1">
      <alignment horizontal="center" vertical="center"/>
    </xf>
    <xf numFmtId="0" fontId="33" fillId="28" borderId="11" xfId="0" applyFont="1" applyFill="1" applyBorder="1" applyAlignment="1">
      <alignment horizontal="center" vertical="center"/>
    </xf>
    <xf numFmtId="0" fontId="18" fillId="28" borderId="11" xfId="0" applyFont="1" applyFill="1" applyBorder="1" applyAlignment="1">
      <alignment horizontal="center" vertical="center"/>
    </xf>
    <xf numFmtId="0" fontId="34" fillId="28" borderId="11" xfId="0" applyFont="1" applyFill="1" applyBorder="1" applyAlignment="1">
      <alignment horizontal="center" vertical="center"/>
    </xf>
    <xf numFmtId="0" fontId="8" fillId="28" borderId="33" xfId="0" applyFont="1" applyFill="1" applyBorder="1" applyAlignment="1">
      <alignment vertical="center"/>
    </xf>
    <xf numFmtId="0" fontId="16" fillId="28" borderId="11" xfId="0" applyFont="1" applyFill="1" applyBorder="1" applyAlignment="1">
      <alignment horizontal="center" vertical="center"/>
    </xf>
    <xf numFmtId="0" fontId="8" fillId="28" borderId="33" xfId="0" applyFont="1" applyFill="1" applyBorder="1" applyAlignment="1">
      <alignment vertical="center" wrapText="1"/>
    </xf>
    <xf numFmtId="176" fontId="1" fillId="28" borderId="92" xfId="0" applyNumberFormat="1" applyFont="1" applyFill="1" applyBorder="1" applyAlignment="1">
      <alignment horizontal="center" vertical="center"/>
    </xf>
    <xf numFmtId="176" fontId="1" fillId="28" borderId="93" xfId="0" applyNumberFormat="1" applyFont="1" applyFill="1" applyBorder="1" applyAlignment="1">
      <alignment horizontal="center" vertical="center"/>
    </xf>
    <xf numFmtId="176" fontId="1" fillId="28" borderId="94" xfId="0" applyNumberFormat="1" applyFont="1" applyFill="1" applyBorder="1" applyAlignment="1">
      <alignment horizontal="center" vertical="center"/>
    </xf>
    <xf numFmtId="176" fontId="1" fillId="4" borderId="14" xfId="0" applyNumberFormat="1" applyFont="1" applyFill="1" applyBorder="1" applyAlignment="1">
      <alignment horizontal="center" vertical="center"/>
    </xf>
    <xf numFmtId="176" fontId="1" fillId="28" borderId="0" xfId="0" applyNumberFormat="1" applyFont="1" applyFill="1" applyAlignment="1">
      <alignment horizontal="center" vertical="center"/>
    </xf>
    <xf numFmtId="0" fontId="28" fillId="4" borderId="11" xfId="0" applyFont="1" applyFill="1" applyBorder="1" applyAlignment="1">
      <alignment horizontal="center" vertical="center"/>
    </xf>
    <xf numFmtId="0" fontId="33" fillId="4" borderId="11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vertical="center" wrapText="1"/>
    </xf>
    <xf numFmtId="0" fontId="1" fillId="4" borderId="9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5" fillId="4" borderId="96" xfId="6" applyFont="1" applyFill="1" applyBorder="1" applyAlignment="1">
      <alignment horizontal="center" vertical="center" wrapText="1"/>
    </xf>
    <xf numFmtId="0" fontId="35" fillId="4" borderId="0" xfId="6" applyFont="1" applyFill="1" applyBorder="1" applyAlignment="1">
      <alignment horizontal="center" vertical="center" wrapText="1"/>
    </xf>
    <xf numFmtId="0" fontId="35" fillId="4" borderId="25" xfId="6" applyFont="1" applyFill="1" applyBorder="1" applyAlignment="1">
      <alignment horizontal="center" vertical="center" wrapText="1"/>
    </xf>
    <xf numFmtId="0" fontId="35" fillId="4" borderId="0" xfId="6" applyFont="1" applyFill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176" fontId="5" fillId="2" borderId="26" xfId="0" applyNumberFormat="1" applyFont="1" applyFill="1" applyBorder="1" applyAlignment="1">
      <alignment horizontal="center" vertical="center"/>
    </xf>
    <xf numFmtId="176" fontId="5" fillId="12" borderId="26" xfId="0" applyNumberFormat="1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/>
    </xf>
    <xf numFmtId="176" fontId="5" fillId="12" borderId="14" xfId="0" applyNumberFormat="1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27" fillId="10" borderId="26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/>
    </xf>
    <xf numFmtId="0" fontId="1" fillId="4" borderId="26" xfId="0" applyNumberFormat="1" applyFont="1" applyFill="1" applyBorder="1" applyAlignment="1">
      <alignment horizontal="center" vertical="center" wrapText="1"/>
    </xf>
    <xf numFmtId="0" fontId="1" fillId="4" borderId="26" xfId="0" applyNumberFormat="1" applyFont="1" applyFill="1" applyBorder="1" applyAlignment="1">
      <alignment vertical="center" wrapText="1"/>
    </xf>
    <xf numFmtId="176" fontId="1" fillId="4" borderId="26" xfId="0" applyNumberFormat="1" applyFont="1" applyFill="1" applyBorder="1" applyAlignment="1">
      <alignment horizontal="center" vertical="center" wrapText="1"/>
    </xf>
    <xf numFmtId="176" fontId="12" fillId="4" borderId="26" xfId="0" applyNumberFormat="1" applyFont="1" applyFill="1" applyBorder="1" applyAlignment="1">
      <alignment horizontal="center" vertical="center"/>
    </xf>
    <xf numFmtId="176" fontId="1" fillId="4" borderId="26" xfId="0" applyNumberFormat="1" applyFont="1" applyFill="1" applyBorder="1" applyAlignment="1">
      <alignment vertical="center"/>
    </xf>
    <xf numFmtId="0" fontId="36" fillId="4" borderId="26" xfId="0" applyFont="1" applyFill="1" applyBorder="1" applyAlignment="1">
      <alignment horizontal="center" vertical="center"/>
    </xf>
    <xf numFmtId="0" fontId="25" fillId="29" borderId="26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5" fillId="4" borderId="26" xfId="6" applyFont="1" applyFill="1" applyBorder="1" applyAlignment="1">
      <alignment horizontal="center" vertical="center" wrapText="1"/>
    </xf>
    <xf numFmtId="0" fontId="35" fillId="4" borderId="97" xfId="6" applyFont="1" applyFill="1" applyBorder="1" applyAlignment="1">
      <alignment vertical="center" wrapText="1"/>
    </xf>
    <xf numFmtId="0" fontId="35" fillId="0" borderId="0" xfId="6" applyFont="1" applyFill="1" applyBorder="1" applyAlignment="1">
      <alignment vertical="center" wrapText="1"/>
    </xf>
    <xf numFmtId="176" fontId="5" fillId="2" borderId="14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176" fontId="1" fillId="4" borderId="44" xfId="0" applyNumberFormat="1" applyFont="1" applyFill="1" applyBorder="1" applyAlignment="1">
      <alignment horizontal="center" vertical="center"/>
    </xf>
    <xf numFmtId="176" fontId="1" fillId="4" borderId="18" xfId="0" applyNumberFormat="1" applyFont="1" applyFill="1" applyBorder="1" applyAlignment="1">
      <alignment horizontal="center" vertical="center"/>
    </xf>
    <xf numFmtId="0" fontId="25" fillId="13" borderId="98" xfId="0" applyFont="1" applyFill="1" applyBorder="1" applyAlignment="1">
      <alignment horizontal="center" vertical="center" wrapText="1"/>
    </xf>
    <xf numFmtId="0" fontId="1" fillId="4" borderId="9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6" fillId="4" borderId="26" xfId="0" applyFont="1" applyFill="1" applyBorder="1" applyAlignment="1">
      <alignment horizontal="center" vertical="center" wrapText="1"/>
    </xf>
    <xf numFmtId="0" fontId="25" fillId="30" borderId="2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37" fillId="22" borderId="22" xfId="0" applyFont="1" applyFill="1" applyBorder="1" applyAlignment="1">
      <alignment horizontal="center" vertical="center"/>
    </xf>
    <xf numFmtId="0" fontId="37" fillId="22" borderId="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5" fillId="31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23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35" fillId="4" borderId="23" xfId="6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7" fillId="32" borderId="0" xfId="0" applyFont="1" applyFill="1" applyAlignment="1">
      <alignment horizontal="left" vertical="center" wrapText="1"/>
    </xf>
    <xf numFmtId="0" fontId="0" fillId="32" borderId="0" xfId="0" applyFill="1" applyAlignment="1">
      <alignment horizontal="left" vertical="center"/>
    </xf>
    <xf numFmtId="0" fontId="25" fillId="12" borderId="99" xfId="0" applyFont="1" applyFill="1" applyBorder="1" applyAlignment="1">
      <alignment horizontal="center" vertical="center"/>
    </xf>
    <xf numFmtId="0" fontId="25" fillId="12" borderId="100" xfId="0" applyFont="1" applyFill="1" applyBorder="1" applyAlignment="1">
      <alignment horizontal="center" vertical="center"/>
    </xf>
    <xf numFmtId="0" fontId="25" fillId="12" borderId="101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25" fillId="12" borderId="99" xfId="0" applyFont="1" applyFill="1" applyBorder="1" applyAlignment="1">
      <alignment vertical="center"/>
    </xf>
    <xf numFmtId="0" fontId="25" fillId="12" borderId="100" xfId="0" applyFont="1" applyFill="1" applyBorder="1" applyAlignment="1">
      <alignment horizontal="center" vertical="center" wrapText="1"/>
    </xf>
    <xf numFmtId="0" fontId="38" fillId="0" borderId="102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64" xfId="0" applyFont="1" applyFill="1" applyBorder="1" applyAlignment="1">
      <alignment horizontal="center" vertical="center"/>
    </xf>
    <xf numFmtId="0" fontId="38" fillId="0" borderId="102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38" fillId="0" borderId="0" xfId="0" applyFont="1" applyBorder="1">
      <alignment vertical="center"/>
    </xf>
    <xf numFmtId="0" fontId="0" fillId="0" borderId="64" xfId="0" applyBorder="1">
      <alignment vertical="center"/>
    </xf>
    <xf numFmtId="0" fontId="38" fillId="26" borderId="102" xfId="0" applyFont="1" applyFill="1" applyBorder="1" applyAlignment="1">
      <alignment horizontal="center" vertical="center"/>
    </xf>
    <xf numFmtId="177" fontId="38" fillId="33" borderId="0" xfId="0" applyNumberFormat="1" applyFont="1" applyFill="1" applyBorder="1" applyAlignment="1">
      <alignment horizontal="center" vertical="center"/>
    </xf>
    <xf numFmtId="177" fontId="38" fillId="0" borderId="0" xfId="0" applyNumberFormat="1" applyFont="1" applyFill="1" applyBorder="1" applyAlignment="1">
      <alignment horizontal="center" vertical="center"/>
    </xf>
    <xf numFmtId="177" fontId="38" fillId="0" borderId="0" xfId="0" applyNumberFormat="1" applyFont="1" applyBorder="1" applyAlignment="1">
      <alignment horizontal="center" vertical="center"/>
    </xf>
    <xf numFmtId="0" fontId="38" fillId="20" borderId="0" xfId="0" applyFont="1" applyFill="1" applyBorder="1" applyAlignment="1">
      <alignment horizontal="center" vertical="center"/>
    </xf>
    <xf numFmtId="0" fontId="38" fillId="0" borderId="0" xfId="0" applyFont="1" applyFill="1" applyAlignment="1">
      <alignment vertical="center"/>
    </xf>
    <xf numFmtId="0" fontId="25" fillId="34" borderId="102" xfId="0" applyFont="1" applyFill="1" applyBorder="1" applyAlignment="1">
      <alignment horizontal="center" vertical="center"/>
    </xf>
    <xf numFmtId="0" fontId="38" fillId="12" borderId="6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8" fillId="20" borderId="0" xfId="0" applyFont="1" applyFill="1" applyBorder="1" applyAlignment="1">
      <alignment vertical="center"/>
    </xf>
    <xf numFmtId="0" fontId="38" fillId="35" borderId="102" xfId="0" applyFont="1" applyFill="1" applyBorder="1" applyAlignment="1">
      <alignment horizontal="center" vertical="center"/>
    </xf>
    <xf numFmtId="0" fontId="38" fillId="0" borderId="103" xfId="0" applyFont="1" applyFill="1" applyBorder="1" applyAlignment="1">
      <alignment horizontal="center" vertical="center"/>
    </xf>
    <xf numFmtId="0" fontId="38" fillId="0" borderId="104" xfId="0" applyFont="1" applyFill="1" applyBorder="1" applyAlignment="1">
      <alignment horizontal="center" vertical="center"/>
    </xf>
    <xf numFmtId="0" fontId="0" fillId="0" borderId="104" xfId="0" applyBorder="1">
      <alignment vertical="center"/>
    </xf>
    <xf numFmtId="0" fontId="38" fillId="0" borderId="105" xfId="0" applyFont="1" applyFill="1" applyBorder="1" applyAlignment="1">
      <alignment horizontal="center" vertical="center"/>
    </xf>
    <xf numFmtId="0" fontId="38" fillId="0" borderId="104" xfId="0" applyFont="1" applyFill="1" applyBorder="1" applyAlignment="1">
      <alignment vertical="center"/>
    </xf>
    <xf numFmtId="0" fontId="38" fillId="0" borderId="0" xfId="0" applyFont="1" applyBorder="1" applyAlignment="1">
      <alignment horizontal="center" vertical="center"/>
    </xf>
    <xf numFmtId="0" fontId="0" fillId="0" borderId="102" xfId="0" applyBorder="1">
      <alignment vertical="center"/>
    </xf>
    <xf numFmtId="0" fontId="38" fillId="0" borderId="102" xfId="0" applyFont="1" applyBorder="1" applyAlignment="1">
      <alignment horizontal="center" vertical="center"/>
    </xf>
    <xf numFmtId="0" fontId="38" fillId="0" borderId="103" xfId="0" applyFont="1" applyBorder="1" applyAlignment="1">
      <alignment horizontal="center" vertical="center"/>
    </xf>
    <xf numFmtId="0" fontId="38" fillId="0" borderId="104" xfId="0" applyFont="1" applyBorder="1" applyAlignment="1">
      <alignment horizontal="center" vertical="center"/>
    </xf>
    <xf numFmtId="0" fontId="0" fillId="0" borderId="105" xfId="0" applyBorder="1">
      <alignment vertical="center"/>
    </xf>
    <xf numFmtId="0" fontId="0" fillId="0" borderId="103" xfId="0" applyBorder="1">
      <alignment vertical="center"/>
    </xf>
    <xf numFmtId="0" fontId="38" fillId="0" borderId="104" xfId="0" applyFont="1" applyBorder="1">
      <alignment vertical="center"/>
    </xf>
    <xf numFmtId="0" fontId="25" fillId="12" borderId="106" xfId="0" applyFont="1" applyFill="1" applyBorder="1" applyAlignment="1">
      <alignment horizontal="center" vertical="center"/>
    </xf>
    <xf numFmtId="0" fontId="25" fillId="12" borderId="107" xfId="0" applyFont="1" applyFill="1" applyBorder="1" applyAlignment="1">
      <alignment horizontal="center" vertical="center"/>
    </xf>
    <xf numFmtId="0" fontId="25" fillId="12" borderId="107" xfId="0" applyFont="1" applyFill="1" applyBorder="1" applyAlignment="1">
      <alignment horizontal="center" vertical="center" wrapText="1"/>
    </xf>
    <xf numFmtId="0" fontId="25" fillId="12" borderId="108" xfId="0" applyFont="1" applyFill="1" applyBorder="1" applyAlignment="1">
      <alignment horizontal="center" vertical="center"/>
    </xf>
    <xf numFmtId="0" fontId="25" fillId="12" borderId="109" xfId="0" applyFont="1" applyFill="1" applyBorder="1" applyAlignment="1">
      <alignment horizontal="center" vertical="center"/>
    </xf>
    <xf numFmtId="0" fontId="25" fillId="12" borderId="0" xfId="0" applyFont="1" applyFill="1" applyBorder="1" applyAlignment="1">
      <alignment horizontal="center" vertical="center"/>
    </xf>
    <xf numFmtId="0" fontId="25" fillId="12" borderId="110" xfId="0" applyFont="1" applyFill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177" fontId="38" fillId="36" borderId="0" xfId="0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0" xfId="0" applyBorder="1">
      <alignment vertical="center"/>
    </xf>
    <xf numFmtId="0" fontId="38" fillId="0" borderId="110" xfId="0" applyFont="1" applyFill="1" applyBorder="1" applyAlignment="1">
      <alignment vertical="center"/>
    </xf>
    <xf numFmtId="0" fontId="0" fillId="0" borderId="111" xfId="0" applyBorder="1" applyAlignment="1">
      <alignment horizontal="center" vertical="center"/>
    </xf>
    <xf numFmtId="0" fontId="38" fillId="0" borderId="112" xfId="0" applyFont="1" applyFill="1" applyBorder="1" applyAlignment="1">
      <alignment horizontal="center" vertical="center"/>
    </xf>
    <xf numFmtId="176" fontId="38" fillId="0" borderId="112" xfId="0" applyNumberFormat="1" applyFont="1" applyFill="1" applyBorder="1" applyAlignment="1">
      <alignment horizontal="center" vertical="center"/>
    </xf>
    <xf numFmtId="177" fontId="38" fillId="36" borderId="112" xfId="0" applyNumberFormat="1" applyFont="1" applyFill="1" applyBorder="1" applyAlignment="1">
      <alignment horizontal="center" vertical="center"/>
    </xf>
    <xf numFmtId="177" fontId="38" fillId="0" borderId="112" xfId="0" applyNumberFormat="1" applyFont="1" applyFill="1" applyBorder="1" applyAlignment="1">
      <alignment horizontal="center" vertical="center"/>
    </xf>
    <xf numFmtId="0" fontId="0" fillId="0" borderId="113" xfId="0" applyBorder="1" applyAlignment="1">
      <alignment horizontal="center" vertical="center"/>
    </xf>
    <xf numFmtId="0" fontId="38" fillId="0" borderId="112" xfId="0" applyFont="1" applyFill="1" applyBorder="1" applyAlignment="1">
      <alignment vertical="center"/>
    </xf>
    <xf numFmtId="0" fontId="0" fillId="0" borderId="112" xfId="0" applyBorder="1">
      <alignment vertical="center"/>
    </xf>
    <xf numFmtId="0" fontId="0" fillId="0" borderId="113" xfId="0" applyBorder="1">
      <alignment vertical="center"/>
    </xf>
    <xf numFmtId="176" fontId="38" fillId="0" borderId="0" xfId="0" applyNumberFormat="1" applyFont="1" applyFill="1" applyAlignment="1">
      <alignment vertical="center"/>
    </xf>
    <xf numFmtId="176" fontId="0" fillId="0" borderId="0" xfId="0" applyNumberFormat="1">
      <alignment vertical="center"/>
    </xf>
    <xf numFmtId="0" fontId="25" fillId="12" borderId="106" xfId="0" applyFont="1" applyFill="1" applyBorder="1" applyAlignment="1">
      <alignment vertical="center"/>
    </xf>
    <xf numFmtId="0" fontId="25" fillId="37" borderId="107" xfId="0" applyFont="1" applyFill="1" applyBorder="1" applyAlignment="1">
      <alignment horizontal="center" vertical="center"/>
    </xf>
    <xf numFmtId="0" fontId="25" fillId="37" borderId="114" xfId="0" applyFont="1" applyFill="1" applyBorder="1" applyAlignment="1">
      <alignment horizontal="center" vertical="center"/>
    </xf>
    <xf numFmtId="0" fontId="25" fillId="37" borderId="108" xfId="0" applyFont="1" applyFill="1" applyBorder="1" applyAlignment="1">
      <alignment horizontal="center" vertical="center"/>
    </xf>
    <xf numFmtId="0" fontId="25" fillId="0" borderId="109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center" vertical="center"/>
    </xf>
    <xf numFmtId="177" fontId="38" fillId="0" borderId="64" xfId="0" applyNumberFormat="1" applyFont="1" applyBorder="1" applyAlignment="1">
      <alignment horizontal="center" vertical="center"/>
    </xf>
    <xf numFmtId="177" fontId="0" fillId="0" borderId="110" xfId="0" applyNumberFormat="1" applyBorder="1" applyAlignment="1">
      <alignment horizontal="center" vertical="center"/>
    </xf>
    <xf numFmtId="0" fontId="0" fillId="0" borderId="109" xfId="0" applyBorder="1">
      <alignment vertical="center"/>
    </xf>
    <xf numFmtId="0" fontId="0" fillId="0" borderId="111" xfId="0" applyBorder="1">
      <alignment vertical="center"/>
    </xf>
    <xf numFmtId="0" fontId="38" fillId="0" borderId="112" xfId="0" applyFont="1" applyBorder="1" applyAlignment="1">
      <alignment horizontal="center" vertical="center"/>
    </xf>
    <xf numFmtId="177" fontId="38" fillId="0" borderId="115" xfId="0" applyNumberFormat="1" applyFont="1" applyBorder="1" applyAlignment="1">
      <alignment horizontal="center" vertical="center"/>
    </xf>
    <xf numFmtId="177" fontId="0" fillId="0" borderId="113" xfId="0" applyNumberFormat="1" applyBorder="1" applyAlignment="1">
      <alignment horizontal="center" vertical="center"/>
    </xf>
    <xf numFmtId="0" fontId="0" fillId="0" borderId="0" xfId="0" applyFont="1">
      <alignment vertical="center"/>
    </xf>
    <xf numFmtId="0" fontId="40" fillId="0" borderId="0" xfId="0" applyFont="1" applyFill="1">
      <alignment vertical="center"/>
    </xf>
    <xf numFmtId="0" fontId="40" fillId="38" borderId="11" xfId="0" applyFont="1" applyFill="1" applyBorder="1">
      <alignment vertical="center"/>
    </xf>
    <xf numFmtId="0" fontId="0" fillId="33" borderId="0" xfId="0" applyFill="1">
      <alignment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40" fillId="38" borderId="11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30A1C"/>
      <color rgb="00880000"/>
      <color rgb="00664A00"/>
      <color rgb="007E0000"/>
      <color rgb="0005102C"/>
      <color rgb="00C95B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eetMetadata" Target="metadata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80010</xdr:colOff>
      <xdr:row>2</xdr:row>
      <xdr:rowOff>152400</xdr:rowOff>
    </xdr:from>
    <xdr:to>
      <xdr:col>12</xdr:col>
      <xdr:colOff>70485</xdr:colOff>
      <xdr:row>3</xdr:row>
      <xdr:rowOff>17780</xdr:rowOff>
    </xdr:to>
    <xdr:pic>
      <xdr:nvPicPr>
        <xdr:cNvPr id="2" name="图片 1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52460" y="571500"/>
          <a:ext cx="1257300" cy="436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295275</xdr:colOff>
      <xdr:row>24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467475" cy="419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39370</xdr:rowOff>
    </xdr:from>
    <xdr:to>
      <xdr:col>1</xdr:col>
      <xdr:colOff>642620</xdr:colOff>
      <xdr:row>1</xdr:row>
      <xdr:rowOff>613410</xdr:rowOff>
    </xdr:to>
    <xdr:pic>
      <xdr:nvPicPr>
        <xdr:cNvPr id="2" name="图片 1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85140"/>
          <a:ext cx="1651635" cy="574040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3</xdr:row>
      <xdr:rowOff>38100</xdr:rowOff>
    </xdr:from>
    <xdr:to>
      <xdr:col>2</xdr:col>
      <xdr:colOff>1010920</xdr:colOff>
      <xdr:row>3</xdr:row>
      <xdr:rowOff>296545</xdr:rowOff>
    </xdr:to>
    <xdr:pic>
      <xdr:nvPicPr>
        <xdr:cNvPr id="4" name="图片 3" descr="3b32313536313333343bb5e3bbf7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286125" y="2807970"/>
          <a:ext cx="258445" cy="258445"/>
        </a:xfrm>
        <a:prstGeom prst="rect">
          <a:avLst/>
        </a:prstGeom>
      </xdr:spPr>
    </xdr:pic>
    <xdr:clientData/>
  </xdr:twoCellAnchor>
  <xdr:twoCellAnchor editAs="oneCell">
    <xdr:from>
      <xdr:col>2</xdr:col>
      <xdr:colOff>1076325</xdr:colOff>
      <xdr:row>4</xdr:row>
      <xdr:rowOff>38100</xdr:rowOff>
    </xdr:from>
    <xdr:to>
      <xdr:col>2</xdr:col>
      <xdr:colOff>1334770</xdr:colOff>
      <xdr:row>4</xdr:row>
      <xdr:rowOff>296545</xdr:rowOff>
    </xdr:to>
    <xdr:pic>
      <xdr:nvPicPr>
        <xdr:cNvPr id="5" name="图片 4" descr="3b32313536313333343bb5e3bbf7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609975" y="3150870"/>
          <a:ext cx="258445" cy="258445"/>
        </a:xfrm>
        <a:prstGeom prst="rect">
          <a:avLst/>
        </a:prstGeom>
      </xdr:spPr>
    </xdr:pic>
    <xdr:clientData/>
  </xdr:twoCellAnchor>
  <xdr:twoCellAnchor editAs="oneCell">
    <xdr:from>
      <xdr:col>2</xdr:col>
      <xdr:colOff>650875</xdr:colOff>
      <xdr:row>17</xdr:row>
      <xdr:rowOff>41275</xdr:rowOff>
    </xdr:from>
    <xdr:to>
      <xdr:col>2</xdr:col>
      <xdr:colOff>909320</xdr:colOff>
      <xdr:row>17</xdr:row>
      <xdr:rowOff>299720</xdr:rowOff>
    </xdr:to>
    <xdr:pic>
      <xdr:nvPicPr>
        <xdr:cNvPr id="7" name="图片 6" descr="3b32313536313333343bb5e3bbf7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184525" y="9592945"/>
          <a:ext cx="258445" cy="2584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39370</xdr:rowOff>
    </xdr:from>
    <xdr:to>
      <xdr:col>1</xdr:col>
      <xdr:colOff>642620</xdr:colOff>
      <xdr:row>0</xdr:row>
      <xdr:rowOff>613410</xdr:rowOff>
    </xdr:to>
    <xdr:pic>
      <xdr:nvPicPr>
        <xdr:cNvPr id="2" name="图片 1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9370"/>
          <a:ext cx="1651635" cy="5740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39370</xdr:rowOff>
    </xdr:from>
    <xdr:to>
      <xdr:col>1</xdr:col>
      <xdr:colOff>642620</xdr:colOff>
      <xdr:row>0</xdr:row>
      <xdr:rowOff>613410</xdr:rowOff>
    </xdr:to>
    <xdr:pic>
      <xdr:nvPicPr>
        <xdr:cNvPr id="2" name="图片 1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9370"/>
          <a:ext cx="1651635" cy="5740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31750</xdr:rowOff>
    </xdr:from>
    <xdr:to>
      <xdr:col>1</xdr:col>
      <xdr:colOff>623570</xdr:colOff>
      <xdr:row>2</xdr:row>
      <xdr:rowOff>275590</xdr:rowOff>
    </xdr:to>
    <xdr:pic>
      <xdr:nvPicPr>
        <xdr:cNvPr id="3" name="图片 2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50850"/>
          <a:ext cx="1651635" cy="5753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39370</xdr:rowOff>
    </xdr:from>
    <xdr:to>
      <xdr:col>1</xdr:col>
      <xdr:colOff>642620</xdr:colOff>
      <xdr:row>0</xdr:row>
      <xdr:rowOff>613410</xdr:rowOff>
    </xdr:to>
    <xdr:pic>
      <xdr:nvPicPr>
        <xdr:cNvPr id="2" name="图片 1" descr="用户体验中心新logo(横版白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9370"/>
          <a:ext cx="1651635" cy="574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1"/>
  <sheetViews>
    <sheetView showGridLines="0" workbookViewId="0">
      <selection activeCell="G36" sqref="G36"/>
    </sheetView>
  </sheetViews>
  <sheetFormatPr defaultColWidth="9" defaultRowHeight="16.5"/>
  <cols>
    <col min="1" max="5" width="7.375" style="121" customWidth="1"/>
    <col min="6" max="6" width="5.5" style="605" customWidth="1"/>
    <col min="7" max="7" width="7.625" style="605" customWidth="1"/>
    <col min="8" max="12" width="7.375" style="121" customWidth="1"/>
    <col min="13" max="13" width="4.375" style="605" customWidth="1"/>
    <col min="14" max="14" width="8.5" style="605" customWidth="1"/>
    <col min="15" max="19" width="7.375" style="121" customWidth="1"/>
    <col min="20" max="21" width="9.875" style="605" customWidth="1"/>
    <col min="22" max="26" width="7.375" style="121" customWidth="1"/>
    <col min="27" max="27" width="11.125"/>
    <col min="28" max="29" width="12.625"/>
  </cols>
  <sheetData>
    <row r="1" ht="23.1" customHeight="1" spans="1:30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30">
      <c r="A2" s="50" t="s">
        <v>1</v>
      </c>
      <c r="B2" s="50"/>
      <c r="C2" s="50"/>
      <c r="D2" s="50"/>
      <c r="E2" s="50"/>
      <c r="F2" s="606">
        <v>600</v>
      </c>
      <c r="G2" s="606" t="s">
        <v>2</v>
      </c>
      <c r="H2" s="50" t="s">
        <v>3</v>
      </c>
      <c r="I2" s="50"/>
      <c r="J2" s="50"/>
      <c r="K2" s="50"/>
      <c r="L2" s="50"/>
      <c r="M2" s="606">
        <v>750</v>
      </c>
      <c r="N2" s="606" t="s">
        <v>2</v>
      </c>
      <c r="O2" s="50" t="s">
        <v>4</v>
      </c>
      <c r="P2" s="50"/>
      <c r="Q2" s="50"/>
      <c r="R2" s="50"/>
      <c r="S2" s="50"/>
      <c r="T2" s="606">
        <v>950</v>
      </c>
      <c r="U2" s="606"/>
      <c r="V2" s="50" t="s">
        <v>5</v>
      </c>
      <c r="W2" s="50"/>
      <c r="X2" s="50"/>
      <c r="Y2" s="50"/>
      <c r="Z2" s="50"/>
      <c r="AA2" s="606">
        <v>1000</v>
      </c>
      <c r="AC2">
        <f>AVERAGE(F2,M2,T2,AA2)</f>
        <v>825</v>
      </c>
      <c r="AD2" s="607" t="s">
        <v>6</v>
      </c>
    </row>
    <row r="3" spans="1:30">
      <c r="A3" s="47" t="s">
        <v>7</v>
      </c>
      <c r="B3" s="608" t="s">
        <v>8</v>
      </c>
      <c r="C3" s="608" t="s">
        <v>9</v>
      </c>
      <c r="D3" s="47" t="s">
        <v>10</v>
      </c>
      <c r="E3" s="47" t="s">
        <v>11</v>
      </c>
      <c r="F3" s="606">
        <f>AVERAGE(F5:F14)</f>
        <v>650</v>
      </c>
      <c r="G3" s="606"/>
      <c r="H3" s="47" t="s">
        <v>7</v>
      </c>
      <c r="I3" s="47" t="s">
        <v>8</v>
      </c>
      <c r="J3" s="608" t="s">
        <v>9</v>
      </c>
      <c r="K3" s="47" t="s">
        <v>10</v>
      </c>
      <c r="L3" s="47" t="s">
        <v>11</v>
      </c>
      <c r="M3" s="606"/>
      <c r="N3" s="606"/>
      <c r="O3" s="47" t="s">
        <v>7</v>
      </c>
      <c r="P3" s="47" t="s">
        <v>8</v>
      </c>
      <c r="Q3" s="608" t="s">
        <v>9</v>
      </c>
      <c r="R3" s="47" t="s">
        <v>10</v>
      </c>
      <c r="S3" s="47" t="s">
        <v>11</v>
      </c>
      <c r="T3" s="606"/>
      <c r="U3" s="606"/>
      <c r="V3" s="47" t="s">
        <v>7</v>
      </c>
      <c r="W3" s="47" t="s">
        <v>8</v>
      </c>
      <c r="X3" s="608" t="s">
        <v>9</v>
      </c>
      <c r="Y3" s="47" t="s">
        <v>10</v>
      </c>
      <c r="Z3" s="47" t="s">
        <v>11</v>
      </c>
      <c r="AA3" s="606"/>
    </row>
    <row r="4" spans="1:30">
      <c r="A4" s="47">
        <v>0</v>
      </c>
      <c r="B4" s="608">
        <v>0</v>
      </c>
      <c r="C4" s="608">
        <f>(G4*A4-B4*5900-D4*1200-E4*300)/3400</f>
        <v>0</v>
      </c>
      <c r="D4" s="608">
        <f>'【国内】常规用户招募-数据源(正职+OP混合执行）'!AC4*2</f>
        <v>0</v>
      </c>
      <c r="E4" s="47">
        <v>0</v>
      </c>
      <c r="F4" s="606"/>
      <c r="G4" s="606">
        <v>650</v>
      </c>
      <c r="H4" s="47">
        <v>0</v>
      </c>
      <c r="I4" s="608">
        <v>0</v>
      </c>
      <c r="J4" s="608">
        <f t="shared" ref="J4:J8" si="0">(N4*H4-I4*5900-K4*1200-L4*300)/3400</f>
        <v>0</v>
      </c>
      <c r="K4" s="608">
        <f>'【国内】常规用户招募-数据源(正职+OP混合执行）'!AO4*2.2</f>
        <v>0</v>
      </c>
      <c r="L4" s="47">
        <v>0</v>
      </c>
      <c r="M4" s="606"/>
      <c r="N4" s="606">
        <v>750</v>
      </c>
      <c r="O4" s="47">
        <v>0</v>
      </c>
      <c r="P4" s="608">
        <v>0</v>
      </c>
      <c r="Q4" s="608">
        <f>(U4*O4-P4*5900-R4*1200-S4*300)/3400</f>
        <v>0</v>
      </c>
      <c r="R4" s="608">
        <f>'【国内】常规用户招募-数据源(正职+OP混合执行）'!BA4*2.3</f>
        <v>0</v>
      </c>
      <c r="S4" s="47">
        <v>0</v>
      </c>
      <c r="T4" s="609" t="e">
        <f>(P4*7200+R4*3200+S4*300+(800+300)*O4)/O4</f>
        <v>#DIV/0!</v>
      </c>
      <c r="U4" s="609">
        <v>950</v>
      </c>
      <c r="V4" s="47">
        <v>0</v>
      </c>
      <c r="W4" s="608">
        <v>0</v>
      </c>
      <c r="X4" s="608">
        <f>(AB4*V4-W4*5900-Y4*1200-Z4*300)/3400</f>
        <v>0</v>
      </c>
      <c r="Y4" s="608">
        <f>R4*1.2</f>
        <v>0</v>
      </c>
      <c r="Z4" s="47">
        <v>0</v>
      </c>
      <c r="AA4" s="609" t="e">
        <f>(W4*7200+Y4*3200+Z4*300+(800+300)*V4)/V4</f>
        <v>#DIV/0!</v>
      </c>
      <c r="AB4">
        <v>1000</v>
      </c>
    </row>
    <row r="5" spans="1:30">
      <c r="A5" s="47">
        <v>1</v>
      </c>
      <c r="B5" s="608">
        <v>0</v>
      </c>
      <c r="C5" s="608">
        <f>(G5*A5-B5*5900-D5*1200-E5*300)/3400</f>
        <v>0.125294117647059</v>
      </c>
      <c r="D5" s="608">
        <f>'【国内】常规用户招募-数据源(正职+OP混合执行）'!AC5*2</f>
        <v>0.186666666666667</v>
      </c>
      <c r="E5" s="47">
        <v>0</v>
      </c>
      <c r="F5" s="609">
        <f>(B5*5900+C5*3400+D5*1200+E5*300)/A5</f>
        <v>650</v>
      </c>
      <c r="G5" s="606">
        <v>650</v>
      </c>
      <c r="H5" s="47">
        <v>1</v>
      </c>
      <c r="I5" s="608">
        <v>0</v>
      </c>
      <c r="J5" s="608">
        <f t="shared" si="0"/>
        <v>0.066475294117647</v>
      </c>
      <c r="K5" s="608">
        <f>'【国内】常规用户招募-数据源(正职+OP混合执行）'!AO5*2.2</f>
        <v>0.261653333333333</v>
      </c>
      <c r="L5" s="608">
        <v>0.7</v>
      </c>
      <c r="M5" s="609">
        <f>(I5*5900+J5*3400+K5*1200+L5*300)/H5</f>
        <v>750</v>
      </c>
      <c r="N5" s="606">
        <v>750</v>
      </c>
      <c r="O5" s="47">
        <v>1</v>
      </c>
      <c r="P5" s="608">
        <v>0</v>
      </c>
      <c r="Q5" s="608">
        <f t="shared" ref="Q5:Q14" si="1">(U5*O5-P5*5900-R5*1200-S5*300)/3400</f>
        <v>0.0401764705882353</v>
      </c>
      <c r="R5" s="608">
        <f>'【国内】常规用户招募-数据源(正职+OP混合执行）'!BA5*2.3</f>
        <v>0.302833333333333</v>
      </c>
      <c r="S5" s="47">
        <v>1.5</v>
      </c>
      <c r="T5" s="609">
        <f>(P5*5900+Q5*3400+R5*1200+S5*300)/O5</f>
        <v>950</v>
      </c>
      <c r="U5" s="609">
        <v>950</v>
      </c>
      <c r="V5" s="47">
        <v>1</v>
      </c>
      <c r="W5" s="608">
        <v>0</v>
      </c>
      <c r="X5" s="608">
        <f t="shared" ref="X5:X14" si="2">(AB5*V5-W5*5900-Y5*1200-Z5*300)/3400</f>
        <v>0.0463317647058824</v>
      </c>
      <c r="Y5" s="608">
        <f>R5*1.08</f>
        <v>0.32706</v>
      </c>
      <c r="Z5" s="47">
        <v>1.5</v>
      </c>
      <c r="AA5" s="609">
        <f>(W5*5900+X5*3400+Y5*1200+Z5*300)/V5</f>
        <v>1000</v>
      </c>
      <c r="AB5">
        <v>1000</v>
      </c>
    </row>
    <row r="6" spans="1:30">
      <c r="A6" s="47">
        <v>2</v>
      </c>
      <c r="B6" s="608">
        <v>0</v>
      </c>
      <c r="C6" s="608">
        <f t="shared" ref="C6:C14" si="3">(G6*A6-B6*5900-D6*1200-E6*300)/3400</f>
        <v>0.152941176470588</v>
      </c>
      <c r="D6" s="608">
        <v>0.5</v>
      </c>
      <c r="E6" s="47">
        <v>0.6</v>
      </c>
      <c r="F6" s="609">
        <f t="shared" ref="F6:F14" si="4">(B6*5900+C6*3400+D6*1200+E6*300)/A6</f>
        <v>650</v>
      </c>
      <c r="G6" s="606">
        <v>650</v>
      </c>
      <c r="H6" s="47">
        <v>2</v>
      </c>
      <c r="I6" s="608">
        <v>0</v>
      </c>
      <c r="J6" s="608">
        <f t="shared" si="0"/>
        <v>0.0650258823529411</v>
      </c>
      <c r="K6" s="608">
        <f>'【国内】常规用户招募-数据源(正职+OP混合执行）'!AO6*2.2</f>
        <v>0.81576</v>
      </c>
      <c r="L6" s="608">
        <v>1</v>
      </c>
      <c r="M6" s="609">
        <f t="shared" ref="M6:M14" si="5">(I6*5900+J6*3400+K6*1200+L6*300)/H6</f>
        <v>750</v>
      </c>
      <c r="N6" s="606">
        <v>750</v>
      </c>
      <c r="O6" s="47">
        <v>2</v>
      </c>
      <c r="P6" s="608">
        <v>0</v>
      </c>
      <c r="Q6" s="608">
        <f t="shared" si="1"/>
        <v>0.0651470588235294</v>
      </c>
      <c r="R6" s="608">
        <f>'【国内】常规用户招募-数据源(正职+OP混合执行）'!BA6*2.3</f>
        <v>0.94875</v>
      </c>
      <c r="S6" s="47">
        <v>1.8</v>
      </c>
      <c r="T6" s="609">
        <f t="shared" ref="T6:T14" si="6">(P6*5900+Q6*3400+R6*1200+S6*300)/O6</f>
        <v>950</v>
      </c>
      <c r="U6" s="609">
        <v>950</v>
      </c>
      <c r="V6" s="47">
        <v>2</v>
      </c>
      <c r="W6" s="608">
        <v>0</v>
      </c>
      <c r="X6" s="608">
        <f t="shared" si="2"/>
        <v>0.0677705882352941</v>
      </c>
      <c r="Y6" s="608">
        <f t="shared" ref="Y6:Y14" si="7">R6*1.08</f>
        <v>1.02465</v>
      </c>
      <c r="Z6" s="47">
        <v>1.8</v>
      </c>
      <c r="AA6" s="609">
        <f t="shared" ref="AA6:AA14" si="8">(W6*5900+X6*3400+Y6*1200+Z6*300)/V6</f>
        <v>1000</v>
      </c>
      <c r="AB6">
        <v>1000</v>
      </c>
    </row>
    <row r="7" spans="1:30">
      <c r="A7" s="47">
        <v>3</v>
      </c>
      <c r="B7" s="608">
        <v>0</v>
      </c>
      <c r="C7" s="608">
        <f t="shared" si="3"/>
        <v>0.264705882352941</v>
      </c>
      <c r="D7" s="608">
        <v>0.7</v>
      </c>
      <c r="E7" s="47">
        <v>0.7</v>
      </c>
      <c r="F7" s="609">
        <f t="shared" si="4"/>
        <v>650</v>
      </c>
      <c r="G7" s="606">
        <v>650</v>
      </c>
      <c r="H7" s="47">
        <v>3</v>
      </c>
      <c r="I7" s="608">
        <v>0</v>
      </c>
      <c r="J7" s="608">
        <f t="shared" si="0"/>
        <v>0.220588235294118</v>
      </c>
      <c r="K7" s="608">
        <v>1</v>
      </c>
      <c r="L7" s="608">
        <v>1</v>
      </c>
      <c r="M7" s="609">
        <f t="shared" si="5"/>
        <v>750</v>
      </c>
      <c r="N7" s="606">
        <v>750</v>
      </c>
      <c r="O7" s="47">
        <v>3</v>
      </c>
      <c r="P7" s="608">
        <v>0</v>
      </c>
      <c r="Q7" s="608">
        <f t="shared" si="1"/>
        <v>0.200352941176471</v>
      </c>
      <c r="R7" s="608">
        <f>'【国内】常规用户招募-数据源(正职+OP混合执行）'!BA7*2.3</f>
        <v>1.25733333333333</v>
      </c>
      <c r="S7" s="47">
        <v>2.2</v>
      </c>
      <c r="T7" s="609">
        <f t="shared" si="6"/>
        <v>950</v>
      </c>
      <c r="U7" s="609">
        <v>950</v>
      </c>
      <c r="V7" s="47">
        <v>3</v>
      </c>
      <c r="W7" s="608">
        <v>0</v>
      </c>
      <c r="X7" s="608">
        <f t="shared" si="2"/>
        <v>0.208969411764706</v>
      </c>
      <c r="Y7" s="608">
        <f t="shared" si="7"/>
        <v>1.35792</v>
      </c>
      <c r="Z7" s="47">
        <v>2.2</v>
      </c>
      <c r="AA7" s="609">
        <f t="shared" si="8"/>
        <v>1000</v>
      </c>
      <c r="AB7">
        <v>1000</v>
      </c>
    </row>
    <row r="8" spans="1:30">
      <c r="A8" s="47">
        <v>4</v>
      </c>
      <c r="B8" s="608">
        <v>0</v>
      </c>
      <c r="C8" s="608">
        <f t="shared" si="3"/>
        <v>0.245882352941176</v>
      </c>
      <c r="D8" s="608">
        <f>'【国内】常规用户招募-数据源(正职+OP混合执行）'!AC8*2</f>
        <v>1.27</v>
      </c>
      <c r="E8" s="47">
        <v>0.8</v>
      </c>
      <c r="F8" s="609">
        <f t="shared" si="4"/>
        <v>650</v>
      </c>
      <c r="G8" s="606">
        <v>650</v>
      </c>
      <c r="H8" s="47">
        <v>4</v>
      </c>
      <c r="I8" s="608">
        <f>P8/2</f>
        <v>0.05</v>
      </c>
      <c r="J8" s="608">
        <f t="shared" si="0"/>
        <v>0.139117647058824</v>
      </c>
      <c r="K8" s="608">
        <v>1.5</v>
      </c>
      <c r="L8" s="608">
        <f>S8*0.6</f>
        <v>1.44</v>
      </c>
      <c r="M8" s="609">
        <f t="shared" si="5"/>
        <v>750</v>
      </c>
      <c r="N8" s="606">
        <v>750</v>
      </c>
      <c r="O8" s="47">
        <v>4</v>
      </c>
      <c r="P8" s="608">
        <v>0.1</v>
      </c>
      <c r="Q8" s="608">
        <f t="shared" si="1"/>
        <v>0.0970588235294118</v>
      </c>
      <c r="R8" s="608">
        <v>1.8</v>
      </c>
      <c r="S8" s="47">
        <v>2.4</v>
      </c>
      <c r="T8" s="609">
        <f t="shared" si="6"/>
        <v>950</v>
      </c>
      <c r="U8" s="609">
        <v>950</v>
      </c>
      <c r="V8" s="47">
        <v>4</v>
      </c>
      <c r="W8" s="608">
        <v>0.1</v>
      </c>
      <c r="X8" s="608">
        <f t="shared" si="2"/>
        <v>0.105058823529412</v>
      </c>
      <c r="Y8" s="608">
        <f t="shared" si="7"/>
        <v>1.944</v>
      </c>
      <c r="Z8" s="47">
        <v>2.4</v>
      </c>
      <c r="AA8" s="609">
        <f t="shared" si="8"/>
        <v>1000</v>
      </c>
      <c r="AB8">
        <v>1000</v>
      </c>
    </row>
    <row r="9" spans="1:30">
      <c r="A9" s="47">
        <v>5</v>
      </c>
      <c r="B9" s="608">
        <v>0</v>
      </c>
      <c r="C9" s="608">
        <f t="shared" si="3"/>
        <v>0.382352941176471</v>
      </c>
      <c r="D9" s="608">
        <v>1.4</v>
      </c>
      <c r="E9" s="47">
        <v>0.9</v>
      </c>
      <c r="F9" s="609">
        <f t="shared" si="4"/>
        <v>650</v>
      </c>
      <c r="G9" s="606">
        <v>650</v>
      </c>
      <c r="H9" s="47">
        <v>5</v>
      </c>
      <c r="I9" s="608">
        <f t="shared" ref="I9:I14" si="9">P9/2</f>
        <v>0.05</v>
      </c>
      <c r="J9" s="608">
        <f t="shared" ref="J9:J14" si="10">(N9*H9-I9*5900-K9*1200-L9*300)/3400</f>
        <v>0.313823529411765</v>
      </c>
      <c r="K9" s="608">
        <v>1.6</v>
      </c>
      <c r="L9" s="608">
        <f t="shared" ref="L9:L14" si="11">S9*0.6</f>
        <v>1.56</v>
      </c>
      <c r="M9" s="609">
        <f t="shared" si="5"/>
        <v>750</v>
      </c>
      <c r="N9" s="606">
        <v>750</v>
      </c>
      <c r="O9" s="47">
        <v>5</v>
      </c>
      <c r="P9" s="608">
        <v>0.1</v>
      </c>
      <c r="Q9" s="608">
        <f t="shared" si="1"/>
        <v>0.323529411764706</v>
      </c>
      <c r="R9" s="608">
        <v>1.9</v>
      </c>
      <c r="S9" s="47">
        <v>2.6</v>
      </c>
      <c r="T9" s="609">
        <f t="shared" si="6"/>
        <v>950</v>
      </c>
      <c r="U9" s="609">
        <v>950</v>
      </c>
      <c r="V9" s="47">
        <v>5</v>
      </c>
      <c r="W9" s="608">
        <v>0.1</v>
      </c>
      <c r="X9" s="608">
        <f t="shared" si="2"/>
        <v>0.343411764705882</v>
      </c>
      <c r="Y9" s="608">
        <f t="shared" si="7"/>
        <v>2.052</v>
      </c>
      <c r="Z9" s="47">
        <v>2.6</v>
      </c>
      <c r="AA9" s="609">
        <f t="shared" si="8"/>
        <v>1000</v>
      </c>
      <c r="AB9">
        <v>1000</v>
      </c>
    </row>
    <row r="10" spans="1:30">
      <c r="A10" s="47">
        <v>6</v>
      </c>
      <c r="B10" s="608">
        <v>0</v>
      </c>
      <c r="C10" s="608">
        <f t="shared" si="3"/>
        <v>0.494117647058824</v>
      </c>
      <c r="D10" s="608">
        <v>1.6</v>
      </c>
      <c r="E10" s="608">
        <v>1</v>
      </c>
      <c r="F10" s="609">
        <f t="shared" si="4"/>
        <v>650</v>
      </c>
      <c r="G10" s="606">
        <v>650</v>
      </c>
      <c r="H10" s="47">
        <v>6</v>
      </c>
      <c r="I10" s="608">
        <f t="shared" si="9"/>
        <v>0.1</v>
      </c>
      <c r="J10" s="608">
        <f t="shared" si="10"/>
        <v>0.407058823529412</v>
      </c>
      <c r="K10" s="608">
        <v>1.7</v>
      </c>
      <c r="L10" s="608">
        <f t="shared" si="11"/>
        <v>1.62</v>
      </c>
      <c r="M10" s="609">
        <f t="shared" si="5"/>
        <v>750</v>
      </c>
      <c r="N10" s="606">
        <v>750</v>
      </c>
      <c r="O10" s="47">
        <v>6</v>
      </c>
      <c r="P10" s="608">
        <v>0.2</v>
      </c>
      <c r="Q10" s="608">
        <f t="shared" si="1"/>
        <v>0.385294117647059</v>
      </c>
      <c r="R10" s="608">
        <v>2</v>
      </c>
      <c r="S10" s="47">
        <v>2.7</v>
      </c>
      <c r="T10" s="609">
        <f t="shared" si="6"/>
        <v>950</v>
      </c>
      <c r="U10" s="609">
        <v>950</v>
      </c>
      <c r="V10" s="47">
        <v>6</v>
      </c>
      <c r="W10" s="608">
        <v>0.2</v>
      </c>
      <c r="X10" s="608">
        <f t="shared" si="2"/>
        <v>0.417058823529412</v>
      </c>
      <c r="Y10" s="608">
        <f t="shared" si="7"/>
        <v>2.16</v>
      </c>
      <c r="Z10" s="47">
        <v>2.7</v>
      </c>
      <c r="AA10" s="609">
        <f t="shared" si="8"/>
        <v>1000</v>
      </c>
      <c r="AB10">
        <v>1000</v>
      </c>
    </row>
    <row r="11" spans="1:30">
      <c r="A11" s="47">
        <v>7</v>
      </c>
      <c r="B11" s="608">
        <v>0</v>
      </c>
      <c r="C11" s="608">
        <f t="shared" si="3"/>
        <v>0.535294117647059</v>
      </c>
      <c r="D11" s="608">
        <v>2</v>
      </c>
      <c r="E11" s="608">
        <v>1.1</v>
      </c>
      <c r="F11" s="609">
        <f t="shared" si="4"/>
        <v>650</v>
      </c>
      <c r="G11" s="606">
        <v>650</v>
      </c>
      <c r="H11" s="47">
        <v>7</v>
      </c>
      <c r="I11" s="608">
        <f t="shared" si="9"/>
        <v>0.1</v>
      </c>
      <c r="J11" s="608">
        <f t="shared" si="10"/>
        <v>0.505882352941176</v>
      </c>
      <c r="K11" s="608">
        <v>2</v>
      </c>
      <c r="L11" s="608">
        <f t="shared" si="11"/>
        <v>1.8</v>
      </c>
      <c r="M11" s="609">
        <f t="shared" si="5"/>
        <v>750</v>
      </c>
      <c r="N11" s="606">
        <v>750</v>
      </c>
      <c r="O11" s="47">
        <v>7</v>
      </c>
      <c r="P11" s="608">
        <v>0.2</v>
      </c>
      <c r="Q11" s="608">
        <f t="shared" si="1"/>
        <v>0.567647058823529</v>
      </c>
      <c r="R11" s="608">
        <v>2.2</v>
      </c>
      <c r="S11" s="608">
        <v>3</v>
      </c>
      <c r="T11" s="609">
        <f t="shared" si="6"/>
        <v>950</v>
      </c>
      <c r="U11" s="609">
        <v>950</v>
      </c>
      <c r="V11" s="47">
        <v>7</v>
      </c>
      <c r="W11" s="608">
        <v>0.2</v>
      </c>
      <c r="X11" s="608">
        <f t="shared" si="2"/>
        <v>0.608470588235294</v>
      </c>
      <c r="Y11" s="608">
        <f t="shared" si="7"/>
        <v>2.376</v>
      </c>
      <c r="Z11" s="608">
        <v>3</v>
      </c>
      <c r="AA11" s="609">
        <f t="shared" si="8"/>
        <v>1000</v>
      </c>
      <c r="AB11">
        <v>1000</v>
      </c>
    </row>
    <row r="12" spans="1:30">
      <c r="A12" s="47">
        <v>8</v>
      </c>
      <c r="B12" s="608">
        <v>0</v>
      </c>
      <c r="C12" s="608">
        <f t="shared" si="3"/>
        <v>0.620588235294118</v>
      </c>
      <c r="D12" s="608">
        <v>2.2</v>
      </c>
      <c r="E12" s="47">
        <v>1.5</v>
      </c>
      <c r="F12" s="609">
        <f t="shared" si="4"/>
        <v>650</v>
      </c>
      <c r="G12" s="606">
        <v>650</v>
      </c>
      <c r="H12" s="47">
        <v>8</v>
      </c>
      <c r="I12" s="608">
        <f t="shared" si="9"/>
        <v>0.1</v>
      </c>
      <c r="J12" s="608">
        <f t="shared" si="10"/>
        <v>0.645294117647059</v>
      </c>
      <c r="K12" s="608">
        <v>2.2</v>
      </c>
      <c r="L12" s="608">
        <f t="shared" si="11"/>
        <v>1.92</v>
      </c>
      <c r="M12" s="609">
        <f t="shared" si="5"/>
        <v>750</v>
      </c>
      <c r="N12" s="606">
        <v>750</v>
      </c>
      <c r="O12" s="47">
        <v>8</v>
      </c>
      <c r="P12" s="608">
        <v>0.2</v>
      </c>
      <c r="Q12" s="608">
        <f t="shared" si="1"/>
        <v>0.758823529411765</v>
      </c>
      <c r="R12" s="608">
        <v>2.4</v>
      </c>
      <c r="S12" s="47">
        <v>3.2</v>
      </c>
      <c r="T12" s="609">
        <f t="shared" si="6"/>
        <v>950</v>
      </c>
      <c r="U12" s="609">
        <v>950</v>
      </c>
      <c r="V12" s="47">
        <v>8</v>
      </c>
      <c r="W12" s="608">
        <v>0.2</v>
      </c>
      <c r="X12" s="608">
        <f t="shared" si="2"/>
        <v>0.808705882352941</v>
      </c>
      <c r="Y12" s="608">
        <f t="shared" si="7"/>
        <v>2.592</v>
      </c>
      <c r="Z12" s="47">
        <v>3.2</v>
      </c>
      <c r="AA12" s="609">
        <f t="shared" si="8"/>
        <v>1000</v>
      </c>
      <c r="AB12">
        <v>1000</v>
      </c>
    </row>
    <row r="13" spans="1:30">
      <c r="A13" s="47">
        <v>9</v>
      </c>
      <c r="B13" s="608">
        <v>0</v>
      </c>
      <c r="C13" s="608">
        <f t="shared" si="3"/>
        <v>0.661764705882353</v>
      </c>
      <c r="D13" s="608">
        <v>2.5</v>
      </c>
      <c r="E13" s="608">
        <v>2</v>
      </c>
      <c r="F13" s="609">
        <f t="shared" si="4"/>
        <v>650</v>
      </c>
      <c r="G13" s="606">
        <v>650</v>
      </c>
      <c r="H13" s="47">
        <v>9</v>
      </c>
      <c r="I13" s="608">
        <f t="shared" si="9"/>
        <v>0.1</v>
      </c>
      <c r="J13" s="608">
        <f t="shared" si="10"/>
        <v>0.738823529411765</v>
      </c>
      <c r="K13" s="608">
        <v>2.5</v>
      </c>
      <c r="L13" s="608">
        <f t="shared" si="11"/>
        <v>2.16</v>
      </c>
      <c r="M13" s="609">
        <f t="shared" si="5"/>
        <v>750</v>
      </c>
      <c r="N13" s="606">
        <v>750</v>
      </c>
      <c r="O13" s="47">
        <v>9</v>
      </c>
      <c r="P13" s="608">
        <v>0.2</v>
      </c>
      <c r="Q13" s="608">
        <f t="shared" si="1"/>
        <v>0.932352941176471</v>
      </c>
      <c r="R13" s="608">
        <v>2.6</v>
      </c>
      <c r="S13" s="47">
        <v>3.6</v>
      </c>
      <c r="T13" s="609">
        <f t="shared" si="6"/>
        <v>950</v>
      </c>
      <c r="U13" s="609">
        <v>950</v>
      </c>
      <c r="V13" s="47">
        <v>9</v>
      </c>
      <c r="W13" s="608">
        <v>0.2</v>
      </c>
      <c r="X13" s="608">
        <f t="shared" si="2"/>
        <v>0.991294117647059</v>
      </c>
      <c r="Y13" s="608">
        <f t="shared" si="7"/>
        <v>2.808</v>
      </c>
      <c r="Z13" s="47">
        <v>3.6</v>
      </c>
      <c r="AA13" s="609">
        <f t="shared" si="8"/>
        <v>1000</v>
      </c>
      <c r="AB13">
        <v>1000</v>
      </c>
    </row>
    <row r="14" spans="1:30">
      <c r="A14" s="47">
        <v>10</v>
      </c>
      <c r="B14" s="608">
        <v>0</v>
      </c>
      <c r="C14" s="608">
        <f t="shared" si="3"/>
        <v>0.729411764705882</v>
      </c>
      <c r="D14" s="608">
        <v>2.8</v>
      </c>
      <c r="E14" s="47">
        <v>2.2</v>
      </c>
      <c r="F14" s="609">
        <f t="shared" si="4"/>
        <v>650</v>
      </c>
      <c r="G14" s="606">
        <v>650</v>
      </c>
      <c r="H14" s="47">
        <v>10</v>
      </c>
      <c r="I14" s="608">
        <f t="shared" si="9"/>
        <v>0.1</v>
      </c>
      <c r="J14" s="608">
        <f t="shared" si="10"/>
        <v>0.842941176470588</v>
      </c>
      <c r="K14" s="608">
        <v>2.8</v>
      </c>
      <c r="L14" s="608">
        <f t="shared" si="11"/>
        <v>2.28</v>
      </c>
      <c r="M14" s="609">
        <f t="shared" si="5"/>
        <v>750</v>
      </c>
      <c r="N14" s="606">
        <v>750</v>
      </c>
      <c r="O14" s="47">
        <v>10</v>
      </c>
      <c r="P14" s="608">
        <v>0.2</v>
      </c>
      <c r="Q14" s="608">
        <f t="shared" si="1"/>
        <v>1.12352941176471</v>
      </c>
      <c r="R14" s="608">
        <v>2.8</v>
      </c>
      <c r="S14" s="47">
        <v>3.8</v>
      </c>
      <c r="T14" s="609">
        <f t="shared" si="6"/>
        <v>950</v>
      </c>
      <c r="U14" s="609">
        <v>950</v>
      </c>
      <c r="V14" s="47">
        <v>10</v>
      </c>
      <c r="W14" s="608">
        <v>0.2</v>
      </c>
      <c r="X14" s="608">
        <f t="shared" si="2"/>
        <v>1.19152941176471</v>
      </c>
      <c r="Y14" s="608">
        <f t="shared" si="7"/>
        <v>3.024</v>
      </c>
      <c r="Z14" s="47">
        <v>3.8</v>
      </c>
      <c r="AA14" s="609">
        <f t="shared" si="8"/>
        <v>1000</v>
      </c>
      <c r="AB14">
        <v>1000</v>
      </c>
    </row>
    <row r="15" spans="1:30">
      <c r="A15" s="610" t="s">
        <v>12</v>
      </c>
      <c r="B15" s="610"/>
      <c r="C15" s="610"/>
      <c r="D15" s="610"/>
      <c r="E15" s="610"/>
      <c r="F15" s="606"/>
      <c r="G15" s="606"/>
      <c r="H15" s="610" t="s">
        <v>12</v>
      </c>
      <c r="I15" s="610"/>
      <c r="J15" s="610"/>
      <c r="K15" s="610"/>
      <c r="L15" s="610"/>
      <c r="M15" s="606"/>
      <c r="N15" s="606"/>
      <c r="O15" s="610" t="s">
        <v>12</v>
      </c>
      <c r="P15" s="610"/>
      <c r="Q15" s="610"/>
      <c r="R15" s="610"/>
      <c r="S15" s="610"/>
      <c r="T15" s="606"/>
      <c r="U15" s="606"/>
      <c r="V15" s="610" t="s">
        <v>12</v>
      </c>
      <c r="W15" s="610"/>
      <c r="X15" s="610"/>
      <c r="Y15" s="610"/>
      <c r="Z15" s="610"/>
    </row>
    <row r="16" spans="1:30">
      <c r="A16" s="47" t="s">
        <v>13</v>
      </c>
      <c r="B16" s="47"/>
      <c r="C16" s="47"/>
      <c r="D16" s="47"/>
      <c r="E16" s="47">
        <v>800</v>
      </c>
      <c r="F16" s="606"/>
      <c r="G16" s="606"/>
      <c r="H16" s="47" t="s">
        <v>13</v>
      </c>
      <c r="I16" s="47"/>
      <c r="J16" s="47"/>
      <c r="K16" s="47"/>
      <c r="L16" s="47">
        <v>800</v>
      </c>
      <c r="M16" s="606"/>
      <c r="N16" s="606"/>
      <c r="O16" s="47" t="s">
        <v>13</v>
      </c>
      <c r="P16" s="47"/>
      <c r="Q16" s="47"/>
      <c r="R16" s="47"/>
      <c r="S16" s="47">
        <v>1000</v>
      </c>
      <c r="T16" s="606"/>
      <c r="U16" s="606"/>
      <c r="V16" s="47" t="s">
        <v>13</v>
      </c>
      <c r="W16" s="47"/>
      <c r="X16" s="47"/>
      <c r="Y16" s="47"/>
      <c r="Z16" s="47">
        <v>1200</v>
      </c>
    </row>
    <row r="17" spans="1:29">
      <c r="A17" s="47" t="s">
        <v>14</v>
      </c>
      <c r="B17" s="47"/>
      <c r="C17" s="47"/>
      <c r="D17" s="47"/>
      <c r="E17" s="47"/>
      <c r="F17" s="606"/>
      <c r="G17" s="606"/>
      <c r="H17" s="47" t="s">
        <v>14</v>
      </c>
      <c r="I17" s="47"/>
      <c r="J17" s="47"/>
      <c r="K17" s="47"/>
      <c r="L17" s="47"/>
      <c r="M17" s="606"/>
      <c r="N17" s="606"/>
      <c r="O17" s="47" t="s">
        <v>15</v>
      </c>
      <c r="P17" s="47"/>
      <c r="Q17" s="47"/>
      <c r="R17" s="47"/>
      <c r="S17" s="47"/>
      <c r="T17" s="606"/>
      <c r="U17" s="606"/>
      <c r="V17" s="47" t="s">
        <v>16</v>
      </c>
      <c r="W17" s="47"/>
      <c r="X17" s="47"/>
      <c r="Y17" s="47"/>
      <c r="Z17" s="47"/>
    </row>
    <row r="18" spans="1:29">
      <c r="A18" s="611" t="s">
        <v>17</v>
      </c>
      <c r="B18" s="611"/>
      <c r="C18" s="611"/>
      <c r="D18" s="611"/>
      <c r="E18" s="611"/>
      <c r="F18" s="606"/>
      <c r="G18" s="606"/>
      <c r="H18" s="611" t="s">
        <v>17</v>
      </c>
      <c r="I18" s="611"/>
      <c r="J18" s="611"/>
      <c r="K18" s="611"/>
      <c r="L18" s="611"/>
      <c r="M18" s="606"/>
      <c r="N18" s="606"/>
      <c r="O18" s="611" t="s">
        <v>17</v>
      </c>
      <c r="P18" s="611"/>
      <c r="Q18" s="611"/>
      <c r="R18" s="611"/>
      <c r="S18" s="611"/>
      <c r="T18" s="606"/>
      <c r="U18" s="606"/>
      <c r="V18" s="611" t="s">
        <v>17</v>
      </c>
      <c r="W18" s="611"/>
      <c r="X18" s="611"/>
      <c r="Y18" s="611"/>
      <c r="Z18" s="611"/>
    </row>
    <row r="19" spans="1:29">
      <c r="A19" s="47" t="s">
        <v>13</v>
      </c>
      <c r="B19" s="47"/>
      <c r="C19" s="47"/>
      <c r="D19" s="47"/>
      <c r="E19" s="47">
        <v>300</v>
      </c>
      <c r="F19" s="606"/>
      <c r="G19" s="606"/>
      <c r="H19" s="47" t="s">
        <v>13</v>
      </c>
      <c r="I19" s="47"/>
      <c r="J19" s="47"/>
      <c r="K19" s="47"/>
      <c r="L19" s="47">
        <v>400</v>
      </c>
      <c r="M19" s="606"/>
      <c r="N19" s="606"/>
      <c r="O19" s="47" t="s">
        <v>13</v>
      </c>
      <c r="P19" s="47"/>
      <c r="Q19" s="47"/>
      <c r="R19" s="47"/>
      <c r="S19" s="47">
        <v>500</v>
      </c>
      <c r="T19" s="606"/>
      <c r="U19" s="606"/>
      <c r="V19" s="47" t="s">
        <v>13</v>
      </c>
      <c r="W19" s="47"/>
      <c r="X19" s="47"/>
      <c r="Y19" s="47"/>
      <c r="Z19" s="47">
        <v>600</v>
      </c>
    </row>
    <row r="20" spans="1:29">
      <c r="A20" s="47" t="s">
        <v>18</v>
      </c>
      <c r="B20" s="47"/>
      <c r="C20" s="47"/>
      <c r="D20" s="47"/>
      <c r="E20" s="47"/>
      <c r="F20" s="606"/>
      <c r="G20" s="606"/>
      <c r="H20" s="47" t="s">
        <v>19</v>
      </c>
      <c r="I20" s="47"/>
      <c r="J20" s="47"/>
      <c r="K20" s="47"/>
      <c r="L20" s="47"/>
      <c r="M20" s="606"/>
      <c r="N20" s="606"/>
      <c r="O20" s="47" t="s">
        <v>20</v>
      </c>
      <c r="P20" s="47"/>
      <c r="Q20" s="47"/>
      <c r="R20" s="47"/>
      <c r="S20" s="47"/>
      <c r="T20" s="606"/>
      <c r="U20" s="606"/>
      <c r="V20" s="47" t="s">
        <v>21</v>
      </c>
      <c r="W20" s="47"/>
      <c r="X20" s="47"/>
      <c r="Y20" s="47"/>
      <c r="Z20" s="47"/>
    </row>
    <row r="22" ht="24" customHeight="1" spans="1:29">
      <c r="A22" s="42" t="s">
        <v>22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9">
      <c r="A23" s="50" t="s">
        <v>1</v>
      </c>
      <c r="B23" s="50"/>
      <c r="C23" s="50"/>
      <c r="D23" s="50"/>
      <c r="E23" s="50"/>
      <c r="F23" s="606">
        <f>AVERAGE(F26:F35)</f>
        <v>1200</v>
      </c>
      <c r="G23" s="606" t="s">
        <v>2</v>
      </c>
      <c r="H23" s="50" t="s">
        <v>3</v>
      </c>
      <c r="I23" s="50"/>
      <c r="J23" s="50"/>
      <c r="K23" s="50"/>
      <c r="L23" s="50"/>
      <c r="M23" s="606">
        <f>AVERAGE(M26:M35)</f>
        <v>1400</v>
      </c>
      <c r="N23" s="606"/>
      <c r="O23" s="50" t="s">
        <v>4</v>
      </c>
      <c r="P23" s="50"/>
      <c r="Q23" s="50"/>
      <c r="R23" s="50"/>
      <c r="S23" s="50"/>
      <c r="T23" s="606">
        <f>AVERAGE(T26:T35)</f>
        <v>1500</v>
      </c>
      <c r="U23" s="606"/>
      <c r="V23" s="50" t="s">
        <v>5</v>
      </c>
      <c r="W23" s="50"/>
      <c r="X23" s="50"/>
      <c r="Y23" s="50"/>
      <c r="Z23" s="50"/>
      <c r="AA23" s="606">
        <f>AVERAGE(AA26:AA35)</f>
        <v>1800</v>
      </c>
      <c r="AC23">
        <f>AVERAGE(F23,M23,T23,AA23)</f>
        <v>1475</v>
      </c>
    </row>
    <row r="24" spans="1:29">
      <c r="A24" s="47" t="s">
        <v>7</v>
      </c>
      <c r="B24" s="47" t="s">
        <v>8</v>
      </c>
      <c r="C24" s="608" t="s">
        <v>9</v>
      </c>
      <c r="D24" s="47" t="s">
        <v>10</v>
      </c>
      <c r="E24" s="47" t="s">
        <v>11</v>
      </c>
      <c r="F24" s="606"/>
      <c r="G24" s="606"/>
      <c r="H24" s="47" t="s">
        <v>7</v>
      </c>
      <c r="I24" s="47" t="s">
        <v>8</v>
      </c>
      <c r="J24" s="608" t="s">
        <v>9</v>
      </c>
      <c r="K24" s="47" t="s">
        <v>10</v>
      </c>
      <c r="L24" s="47" t="s">
        <v>11</v>
      </c>
      <c r="M24" s="606"/>
      <c r="N24" s="606"/>
      <c r="O24" s="47" t="s">
        <v>7</v>
      </c>
      <c r="P24" s="47" t="s">
        <v>8</v>
      </c>
      <c r="Q24" s="608" t="s">
        <v>9</v>
      </c>
      <c r="R24" s="47" t="s">
        <v>10</v>
      </c>
      <c r="S24" s="47" t="s">
        <v>11</v>
      </c>
      <c r="T24" s="606"/>
      <c r="U24" s="606"/>
      <c r="V24" s="47" t="s">
        <v>7</v>
      </c>
      <c r="W24" s="47" t="s">
        <v>8</v>
      </c>
      <c r="X24" s="608" t="s">
        <v>9</v>
      </c>
      <c r="Y24" s="47" t="s">
        <v>10</v>
      </c>
      <c r="Z24" s="47" t="s">
        <v>11</v>
      </c>
      <c r="AA24" s="606"/>
    </row>
    <row r="25" spans="1:29">
      <c r="A25" s="47">
        <v>0</v>
      </c>
      <c r="B25" s="608">
        <v>0</v>
      </c>
      <c r="C25" s="608">
        <f>(G25*A25-B25*5900-E25*300)/3400</f>
        <v>0</v>
      </c>
      <c r="D25" s="608">
        <v>0</v>
      </c>
      <c r="E25" s="47">
        <v>0</v>
      </c>
      <c r="F25" s="606" t="e">
        <f>(B25*7200+D25*3200+E25*300+(450+400)*A25)/A25</f>
        <v>#DIV/0!</v>
      </c>
      <c r="G25" s="606">
        <v>1200</v>
      </c>
      <c r="H25" s="47">
        <v>0</v>
      </c>
      <c r="I25" s="608">
        <f>B25*1.15</f>
        <v>0</v>
      </c>
      <c r="J25" s="608">
        <f>(N25*H25-I25*5900-L25*300)/3400</f>
        <v>0</v>
      </c>
      <c r="K25" s="608">
        <f>D25*1.15</f>
        <v>0</v>
      </c>
      <c r="L25" s="47">
        <v>0</v>
      </c>
      <c r="M25" s="606" t="e">
        <f>(I25*7200+K25*3200+L25*300+(450+400)*H25)/H25</f>
        <v>#DIV/0!</v>
      </c>
      <c r="N25" s="606">
        <v>1400</v>
      </c>
      <c r="O25" s="47">
        <v>0</v>
      </c>
      <c r="P25" s="608">
        <f>I25*1.2</f>
        <v>0</v>
      </c>
      <c r="Q25" s="608">
        <f>(U25*O25-P25*5900-S25*300)/3400</f>
        <v>0</v>
      </c>
      <c r="R25" s="47">
        <v>0</v>
      </c>
      <c r="S25" s="47">
        <v>0</v>
      </c>
      <c r="T25" s="606" t="e">
        <f>(P25*7200+R25*3200+S25*300+(450+400)*O25)/O25</f>
        <v>#DIV/0!</v>
      </c>
      <c r="U25" s="606">
        <v>1500</v>
      </c>
      <c r="V25" s="47">
        <v>0</v>
      </c>
      <c r="W25" s="608">
        <v>0</v>
      </c>
      <c r="X25" s="608">
        <f>(AB25*V25-W25*5900-Z25*300)/3400</f>
        <v>0</v>
      </c>
      <c r="Y25" s="47">
        <v>0</v>
      </c>
      <c r="Z25" s="47">
        <v>0</v>
      </c>
      <c r="AA25" s="606" t="e">
        <f>(W25*7200+Y25*3200+Z25*300+(450+400)*V25)/V25</f>
        <v>#DIV/0!</v>
      </c>
      <c r="AB25">
        <v>1800</v>
      </c>
    </row>
    <row r="26" spans="1:29">
      <c r="A26" s="47">
        <v>1</v>
      </c>
      <c r="B26" s="608">
        <v>0</v>
      </c>
      <c r="C26" s="608">
        <f>(G26*A26-B26*5900-E26*300)/3400</f>
        <v>0.352941176470588</v>
      </c>
      <c r="D26" s="608">
        <v>0</v>
      </c>
      <c r="E26" s="47">
        <v>0</v>
      </c>
      <c r="F26" s="606">
        <f>(B26*5900+C26*3400+E26*300)/A26</f>
        <v>1200</v>
      </c>
      <c r="G26" s="606">
        <v>1200</v>
      </c>
      <c r="H26" s="47">
        <v>1</v>
      </c>
      <c r="I26" s="608">
        <f t="shared" ref="I26:I35" si="12">B26*1.15</f>
        <v>0</v>
      </c>
      <c r="J26" s="608">
        <f t="shared" ref="J26:J35" si="13">(N26*H26-I26*5900-L26*300)/3400</f>
        <v>0.235294117647059</v>
      </c>
      <c r="K26" s="608">
        <f>D26*1.15</f>
        <v>0</v>
      </c>
      <c r="L26" s="47">
        <v>2</v>
      </c>
      <c r="M26" s="606">
        <f>(I26*5900+J26*3400+L26*300)/H26</f>
        <v>1400</v>
      </c>
      <c r="N26" s="606">
        <v>1400</v>
      </c>
      <c r="O26" s="47">
        <v>1</v>
      </c>
      <c r="P26" s="608">
        <v>0</v>
      </c>
      <c r="Q26" s="608">
        <f t="shared" ref="Q26:Q35" si="14">(U26*O26-P26*5900-S26*300)/3400</f>
        <v>0.264705882352941</v>
      </c>
      <c r="R26" s="608">
        <f>K26*1.3</f>
        <v>0</v>
      </c>
      <c r="S26" s="47">
        <v>2</v>
      </c>
      <c r="T26" s="606">
        <f>(P26*5900+Q26*3400+S26*300)/O26</f>
        <v>1500</v>
      </c>
      <c r="U26" s="606">
        <v>1500</v>
      </c>
      <c r="V26" s="47">
        <v>1</v>
      </c>
      <c r="W26" s="608">
        <v>0</v>
      </c>
      <c r="X26" s="608">
        <f t="shared" ref="X26:X35" si="15">(AB26*V26-W26*5900-Z26*300)/3400</f>
        <v>0.352941176470588</v>
      </c>
      <c r="Y26" s="608">
        <f>R26*1.2</f>
        <v>0</v>
      </c>
      <c r="Z26" s="47">
        <v>2</v>
      </c>
      <c r="AA26" s="606">
        <f>(W26*5900+X26*3400+Z26*300)/V26</f>
        <v>1800</v>
      </c>
      <c r="AB26">
        <f t="shared" ref="AB26:AB35" si="16">U26*1.2</f>
        <v>1800</v>
      </c>
    </row>
    <row r="27" spans="1:29">
      <c r="A27" s="47">
        <v>2</v>
      </c>
      <c r="B27" s="608">
        <v>0.1</v>
      </c>
      <c r="C27" s="608">
        <f t="shared" ref="C27:C35" si="17">(G27*A27-B27*5900-E27*300)/3400</f>
        <v>0.355882352941176</v>
      </c>
      <c r="D27" s="608">
        <v>0</v>
      </c>
      <c r="E27" s="47">
        <v>2</v>
      </c>
      <c r="F27" s="606">
        <f t="shared" ref="F27:F35" si="18">(B27*5900+C27*3400+E27*300)/A27</f>
        <v>1200</v>
      </c>
      <c r="G27" s="606">
        <v>1200</v>
      </c>
      <c r="H27" s="47">
        <v>2</v>
      </c>
      <c r="I27" s="608">
        <f t="shared" si="12"/>
        <v>0.115</v>
      </c>
      <c r="J27" s="608">
        <f t="shared" si="13"/>
        <v>0.403382352941176</v>
      </c>
      <c r="K27" s="608">
        <f>D27*1.2</f>
        <v>0</v>
      </c>
      <c r="L27" s="47">
        <v>2.5</v>
      </c>
      <c r="M27" s="606">
        <f t="shared" ref="M27:M35" si="19">(I27*5900+J27*3400+L27*300)/H27</f>
        <v>1400</v>
      </c>
      <c r="N27" s="606">
        <v>1400</v>
      </c>
      <c r="O27" s="47">
        <v>2</v>
      </c>
      <c r="P27" s="608">
        <v>0.1</v>
      </c>
      <c r="Q27" s="608">
        <f t="shared" si="14"/>
        <v>0.488235294117647</v>
      </c>
      <c r="R27" s="608">
        <f>K27*1.3</f>
        <v>0</v>
      </c>
      <c r="S27" s="47">
        <v>2.5</v>
      </c>
      <c r="T27" s="606">
        <f t="shared" ref="T27:T35" si="20">(P27*5900+Q27*3400+S27*300)/O27</f>
        <v>1500</v>
      </c>
      <c r="U27" s="606">
        <v>1500</v>
      </c>
      <c r="V27" s="47">
        <v>2</v>
      </c>
      <c r="W27" s="608">
        <v>0.1</v>
      </c>
      <c r="X27" s="608">
        <f t="shared" si="15"/>
        <v>0.664705882352941</v>
      </c>
      <c r="Y27" s="608">
        <f t="shared" ref="Y27:Y35" si="21">R27*1.2</f>
        <v>0</v>
      </c>
      <c r="Z27" s="47">
        <v>2.5</v>
      </c>
      <c r="AA27" s="606">
        <f t="shared" ref="AA27:AA35" si="22">(W27*5900+X27*3400+Z27*300)/V27</f>
        <v>1800</v>
      </c>
      <c r="AB27">
        <f t="shared" si="16"/>
        <v>1800</v>
      </c>
    </row>
    <row r="28" spans="1:29">
      <c r="A28" s="47">
        <v>3</v>
      </c>
      <c r="B28" s="608">
        <v>0.1</v>
      </c>
      <c r="C28" s="608">
        <f t="shared" si="17"/>
        <v>0.7</v>
      </c>
      <c r="D28" s="608">
        <v>0</v>
      </c>
      <c r="E28" s="47">
        <v>2.1</v>
      </c>
      <c r="F28" s="606">
        <f t="shared" si="18"/>
        <v>1200</v>
      </c>
      <c r="G28" s="606">
        <v>1200</v>
      </c>
      <c r="H28" s="47">
        <v>3</v>
      </c>
      <c r="I28" s="608">
        <f t="shared" si="12"/>
        <v>0.115</v>
      </c>
      <c r="J28" s="608">
        <f t="shared" si="13"/>
        <v>0.815147058823529</v>
      </c>
      <c r="K28" s="608">
        <f t="shared" ref="K28:K35" si="23">D28*1.2</f>
        <v>0</v>
      </c>
      <c r="L28" s="47">
        <v>2.5</v>
      </c>
      <c r="M28" s="606">
        <f t="shared" si="19"/>
        <v>1400</v>
      </c>
      <c r="N28" s="606">
        <v>1400</v>
      </c>
      <c r="O28" s="47">
        <v>3</v>
      </c>
      <c r="P28" s="608">
        <f>I28*1.5</f>
        <v>0.1725</v>
      </c>
      <c r="Q28" s="608">
        <f t="shared" si="14"/>
        <v>0.803602941176471</v>
      </c>
      <c r="R28" s="608">
        <f t="shared" ref="R28:R35" si="24">K28*1.3</f>
        <v>0</v>
      </c>
      <c r="S28" s="47">
        <v>2.5</v>
      </c>
      <c r="T28" s="606">
        <f t="shared" si="20"/>
        <v>1500</v>
      </c>
      <c r="U28" s="606">
        <v>1500</v>
      </c>
      <c r="V28" s="47">
        <v>3</v>
      </c>
      <c r="W28" s="608">
        <v>0.1725</v>
      </c>
      <c r="X28" s="608">
        <f t="shared" si="15"/>
        <v>1.06830882352941</v>
      </c>
      <c r="Y28" s="608">
        <f t="shared" si="21"/>
        <v>0</v>
      </c>
      <c r="Z28" s="47">
        <v>2.5</v>
      </c>
      <c r="AA28" s="606">
        <f t="shared" si="22"/>
        <v>1800</v>
      </c>
      <c r="AB28">
        <f t="shared" si="16"/>
        <v>1800</v>
      </c>
    </row>
    <row r="29" spans="1:29">
      <c r="A29" s="47">
        <v>4</v>
      </c>
      <c r="B29" s="608">
        <v>0.1</v>
      </c>
      <c r="C29" s="608">
        <f t="shared" si="17"/>
        <v>1.04411764705882</v>
      </c>
      <c r="D29" s="608">
        <v>0</v>
      </c>
      <c r="E29" s="47">
        <v>2.2</v>
      </c>
      <c r="F29" s="606">
        <f t="shared" si="18"/>
        <v>1200</v>
      </c>
      <c r="G29" s="606">
        <v>1200</v>
      </c>
      <c r="H29" s="47">
        <v>4</v>
      </c>
      <c r="I29" s="608">
        <f t="shared" si="12"/>
        <v>0.115</v>
      </c>
      <c r="J29" s="608">
        <f t="shared" si="13"/>
        <v>1.22691176470588</v>
      </c>
      <c r="K29" s="608">
        <f t="shared" si="23"/>
        <v>0</v>
      </c>
      <c r="L29" s="47">
        <v>2.5</v>
      </c>
      <c r="M29" s="606">
        <f t="shared" si="19"/>
        <v>1400</v>
      </c>
      <c r="N29" s="606">
        <v>1400</v>
      </c>
      <c r="O29" s="47">
        <v>4</v>
      </c>
      <c r="P29" s="608">
        <f>I29*1.5</f>
        <v>0.1725</v>
      </c>
      <c r="Q29" s="608">
        <f t="shared" si="14"/>
        <v>1.24477941176471</v>
      </c>
      <c r="R29" s="608">
        <f t="shared" si="24"/>
        <v>0</v>
      </c>
      <c r="S29" s="47">
        <v>2.5</v>
      </c>
      <c r="T29" s="606">
        <f t="shared" si="20"/>
        <v>1500</v>
      </c>
      <c r="U29" s="606">
        <v>1500</v>
      </c>
      <c r="V29" s="47">
        <v>4</v>
      </c>
      <c r="W29" s="608">
        <v>0.1725</v>
      </c>
      <c r="X29" s="608">
        <f t="shared" si="15"/>
        <v>1.59772058823529</v>
      </c>
      <c r="Y29" s="608">
        <f t="shared" si="21"/>
        <v>0</v>
      </c>
      <c r="Z29" s="47">
        <v>2.5</v>
      </c>
      <c r="AA29" s="606">
        <f t="shared" si="22"/>
        <v>1800</v>
      </c>
      <c r="AB29">
        <f t="shared" si="16"/>
        <v>1800</v>
      </c>
    </row>
    <row r="30" spans="1:29">
      <c r="A30" s="47">
        <v>5</v>
      </c>
      <c r="B30" s="608">
        <f t="shared" ref="B30:B35" si="25">0.1*1.5</f>
        <v>0.15</v>
      </c>
      <c r="C30" s="608">
        <f t="shared" si="17"/>
        <v>1.28382352941176</v>
      </c>
      <c r="D30" s="608">
        <v>0</v>
      </c>
      <c r="E30" s="47">
        <v>2.5</v>
      </c>
      <c r="F30" s="606">
        <f t="shared" si="18"/>
        <v>1200</v>
      </c>
      <c r="G30" s="606">
        <v>1200</v>
      </c>
      <c r="H30" s="47">
        <v>5</v>
      </c>
      <c r="I30" s="608">
        <f t="shared" si="12"/>
        <v>0.1725</v>
      </c>
      <c r="J30" s="608">
        <f t="shared" si="13"/>
        <v>1.49477941176471</v>
      </c>
      <c r="K30" s="608">
        <f t="shared" si="23"/>
        <v>0</v>
      </c>
      <c r="L30" s="608">
        <v>3</v>
      </c>
      <c r="M30" s="606">
        <f t="shared" si="19"/>
        <v>1400</v>
      </c>
      <c r="N30" s="606">
        <v>1400</v>
      </c>
      <c r="O30" s="47">
        <v>5</v>
      </c>
      <c r="P30" s="608">
        <v>0.2</v>
      </c>
      <c r="Q30" s="608">
        <f t="shared" si="14"/>
        <v>1.59411764705882</v>
      </c>
      <c r="R30" s="608">
        <f t="shared" si="24"/>
        <v>0</v>
      </c>
      <c r="S30" s="608">
        <v>3</v>
      </c>
      <c r="T30" s="606">
        <f t="shared" si="20"/>
        <v>1500</v>
      </c>
      <c r="U30" s="606">
        <v>1500</v>
      </c>
      <c r="V30" s="47">
        <v>5</v>
      </c>
      <c r="W30" s="608">
        <v>0.25875</v>
      </c>
      <c r="X30" s="608">
        <f t="shared" si="15"/>
        <v>1.93334558823529</v>
      </c>
      <c r="Y30" s="608">
        <f t="shared" si="21"/>
        <v>0</v>
      </c>
      <c r="Z30" s="608">
        <v>3</v>
      </c>
      <c r="AA30" s="606">
        <f t="shared" si="22"/>
        <v>1800</v>
      </c>
      <c r="AB30">
        <f t="shared" si="16"/>
        <v>1800</v>
      </c>
    </row>
    <row r="31" spans="1:29">
      <c r="A31" s="47">
        <v>6</v>
      </c>
      <c r="B31" s="608">
        <f t="shared" si="25"/>
        <v>0.15</v>
      </c>
      <c r="C31" s="608">
        <f t="shared" si="17"/>
        <v>1.61911764705882</v>
      </c>
      <c r="D31" s="608">
        <v>0</v>
      </c>
      <c r="E31" s="47">
        <v>2.7</v>
      </c>
      <c r="F31" s="606">
        <f t="shared" si="18"/>
        <v>1200</v>
      </c>
      <c r="G31" s="606">
        <v>1200</v>
      </c>
      <c r="H31" s="47">
        <v>6</v>
      </c>
      <c r="I31" s="608">
        <f t="shared" si="12"/>
        <v>0.1725</v>
      </c>
      <c r="J31" s="608">
        <f t="shared" si="13"/>
        <v>1.90654411764706</v>
      </c>
      <c r="K31" s="608">
        <f t="shared" si="23"/>
        <v>0</v>
      </c>
      <c r="L31" s="47">
        <v>3</v>
      </c>
      <c r="M31" s="606">
        <f t="shared" si="19"/>
        <v>1400</v>
      </c>
      <c r="N31" s="606">
        <v>1400</v>
      </c>
      <c r="O31" s="47">
        <v>6</v>
      </c>
      <c r="P31" s="608">
        <v>0.2</v>
      </c>
      <c r="Q31" s="608">
        <f t="shared" si="14"/>
        <v>2.03529411764706</v>
      </c>
      <c r="R31" s="608">
        <f t="shared" si="24"/>
        <v>0</v>
      </c>
      <c r="S31" s="47">
        <v>3</v>
      </c>
      <c r="T31" s="606">
        <f t="shared" si="20"/>
        <v>1500</v>
      </c>
      <c r="U31" s="606">
        <v>1500</v>
      </c>
      <c r="V31" s="47">
        <v>6</v>
      </c>
      <c r="W31" s="608">
        <v>0.25875</v>
      </c>
      <c r="X31" s="608">
        <f t="shared" si="15"/>
        <v>2.46275735294118</v>
      </c>
      <c r="Y31" s="608">
        <f t="shared" si="21"/>
        <v>0</v>
      </c>
      <c r="Z31" s="47">
        <v>3</v>
      </c>
      <c r="AA31" s="606">
        <f t="shared" si="22"/>
        <v>1800</v>
      </c>
      <c r="AB31">
        <f t="shared" si="16"/>
        <v>1800</v>
      </c>
    </row>
    <row r="32" spans="1:29">
      <c r="A32" s="47">
        <v>7</v>
      </c>
      <c r="B32" s="608">
        <f t="shared" si="25"/>
        <v>0.15</v>
      </c>
      <c r="C32" s="608">
        <f t="shared" si="17"/>
        <v>1.94558823529412</v>
      </c>
      <c r="D32" s="608">
        <v>0</v>
      </c>
      <c r="E32" s="608">
        <v>3</v>
      </c>
      <c r="F32" s="606">
        <f t="shared" si="18"/>
        <v>1200</v>
      </c>
      <c r="G32" s="606">
        <v>1200</v>
      </c>
      <c r="H32" s="47">
        <v>7</v>
      </c>
      <c r="I32" s="608">
        <f t="shared" si="12"/>
        <v>0.1725</v>
      </c>
      <c r="J32" s="608">
        <f t="shared" si="13"/>
        <v>2.31830882352941</v>
      </c>
      <c r="K32" s="608">
        <f t="shared" si="23"/>
        <v>0</v>
      </c>
      <c r="L32" s="47">
        <v>3</v>
      </c>
      <c r="M32" s="606">
        <f t="shared" si="19"/>
        <v>1400</v>
      </c>
      <c r="N32" s="606">
        <v>1400</v>
      </c>
      <c r="O32" s="47">
        <v>7</v>
      </c>
      <c r="P32" s="608">
        <f t="shared" ref="P32:P35" si="26">I32*1.5</f>
        <v>0.25875</v>
      </c>
      <c r="Q32" s="608">
        <f t="shared" si="14"/>
        <v>2.37452205882353</v>
      </c>
      <c r="R32" s="608">
        <f t="shared" si="24"/>
        <v>0</v>
      </c>
      <c r="S32" s="47">
        <v>3</v>
      </c>
      <c r="T32" s="606">
        <f t="shared" si="20"/>
        <v>1500</v>
      </c>
      <c r="U32" s="606">
        <v>1500</v>
      </c>
      <c r="V32" s="47">
        <v>7</v>
      </c>
      <c r="W32" s="608">
        <v>0.25875</v>
      </c>
      <c r="X32" s="608">
        <f t="shared" si="15"/>
        <v>2.99216911764706</v>
      </c>
      <c r="Y32" s="608">
        <f t="shared" si="21"/>
        <v>0</v>
      </c>
      <c r="Z32" s="47">
        <v>3</v>
      </c>
      <c r="AA32" s="606">
        <f t="shared" si="22"/>
        <v>1800</v>
      </c>
      <c r="AB32">
        <f t="shared" si="16"/>
        <v>1800</v>
      </c>
    </row>
    <row r="33" spans="1:28">
      <c r="A33" s="47">
        <v>8</v>
      </c>
      <c r="B33" s="608">
        <f t="shared" si="25"/>
        <v>0.15</v>
      </c>
      <c r="C33" s="608">
        <f t="shared" si="17"/>
        <v>2.28970588235294</v>
      </c>
      <c r="D33" s="608">
        <v>0</v>
      </c>
      <c r="E33" s="47">
        <v>3.1</v>
      </c>
      <c r="F33" s="606">
        <f t="shared" si="18"/>
        <v>1200</v>
      </c>
      <c r="G33" s="606">
        <v>1200</v>
      </c>
      <c r="H33" s="47">
        <v>8</v>
      </c>
      <c r="I33" s="608">
        <f t="shared" si="12"/>
        <v>0.1725</v>
      </c>
      <c r="J33" s="608">
        <f t="shared" si="13"/>
        <v>2.68595588235294</v>
      </c>
      <c r="K33" s="608">
        <f t="shared" si="23"/>
        <v>0</v>
      </c>
      <c r="L33" s="47">
        <v>3.5</v>
      </c>
      <c r="M33" s="606">
        <f t="shared" si="19"/>
        <v>1400</v>
      </c>
      <c r="N33" s="606">
        <v>1400</v>
      </c>
      <c r="O33" s="47">
        <v>8</v>
      </c>
      <c r="P33" s="608">
        <f t="shared" si="26"/>
        <v>0.25875</v>
      </c>
      <c r="Q33" s="608">
        <f t="shared" si="14"/>
        <v>2.77158088235294</v>
      </c>
      <c r="R33" s="608">
        <f t="shared" si="24"/>
        <v>0</v>
      </c>
      <c r="S33" s="47">
        <v>3.5</v>
      </c>
      <c r="T33" s="606">
        <f t="shared" si="20"/>
        <v>1500</v>
      </c>
      <c r="U33" s="606">
        <v>1500</v>
      </c>
      <c r="V33" s="47">
        <v>8</v>
      </c>
      <c r="W33" s="608">
        <v>0.25875</v>
      </c>
      <c r="X33" s="608">
        <f t="shared" si="15"/>
        <v>3.47746323529412</v>
      </c>
      <c r="Y33" s="608">
        <f t="shared" si="21"/>
        <v>0</v>
      </c>
      <c r="Z33" s="47">
        <v>3.5</v>
      </c>
      <c r="AA33" s="606">
        <f t="shared" si="22"/>
        <v>1800</v>
      </c>
      <c r="AB33">
        <f t="shared" si="16"/>
        <v>1800</v>
      </c>
    </row>
    <row r="34" spans="1:28">
      <c r="A34" s="47">
        <v>9</v>
      </c>
      <c r="B34" s="608">
        <f t="shared" si="25"/>
        <v>0.15</v>
      </c>
      <c r="C34" s="608">
        <f t="shared" si="17"/>
        <v>2.60735294117647</v>
      </c>
      <c r="D34" s="608">
        <v>0</v>
      </c>
      <c r="E34" s="47">
        <v>3.5</v>
      </c>
      <c r="F34" s="606">
        <f t="shared" si="18"/>
        <v>1200</v>
      </c>
      <c r="G34" s="606">
        <v>1200</v>
      </c>
      <c r="H34" s="47">
        <v>9</v>
      </c>
      <c r="I34" s="608">
        <f t="shared" si="12"/>
        <v>0.1725</v>
      </c>
      <c r="J34" s="608">
        <f t="shared" si="13"/>
        <v>3.05360294117647</v>
      </c>
      <c r="K34" s="608">
        <f t="shared" si="23"/>
        <v>0</v>
      </c>
      <c r="L34" s="47">
        <v>4</v>
      </c>
      <c r="M34" s="606">
        <f t="shared" si="19"/>
        <v>1400</v>
      </c>
      <c r="N34" s="606">
        <v>1400</v>
      </c>
      <c r="O34" s="47">
        <v>9</v>
      </c>
      <c r="P34" s="608">
        <f t="shared" si="26"/>
        <v>0.25875</v>
      </c>
      <c r="Q34" s="608">
        <f t="shared" si="14"/>
        <v>3.16863970588235</v>
      </c>
      <c r="R34" s="608">
        <f t="shared" si="24"/>
        <v>0</v>
      </c>
      <c r="S34" s="47">
        <v>4</v>
      </c>
      <c r="T34" s="606">
        <f t="shared" si="20"/>
        <v>1500</v>
      </c>
      <c r="U34" s="606">
        <v>1500</v>
      </c>
      <c r="V34" s="47">
        <v>9</v>
      </c>
      <c r="W34" s="608">
        <v>0.25875</v>
      </c>
      <c r="X34" s="608">
        <f t="shared" si="15"/>
        <v>3.96275735294118</v>
      </c>
      <c r="Y34" s="608">
        <f t="shared" si="21"/>
        <v>0</v>
      </c>
      <c r="Z34" s="47">
        <v>4</v>
      </c>
      <c r="AA34" s="606">
        <f t="shared" si="22"/>
        <v>1800</v>
      </c>
      <c r="AB34">
        <f t="shared" si="16"/>
        <v>1800</v>
      </c>
    </row>
    <row r="35" spans="1:28">
      <c r="A35" s="47">
        <v>10</v>
      </c>
      <c r="B35" s="608">
        <f t="shared" si="25"/>
        <v>0.15</v>
      </c>
      <c r="C35" s="608">
        <f t="shared" si="17"/>
        <v>2.96029411764706</v>
      </c>
      <c r="D35" s="608">
        <v>0</v>
      </c>
      <c r="E35" s="47">
        <v>3.5</v>
      </c>
      <c r="F35" s="606">
        <f t="shared" si="18"/>
        <v>1200</v>
      </c>
      <c r="G35" s="606">
        <v>1200</v>
      </c>
      <c r="H35" s="47">
        <v>10</v>
      </c>
      <c r="I35" s="608">
        <f t="shared" si="12"/>
        <v>0.1725</v>
      </c>
      <c r="J35" s="608">
        <f t="shared" si="13"/>
        <v>3.46536764705882</v>
      </c>
      <c r="K35" s="608">
        <f t="shared" si="23"/>
        <v>0</v>
      </c>
      <c r="L35" s="47">
        <v>4</v>
      </c>
      <c r="M35" s="606">
        <f t="shared" si="19"/>
        <v>1400</v>
      </c>
      <c r="N35" s="606">
        <v>1400</v>
      </c>
      <c r="O35" s="47">
        <v>10</v>
      </c>
      <c r="P35" s="608">
        <f t="shared" si="26"/>
        <v>0.25875</v>
      </c>
      <c r="Q35" s="608">
        <f t="shared" si="14"/>
        <v>3.60981617647059</v>
      </c>
      <c r="R35" s="608">
        <f t="shared" si="24"/>
        <v>0</v>
      </c>
      <c r="S35" s="47">
        <v>4</v>
      </c>
      <c r="T35" s="606">
        <f t="shared" si="20"/>
        <v>1500</v>
      </c>
      <c r="U35" s="606">
        <v>1500</v>
      </c>
      <c r="V35" s="47">
        <v>10</v>
      </c>
      <c r="W35" s="608">
        <v>0.5</v>
      </c>
      <c r="X35" s="608">
        <f t="shared" si="15"/>
        <v>4.02941176470588</v>
      </c>
      <c r="Y35" s="608">
        <f t="shared" si="21"/>
        <v>0</v>
      </c>
      <c r="Z35" s="47">
        <v>4.5</v>
      </c>
      <c r="AA35" s="606">
        <f t="shared" si="22"/>
        <v>1800</v>
      </c>
      <c r="AB35">
        <f t="shared" si="16"/>
        <v>1800</v>
      </c>
    </row>
    <row r="36" spans="1:28">
      <c r="A36" s="610" t="s">
        <v>12</v>
      </c>
      <c r="B36" s="610"/>
      <c r="C36" s="610"/>
      <c r="D36" s="610"/>
      <c r="E36" s="610"/>
      <c r="F36" s="606"/>
      <c r="G36" s="606"/>
      <c r="H36" s="610" t="s">
        <v>12</v>
      </c>
      <c r="I36" s="610"/>
      <c r="J36" s="610"/>
      <c r="K36" s="610"/>
      <c r="L36" s="610"/>
      <c r="M36" s="606"/>
      <c r="N36" s="606"/>
      <c r="O36" s="610" t="s">
        <v>12</v>
      </c>
      <c r="P36" s="610"/>
      <c r="Q36" s="610"/>
      <c r="R36" s="610"/>
      <c r="S36" s="610"/>
      <c r="T36" s="606"/>
      <c r="U36" s="606"/>
      <c r="V36" s="610" t="s">
        <v>12</v>
      </c>
      <c r="W36" s="610"/>
      <c r="X36" s="610"/>
      <c r="Y36" s="610"/>
      <c r="Z36" s="610"/>
    </row>
    <row r="37" spans="1:28">
      <c r="A37" s="47" t="s">
        <v>13</v>
      </c>
      <c r="B37" s="47"/>
      <c r="C37" s="47"/>
      <c r="D37" s="47"/>
      <c r="E37" s="47">
        <v>450</v>
      </c>
      <c r="F37" s="606"/>
      <c r="G37" s="606"/>
      <c r="H37" s="47" t="s">
        <v>13</v>
      </c>
      <c r="I37" s="47"/>
      <c r="J37" s="47"/>
      <c r="K37" s="47"/>
      <c r="L37" s="47">
        <v>450</v>
      </c>
      <c r="M37" s="606"/>
      <c r="N37" s="606"/>
      <c r="O37" s="47" t="s">
        <v>13</v>
      </c>
      <c r="P37" s="47"/>
      <c r="Q37" s="47"/>
      <c r="R37" s="47"/>
      <c r="S37" s="47">
        <v>500</v>
      </c>
      <c r="T37" s="606"/>
      <c r="U37" s="606"/>
      <c r="V37" s="47" t="s">
        <v>13</v>
      </c>
      <c r="W37" s="47"/>
      <c r="X37" s="47"/>
      <c r="Y37" s="47"/>
      <c r="Z37" s="47">
        <v>500</v>
      </c>
    </row>
    <row r="38" spans="1:28">
      <c r="A38" s="47" t="s">
        <v>23</v>
      </c>
      <c r="B38" s="47"/>
      <c r="C38" s="47"/>
      <c r="D38" s="47"/>
      <c r="E38" s="47"/>
      <c r="F38" s="606"/>
      <c r="G38" s="606"/>
      <c r="H38" s="47" t="s">
        <v>23</v>
      </c>
      <c r="I38" s="47"/>
      <c r="J38" s="47"/>
      <c r="K38" s="47"/>
      <c r="L38" s="47"/>
      <c r="M38" s="606"/>
      <c r="N38" s="606"/>
      <c r="O38" s="47" t="s">
        <v>23</v>
      </c>
      <c r="P38" s="47"/>
      <c r="Q38" s="47"/>
      <c r="R38" s="47"/>
      <c r="S38" s="47"/>
      <c r="T38" s="606"/>
      <c r="U38" s="606"/>
      <c r="V38" s="47" t="s">
        <v>23</v>
      </c>
      <c r="W38" s="47"/>
      <c r="X38" s="47"/>
      <c r="Y38" s="47"/>
      <c r="Z38" s="47"/>
    </row>
    <row r="39" spans="1:28">
      <c r="A39" s="611" t="s">
        <v>17</v>
      </c>
      <c r="B39" s="611"/>
      <c r="C39" s="611"/>
      <c r="D39" s="611"/>
      <c r="E39" s="611"/>
      <c r="F39" s="606"/>
      <c r="G39" s="606"/>
      <c r="H39" s="611" t="s">
        <v>17</v>
      </c>
      <c r="I39" s="611"/>
      <c r="J39" s="611"/>
      <c r="K39" s="611"/>
      <c r="L39" s="611"/>
      <c r="M39" s="606"/>
      <c r="N39" s="606"/>
      <c r="O39" s="611" t="s">
        <v>17</v>
      </c>
      <c r="P39" s="611"/>
      <c r="Q39" s="611"/>
      <c r="R39" s="611"/>
      <c r="S39" s="611"/>
      <c r="T39" s="606"/>
      <c r="U39" s="606"/>
      <c r="V39" s="611" t="s">
        <v>17</v>
      </c>
      <c r="W39" s="611"/>
      <c r="X39" s="611"/>
      <c r="Y39" s="611"/>
      <c r="Z39" s="611"/>
    </row>
    <row r="40" spans="1:28">
      <c r="A40" s="47" t="s">
        <v>13</v>
      </c>
      <c r="B40" s="47"/>
      <c r="C40" s="47"/>
      <c r="D40" s="47"/>
      <c r="E40" s="47">
        <v>350</v>
      </c>
      <c r="F40" s="606"/>
      <c r="G40" s="606"/>
      <c r="H40" s="47" t="s">
        <v>13</v>
      </c>
      <c r="I40" s="47"/>
      <c r="J40" s="47"/>
      <c r="K40" s="47"/>
      <c r="L40" s="47">
        <v>350</v>
      </c>
      <c r="M40" s="606"/>
      <c r="N40" s="606"/>
      <c r="O40" s="47" t="s">
        <v>13</v>
      </c>
      <c r="P40" s="47"/>
      <c r="Q40" s="47"/>
      <c r="R40" s="47"/>
      <c r="S40" s="47">
        <v>350</v>
      </c>
      <c r="T40" s="606"/>
      <c r="U40" s="606"/>
      <c r="V40" s="47" t="s">
        <v>13</v>
      </c>
      <c r="W40" s="47"/>
      <c r="X40" s="47"/>
      <c r="Y40" s="47"/>
      <c r="Z40" s="47">
        <v>350</v>
      </c>
    </row>
    <row r="41" spans="1:28">
      <c r="A41" s="47" t="s">
        <v>24</v>
      </c>
      <c r="B41" s="47"/>
      <c r="C41" s="47"/>
      <c r="D41" s="47"/>
      <c r="E41" s="47"/>
      <c r="F41" s="606"/>
      <c r="G41" s="606"/>
      <c r="H41" s="47" t="s">
        <v>24</v>
      </c>
      <c r="I41" s="47"/>
      <c r="J41" s="47"/>
      <c r="K41" s="47"/>
      <c r="L41" s="47"/>
      <c r="M41" s="606"/>
      <c r="N41" s="606"/>
      <c r="O41" s="47" t="s">
        <v>24</v>
      </c>
      <c r="P41" s="47"/>
      <c r="Q41" s="47"/>
      <c r="R41" s="47"/>
      <c r="S41" s="47"/>
      <c r="T41" s="606"/>
      <c r="U41" s="606"/>
      <c r="V41" s="47" t="s">
        <v>24</v>
      </c>
      <c r="W41" s="47"/>
      <c r="X41" s="47"/>
      <c r="Y41" s="47"/>
      <c r="Z41" s="47"/>
    </row>
  </sheetData>
  <mergeCells count="58">
    <mergeCell ref="A1:Z1"/>
    <mergeCell ref="A2:E2"/>
    <mergeCell ref="H2:L2"/>
    <mergeCell ref="O2:S2"/>
    <mergeCell ref="V2:Z2"/>
    <mergeCell ref="A15:E15"/>
    <mergeCell ref="H15:L15"/>
    <mergeCell ref="O15:S15"/>
    <mergeCell ref="V15:Z15"/>
    <mergeCell ref="A16:D16"/>
    <mergeCell ref="H16:K16"/>
    <mergeCell ref="O16:R16"/>
    <mergeCell ref="V16:Y16"/>
    <mergeCell ref="A17:E17"/>
    <mergeCell ref="H17:L17"/>
    <mergeCell ref="O17:S17"/>
    <mergeCell ref="V17:Z17"/>
    <mergeCell ref="A18:E18"/>
    <mergeCell ref="H18:L18"/>
    <mergeCell ref="O18:S18"/>
    <mergeCell ref="V18:Z18"/>
    <mergeCell ref="A19:D19"/>
    <mergeCell ref="H19:K19"/>
    <mergeCell ref="O19:R19"/>
    <mergeCell ref="V19:Y19"/>
    <mergeCell ref="A20:E20"/>
    <mergeCell ref="H20:L20"/>
    <mergeCell ref="O20:S20"/>
    <mergeCell ref="V20:Z20"/>
    <mergeCell ref="A22:Z22"/>
    <mergeCell ref="A23:E23"/>
    <mergeCell ref="H23:L23"/>
    <mergeCell ref="O23:S23"/>
    <mergeCell ref="V23:Z23"/>
    <mergeCell ref="A36:E36"/>
    <mergeCell ref="H36:L36"/>
    <mergeCell ref="O36:S36"/>
    <mergeCell ref="V36:Z36"/>
    <mergeCell ref="A37:D37"/>
    <mergeCell ref="H37:K37"/>
    <mergeCell ref="O37:R37"/>
    <mergeCell ref="V37:Y37"/>
    <mergeCell ref="A38:E38"/>
    <mergeCell ref="H38:L38"/>
    <mergeCell ref="O38:S38"/>
    <mergeCell ref="V38:Z38"/>
    <mergeCell ref="A39:E39"/>
    <mergeCell ref="H39:L39"/>
    <mergeCell ref="O39:S39"/>
    <mergeCell ref="V39:Z39"/>
    <mergeCell ref="A40:D40"/>
    <mergeCell ref="H40:K40"/>
    <mergeCell ref="O40:R40"/>
    <mergeCell ref="V40:Y40"/>
    <mergeCell ref="A41:E41"/>
    <mergeCell ref="H41:L41"/>
    <mergeCell ref="O41:S41"/>
    <mergeCell ref="V41:Z41"/>
  </mergeCells>
  <pageMargins left="0.75" right="0.75" top="1" bottom="1" header="0.5" footer="0.5"/>
  <pageSetup paperSize="9" orientation="portrait"/>
  <headerFooter/>
  <ignoredErrors>
    <ignoredError sqref="T4" evalError="1"/>
    <ignoredError sqref="J25:J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6"/>
  <sheetViews>
    <sheetView zoomScale="60" zoomScaleNormal="60" workbookViewId="0">
      <selection activeCell="G36" sqref="G36"/>
    </sheetView>
  </sheetViews>
  <sheetFormatPr defaultColWidth="9" defaultRowHeight="16.5"/>
  <cols>
    <col min="1" max="1" width="23" customWidth="1"/>
    <col min="2" max="4" width="17.5" customWidth="1"/>
    <col min="5" max="5" width="15.75" customWidth="1"/>
    <col min="6" max="6" width="13.5" customWidth="1"/>
    <col min="7" max="7" width="18.125" customWidth="1"/>
    <col min="8" max="8" width="27.85" customWidth="1"/>
    <col min="9" max="9" width="22.35" customWidth="1"/>
    <col min="10" max="10" width="24.575" customWidth="1"/>
    <col min="11" max="11" width="39.3083333333333" customWidth="1"/>
    <col min="12" max="12" width="13.5" customWidth="1"/>
    <col min="14" max="14" width="15" customWidth="1"/>
    <col min="15" max="15" width="14.75" customWidth="1"/>
    <col min="16" max="16" width="17.125" customWidth="1"/>
    <col min="17" max="17" width="18.25" customWidth="1"/>
    <col min="18" max="18" width="13.125" style="526" customWidth="1"/>
    <col min="19" max="19" width="13.125" customWidth="1"/>
  </cols>
  <sheetData>
    <row r="1" ht="114.75" customHeight="1" spans="1:26">
      <c r="A1" s="527" t="s">
        <v>25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</row>
    <row r="2" ht="30" spans="1:26">
      <c r="A2" s="529" t="s">
        <v>26</v>
      </c>
      <c r="B2" s="530" t="s">
        <v>27</v>
      </c>
      <c r="C2" s="530" t="s">
        <v>28</v>
      </c>
      <c r="D2" s="530" t="s">
        <v>29</v>
      </c>
      <c r="E2" s="530" t="s">
        <v>30</v>
      </c>
      <c r="F2" s="530" t="s">
        <v>31</v>
      </c>
      <c r="G2" s="530" t="s">
        <v>32</v>
      </c>
      <c r="H2" s="531" t="s">
        <v>33</v>
      </c>
      <c r="I2" s="532"/>
      <c r="J2" s="532"/>
      <c r="K2" s="533"/>
      <c r="L2" s="534" t="s">
        <v>34</v>
      </c>
      <c r="M2" s="530" t="s">
        <v>27</v>
      </c>
      <c r="N2" s="530" t="s">
        <v>35</v>
      </c>
      <c r="O2" s="530" t="s">
        <v>30</v>
      </c>
      <c r="P2" s="535" t="s">
        <v>36</v>
      </c>
      <c r="Q2" s="535" t="s">
        <v>37</v>
      </c>
      <c r="R2" s="530" t="s">
        <v>32</v>
      </c>
      <c r="S2" s="531" t="s">
        <v>33</v>
      </c>
    </row>
    <row r="3" spans="1:26">
      <c r="A3" s="536"/>
      <c r="B3" s="537"/>
      <c r="C3" s="537"/>
      <c r="D3" s="537"/>
      <c r="E3" s="537"/>
      <c r="F3" s="537"/>
      <c r="G3" s="537"/>
      <c r="H3" s="538"/>
      <c r="I3" s="533"/>
      <c r="J3" s="533"/>
      <c r="K3" s="533"/>
      <c r="L3" s="539"/>
      <c r="M3" s="540"/>
      <c r="N3" s="537"/>
      <c r="O3" s="537"/>
      <c r="P3" s="537"/>
      <c r="Q3" s="537"/>
      <c r="R3" s="541"/>
      <c r="S3" s="542"/>
    </row>
    <row r="4" spans="1:26">
      <c r="A4" s="543" t="s">
        <v>38</v>
      </c>
      <c r="B4" s="537"/>
      <c r="C4" s="537"/>
      <c r="D4" s="537"/>
      <c r="E4" s="537"/>
      <c r="F4" s="537"/>
      <c r="G4" s="537"/>
      <c r="H4" s="538"/>
      <c r="I4" s="533"/>
      <c r="J4" s="533"/>
      <c r="K4" s="533"/>
      <c r="L4" s="543" t="s">
        <v>38</v>
      </c>
      <c r="M4" s="537"/>
      <c r="N4" s="537"/>
      <c r="O4" s="537"/>
      <c r="P4" s="537"/>
      <c r="Q4" s="537"/>
      <c r="R4" s="541"/>
      <c r="S4" s="542"/>
    </row>
    <row r="5" spans="1:26">
      <c r="A5" s="536"/>
      <c r="B5" s="537" t="s">
        <v>39</v>
      </c>
      <c r="C5" s="537"/>
      <c r="D5" s="537"/>
      <c r="E5" s="537"/>
      <c r="F5" s="537"/>
      <c r="G5" s="544">
        <f>G6*0.8</f>
        <v>308.8</v>
      </c>
      <c r="H5" s="538">
        <v>725</v>
      </c>
      <c r="I5" s="533"/>
      <c r="J5" s="533"/>
      <c r="K5" s="533"/>
      <c r="L5" s="536"/>
      <c r="M5" s="537" t="s">
        <v>39</v>
      </c>
      <c r="N5" s="537"/>
      <c r="O5" s="537"/>
      <c r="P5" s="537"/>
      <c r="Q5" s="540"/>
      <c r="R5" s="544">
        <f t="shared" ref="R5:R9" si="0">G5*0.8</f>
        <v>247.04</v>
      </c>
      <c r="S5" s="542"/>
    </row>
    <row r="6" spans="1:26">
      <c r="A6" s="536"/>
      <c r="B6" s="537" t="s">
        <v>40</v>
      </c>
      <c r="C6" s="537"/>
      <c r="D6" s="537"/>
      <c r="E6" s="537"/>
      <c r="F6" s="537"/>
      <c r="G6" s="544">
        <v>386</v>
      </c>
      <c r="H6" s="538">
        <v>725</v>
      </c>
      <c r="I6" s="533"/>
      <c r="J6" s="533"/>
      <c r="K6" s="533"/>
      <c r="L6" s="536"/>
      <c r="M6" s="537" t="s">
        <v>40</v>
      </c>
      <c r="N6" s="537"/>
      <c r="O6" s="537"/>
      <c r="P6" s="537"/>
      <c r="Q6" s="537"/>
      <c r="R6" s="544">
        <f t="shared" si="0"/>
        <v>308.8</v>
      </c>
      <c r="S6" s="542"/>
    </row>
    <row r="7" spans="1:26">
      <c r="A7" s="536" t="s">
        <v>41</v>
      </c>
      <c r="B7" s="537"/>
      <c r="C7" s="537"/>
      <c r="D7" s="537"/>
      <c r="E7" s="537"/>
      <c r="F7" s="537"/>
      <c r="G7" s="545"/>
      <c r="H7" s="538"/>
      <c r="I7" s="533"/>
      <c r="J7" s="533"/>
      <c r="K7" s="533"/>
      <c r="L7" s="536" t="s">
        <v>41</v>
      </c>
      <c r="M7" s="537"/>
      <c r="N7" s="537"/>
      <c r="O7" s="537"/>
      <c r="P7" s="540"/>
      <c r="Q7" s="537"/>
      <c r="R7" s="546"/>
      <c r="S7" s="542"/>
    </row>
    <row r="8" spans="1:26">
      <c r="A8" s="536"/>
      <c r="B8" s="537" t="s">
        <v>39</v>
      </c>
      <c r="C8" s="537">
        <v>263</v>
      </c>
      <c r="D8" s="537"/>
      <c r="E8" s="537"/>
      <c r="F8" s="537">
        <v>300</v>
      </c>
      <c r="G8" s="544">
        <f>G9*0.8</f>
        <v>349.6</v>
      </c>
      <c r="H8" s="538">
        <v>900</v>
      </c>
      <c r="I8" s="533"/>
      <c r="J8" s="533"/>
      <c r="K8" s="533"/>
      <c r="L8" s="536"/>
      <c r="M8" s="537" t="s">
        <v>39</v>
      </c>
      <c r="N8" s="537">
        <v>283</v>
      </c>
      <c r="O8" s="537"/>
      <c r="P8" s="537">
        <v>227</v>
      </c>
      <c r="Q8" s="537">
        <v>507</v>
      </c>
      <c r="R8" s="544">
        <f t="shared" ref="R8:R12" si="1">G8*0.8</f>
        <v>279.68</v>
      </c>
      <c r="S8" s="542"/>
    </row>
    <row r="9" spans="1:26">
      <c r="A9" s="536"/>
      <c r="B9" s="537" t="s">
        <v>40</v>
      </c>
      <c r="C9" s="547">
        <v>394</v>
      </c>
      <c r="D9" s="537"/>
      <c r="E9" s="537"/>
      <c r="F9" s="537">
        <v>450</v>
      </c>
      <c r="G9" s="544">
        <v>437</v>
      </c>
      <c r="H9" s="538">
        <v>900</v>
      </c>
      <c r="I9" s="533"/>
      <c r="J9" s="533"/>
      <c r="K9" s="533"/>
      <c r="L9" s="536"/>
      <c r="M9" s="537" t="s">
        <v>40</v>
      </c>
      <c r="N9" s="537"/>
      <c r="O9" s="537"/>
      <c r="P9" s="537"/>
      <c r="Q9" s="537"/>
      <c r="R9" s="544">
        <f t="shared" si="0"/>
        <v>349.6</v>
      </c>
      <c r="S9" s="542"/>
    </row>
    <row r="10" spans="1:26">
      <c r="A10" s="536" t="s">
        <v>42</v>
      </c>
      <c r="B10" s="537"/>
      <c r="C10" s="537"/>
      <c r="D10" s="537"/>
      <c r="E10" s="537"/>
      <c r="F10" s="537"/>
      <c r="G10" s="545"/>
      <c r="H10" s="538"/>
      <c r="I10" s="533"/>
      <c r="J10" s="533"/>
      <c r="K10" s="533"/>
      <c r="L10" s="536" t="s">
        <v>42</v>
      </c>
      <c r="M10" s="537"/>
      <c r="N10" s="537"/>
      <c r="O10" s="537"/>
      <c r="P10" s="537"/>
      <c r="Q10" s="537"/>
      <c r="R10" s="546"/>
      <c r="S10" s="542"/>
      <c r="T10" s="548"/>
      <c r="U10" s="148"/>
      <c r="V10" s="148"/>
      <c r="W10" s="148"/>
      <c r="X10" s="148"/>
      <c r="Y10" s="148"/>
      <c r="Z10" s="148"/>
    </row>
    <row r="11" spans="1:26">
      <c r="A11" s="536"/>
      <c r="B11" s="537" t="s">
        <v>39</v>
      </c>
      <c r="C11" s="537">
        <v>349</v>
      </c>
      <c r="D11" s="537">
        <v>280</v>
      </c>
      <c r="E11" s="537">
        <v>379</v>
      </c>
      <c r="F11" s="537">
        <v>400</v>
      </c>
      <c r="G11" s="544">
        <f>G12*0.8</f>
        <v>443.12</v>
      </c>
      <c r="H11" s="538">
        <v>1100</v>
      </c>
      <c r="I11" s="533"/>
      <c r="J11" s="533"/>
      <c r="K11" s="533"/>
      <c r="L11" s="536"/>
      <c r="M11" s="537" t="s">
        <v>39</v>
      </c>
      <c r="N11" s="537">
        <v>274</v>
      </c>
      <c r="O11" s="537"/>
      <c r="P11" s="537">
        <v>283</v>
      </c>
      <c r="Q11" s="537">
        <v>155</v>
      </c>
      <c r="R11" s="544">
        <f t="shared" si="1"/>
        <v>354.496</v>
      </c>
      <c r="S11" s="542"/>
      <c r="T11" s="548"/>
      <c r="U11" s="148"/>
      <c r="V11" s="148"/>
      <c r="W11" s="148"/>
      <c r="X11" s="148"/>
      <c r="Y11" s="148"/>
      <c r="Z11" s="148"/>
    </row>
    <row r="12" spans="1:26">
      <c r="A12" s="536"/>
      <c r="B12" s="537" t="s">
        <v>40</v>
      </c>
      <c r="C12" s="537">
        <v>400</v>
      </c>
      <c r="D12" s="537">
        <v>400</v>
      </c>
      <c r="E12" s="537">
        <v>467</v>
      </c>
      <c r="F12" s="537">
        <v>550</v>
      </c>
      <c r="G12" s="544">
        <v>553.9</v>
      </c>
      <c r="H12" s="538">
        <v>1100</v>
      </c>
      <c r="I12" s="533"/>
      <c r="J12" s="533"/>
      <c r="K12" s="533"/>
      <c r="L12" s="536"/>
      <c r="M12" s="537" t="s">
        <v>40</v>
      </c>
      <c r="N12" s="537">
        <v>448</v>
      </c>
      <c r="O12" s="537"/>
      <c r="P12" s="537">
        <v>178</v>
      </c>
      <c r="Q12" s="537">
        <v>519</v>
      </c>
      <c r="R12" s="544">
        <f t="shared" si="1"/>
        <v>443.12</v>
      </c>
      <c r="S12" s="542"/>
      <c r="T12" s="548"/>
      <c r="U12" s="148"/>
      <c r="V12" s="148"/>
      <c r="W12" s="148"/>
      <c r="X12" s="148"/>
      <c r="Y12" s="148"/>
      <c r="Z12" s="148"/>
    </row>
    <row r="13" spans="1:26">
      <c r="A13" s="536" t="s">
        <v>43</v>
      </c>
      <c r="B13" s="537"/>
      <c r="C13" s="537"/>
      <c r="D13" s="537"/>
      <c r="E13" s="537"/>
      <c r="F13" s="537"/>
      <c r="G13" s="545"/>
      <c r="H13" s="538"/>
      <c r="I13" s="533"/>
      <c r="J13" s="533"/>
      <c r="K13" s="533"/>
      <c r="L13" s="536" t="s">
        <v>43</v>
      </c>
      <c r="M13" s="537"/>
      <c r="N13" s="537"/>
      <c r="O13" s="537"/>
      <c r="P13" s="537"/>
      <c r="Q13" s="537"/>
      <c r="R13" s="546"/>
      <c r="S13" s="542"/>
      <c r="T13" s="548"/>
      <c r="U13" s="148"/>
      <c r="V13" s="148"/>
      <c r="W13" s="148"/>
      <c r="X13" s="148"/>
      <c r="Y13" s="148"/>
      <c r="Z13" s="148"/>
    </row>
    <row r="14" spans="1:26">
      <c r="A14" s="536"/>
      <c r="B14" s="537" t="s">
        <v>39</v>
      </c>
      <c r="C14" s="537">
        <v>500</v>
      </c>
      <c r="D14" s="537">
        <v>561</v>
      </c>
      <c r="E14" s="537">
        <v>846</v>
      </c>
      <c r="F14" s="537"/>
      <c r="G14" s="544">
        <f>G15*0.8</f>
        <v>508</v>
      </c>
      <c r="H14" s="538">
        <v>1500</v>
      </c>
      <c r="I14" s="533"/>
      <c r="J14" s="533"/>
      <c r="K14" s="533"/>
      <c r="L14" s="536"/>
      <c r="M14" s="537" t="s">
        <v>39</v>
      </c>
      <c r="N14" s="547">
        <v>268</v>
      </c>
      <c r="O14" s="547">
        <v>390</v>
      </c>
      <c r="P14" s="547">
        <v>269</v>
      </c>
      <c r="Q14" s="547">
        <v>256</v>
      </c>
      <c r="R14" s="544">
        <f t="shared" ref="R14:R18" si="2">G14*0.8</f>
        <v>406.4</v>
      </c>
      <c r="S14" s="542"/>
    </row>
    <row r="15" spans="1:26">
      <c r="A15" s="536"/>
      <c r="B15" s="537" t="s">
        <v>40</v>
      </c>
      <c r="C15" s="537">
        <v>524</v>
      </c>
      <c r="D15" s="537">
        <v>455</v>
      </c>
      <c r="E15" s="537">
        <v>400</v>
      </c>
      <c r="F15" s="537">
        <f>F12*1.2</f>
        <v>660</v>
      </c>
      <c r="G15" s="544">
        <v>635</v>
      </c>
      <c r="H15" s="538">
        <v>1500</v>
      </c>
      <c r="I15" s="533"/>
      <c r="J15" s="533"/>
      <c r="K15" s="533"/>
      <c r="L15" s="536"/>
      <c r="M15" s="537" t="s">
        <v>40</v>
      </c>
      <c r="N15" s="547">
        <v>217</v>
      </c>
      <c r="O15" s="547">
        <v>235</v>
      </c>
      <c r="P15" s="547"/>
      <c r="Q15" s="547">
        <v>217</v>
      </c>
      <c r="R15" s="544">
        <f t="shared" si="2"/>
        <v>508</v>
      </c>
      <c r="S15" s="542"/>
    </row>
    <row r="16" spans="1:26">
      <c r="A16" s="536" t="s">
        <v>44</v>
      </c>
      <c r="B16" s="537"/>
      <c r="C16" s="537"/>
      <c r="D16" s="537"/>
      <c r="E16" s="537"/>
      <c r="F16" s="537"/>
      <c r="G16" s="545"/>
      <c r="H16" s="538"/>
      <c r="I16" s="533"/>
      <c r="J16" s="533"/>
      <c r="K16" s="533"/>
      <c r="L16" s="536" t="s">
        <v>44</v>
      </c>
      <c r="M16" s="537"/>
      <c r="N16" s="537"/>
      <c r="O16" s="537"/>
      <c r="P16" s="537"/>
      <c r="Q16" s="537"/>
      <c r="R16" s="546"/>
      <c r="S16" s="542"/>
    </row>
    <row r="17" spans="1:19">
      <c r="A17" s="536"/>
      <c r="B17" s="537" t="s">
        <v>39</v>
      </c>
      <c r="C17" s="537">
        <v>494</v>
      </c>
      <c r="D17" s="537"/>
      <c r="E17" s="537"/>
      <c r="F17" s="537"/>
      <c r="G17" s="544">
        <f>G18*0.8</f>
        <v>544</v>
      </c>
      <c r="H17" s="538">
        <v>1500</v>
      </c>
      <c r="I17" s="533"/>
      <c r="J17" s="533"/>
      <c r="K17" s="533"/>
      <c r="L17" s="536"/>
      <c r="M17" s="537" t="s">
        <v>39</v>
      </c>
      <c r="N17" s="537">
        <v>423</v>
      </c>
      <c r="O17" s="537"/>
      <c r="P17" s="537">
        <v>423</v>
      </c>
      <c r="Q17" s="537"/>
      <c r="R17" s="544">
        <f t="shared" si="2"/>
        <v>435.2</v>
      </c>
      <c r="S17" s="542"/>
    </row>
    <row r="18" spans="1:19">
      <c r="A18" s="536"/>
      <c r="B18" s="537" t="s">
        <v>40</v>
      </c>
      <c r="C18" s="537">
        <v>681</v>
      </c>
      <c r="D18" s="537"/>
      <c r="E18" s="537">
        <v>566</v>
      </c>
      <c r="F18" s="537"/>
      <c r="G18" s="544">
        <v>680</v>
      </c>
      <c r="H18" s="538">
        <v>1500</v>
      </c>
      <c r="I18" s="533"/>
      <c r="J18" s="533"/>
      <c r="K18" s="533"/>
      <c r="L18" s="536"/>
      <c r="M18" s="537" t="s">
        <v>40</v>
      </c>
      <c r="N18" s="547">
        <v>212</v>
      </c>
      <c r="O18" s="547"/>
      <c r="P18" s="547"/>
      <c r="Q18" s="547">
        <v>212</v>
      </c>
      <c r="R18" s="544">
        <f t="shared" si="2"/>
        <v>544</v>
      </c>
      <c r="S18" s="542"/>
    </row>
    <row r="19" spans="1:19">
      <c r="A19" s="549" t="s">
        <v>45</v>
      </c>
      <c r="B19" s="537"/>
      <c r="C19" s="537"/>
      <c r="D19" s="537"/>
      <c r="E19" s="537"/>
      <c r="F19" s="537"/>
      <c r="G19" s="537"/>
      <c r="H19" s="550"/>
      <c r="I19" s="533"/>
      <c r="J19" s="533"/>
      <c r="K19" s="533"/>
      <c r="L19" s="549" t="s">
        <v>45</v>
      </c>
      <c r="M19" s="537"/>
      <c r="N19" s="540"/>
      <c r="O19" s="540"/>
      <c r="P19" s="540"/>
      <c r="Q19" s="540"/>
      <c r="R19" s="541"/>
      <c r="S19" s="542"/>
    </row>
    <row r="20" spans="1:19">
      <c r="A20" s="536"/>
      <c r="B20" s="537" t="s">
        <v>39</v>
      </c>
      <c r="C20" s="537"/>
      <c r="D20" s="537"/>
      <c r="E20" s="537"/>
      <c r="F20" s="551"/>
      <c r="G20" s="537">
        <v>650</v>
      </c>
      <c r="H20" s="550"/>
      <c r="I20" s="533"/>
      <c r="J20" s="533"/>
      <c r="K20" s="548"/>
      <c r="L20" s="536"/>
      <c r="M20" s="537" t="s">
        <v>39</v>
      </c>
      <c r="N20" s="540"/>
      <c r="O20" s="540"/>
      <c r="P20" s="540"/>
      <c r="Q20" s="540"/>
      <c r="R20" s="537">
        <f>G20</f>
        <v>650</v>
      </c>
      <c r="S20" s="550"/>
    </row>
    <row r="21" spans="1:19">
      <c r="A21" s="536"/>
      <c r="B21" s="537" t="s">
        <v>40</v>
      </c>
      <c r="C21" s="537"/>
      <c r="D21" s="537"/>
      <c r="E21" s="537"/>
      <c r="F21" s="551"/>
      <c r="G21" s="537">
        <v>650</v>
      </c>
      <c r="H21" s="550"/>
      <c r="I21" s="533"/>
      <c r="J21" s="533"/>
      <c r="K21" s="548"/>
      <c r="L21" s="536"/>
      <c r="M21" s="537" t="s">
        <v>40</v>
      </c>
      <c r="N21" s="540"/>
      <c r="O21" s="540"/>
      <c r="P21" s="540"/>
      <c r="Q21" s="540"/>
      <c r="R21" s="537">
        <f t="shared" ref="R21:R42" si="3">G21</f>
        <v>650</v>
      </c>
      <c r="S21" s="550"/>
    </row>
    <row r="22" spans="1:19">
      <c r="A22" s="536" t="s">
        <v>46</v>
      </c>
      <c r="B22" s="537"/>
      <c r="C22" s="537"/>
      <c r="D22" s="537"/>
      <c r="E22" s="537"/>
      <c r="F22" s="537"/>
      <c r="G22" s="537"/>
      <c r="H22" s="550"/>
      <c r="I22" s="533"/>
      <c r="J22" s="533"/>
      <c r="K22" s="548"/>
      <c r="L22" s="536" t="s">
        <v>46</v>
      </c>
      <c r="M22" s="537"/>
      <c r="N22" s="540"/>
      <c r="O22" s="540"/>
      <c r="P22" s="540"/>
      <c r="Q22" s="540"/>
      <c r="R22" s="537"/>
      <c r="S22" s="550"/>
    </row>
    <row r="23" spans="1:19">
      <c r="A23" s="536"/>
      <c r="B23" s="537" t="s">
        <v>39</v>
      </c>
      <c r="C23" s="537"/>
      <c r="D23" s="537"/>
      <c r="E23" s="537"/>
      <c r="F23" s="551"/>
      <c r="G23" s="537">
        <f>AVERAGE(F8:F9)*2</f>
        <v>750</v>
      </c>
      <c r="H23" s="550"/>
      <c r="I23" s="533"/>
      <c r="J23" s="533"/>
      <c r="K23" s="533"/>
      <c r="L23" s="536"/>
      <c r="M23" s="537" t="s">
        <v>39</v>
      </c>
      <c r="N23" s="540"/>
      <c r="O23" s="540"/>
      <c r="P23" s="540"/>
      <c r="Q23" s="540"/>
      <c r="R23" s="537">
        <f t="shared" si="3"/>
        <v>750</v>
      </c>
      <c r="S23" s="550"/>
    </row>
    <row r="24" spans="1:19">
      <c r="A24" s="536"/>
      <c r="B24" s="537" t="s">
        <v>40</v>
      </c>
      <c r="C24" s="537"/>
      <c r="D24" s="537"/>
      <c r="E24" s="537"/>
      <c r="F24" s="551"/>
      <c r="G24" s="537">
        <v>750</v>
      </c>
      <c r="H24" s="550"/>
      <c r="I24" s="533"/>
      <c r="J24" s="533"/>
      <c r="K24" s="533"/>
      <c r="L24" s="536"/>
      <c r="M24" s="537" t="s">
        <v>40</v>
      </c>
      <c r="N24" s="540"/>
      <c r="O24" s="540"/>
      <c r="P24" s="540"/>
      <c r="Q24" s="540"/>
      <c r="R24" s="537">
        <f t="shared" si="3"/>
        <v>750</v>
      </c>
      <c r="S24" s="550"/>
    </row>
    <row r="25" spans="1:19">
      <c r="A25" s="536" t="s">
        <v>47</v>
      </c>
      <c r="B25" s="537"/>
      <c r="C25" s="537"/>
      <c r="D25" s="537"/>
      <c r="E25" s="537"/>
      <c r="F25" s="537"/>
      <c r="G25" s="537"/>
      <c r="H25" s="550"/>
      <c r="I25" s="533"/>
      <c r="J25" s="533"/>
      <c r="K25" s="533"/>
      <c r="L25" s="536" t="s">
        <v>47</v>
      </c>
      <c r="M25" s="537"/>
      <c r="N25" s="540"/>
      <c r="O25" s="540"/>
      <c r="P25" s="540"/>
      <c r="Q25" s="540"/>
      <c r="R25" s="537"/>
      <c r="S25" s="550"/>
    </row>
    <row r="26" spans="1:19">
      <c r="A26" s="536"/>
      <c r="B26" s="537" t="s">
        <v>39</v>
      </c>
      <c r="C26" s="537"/>
      <c r="D26" s="537"/>
      <c r="E26" s="537"/>
      <c r="F26" s="537"/>
      <c r="G26" s="537">
        <v>950</v>
      </c>
      <c r="H26" s="550"/>
      <c r="I26" s="533"/>
      <c r="J26" s="533"/>
      <c r="K26" s="533"/>
      <c r="L26" s="536"/>
      <c r="M26" s="537" t="s">
        <v>39</v>
      </c>
      <c r="N26" s="540">
        <v>1053</v>
      </c>
      <c r="O26" s="540"/>
      <c r="P26" s="540"/>
      <c r="Q26" s="540"/>
      <c r="R26" s="537">
        <f t="shared" si="3"/>
        <v>950</v>
      </c>
      <c r="S26" s="550"/>
    </row>
    <row r="27" spans="1:19">
      <c r="A27" s="536"/>
      <c r="B27" s="537" t="s">
        <v>40</v>
      </c>
      <c r="C27" s="537">
        <v>2060</v>
      </c>
      <c r="D27" s="537"/>
      <c r="E27" s="537"/>
      <c r="F27" s="551"/>
      <c r="G27" s="537">
        <v>950</v>
      </c>
      <c r="H27" s="550"/>
      <c r="I27" s="533"/>
      <c r="J27" s="533"/>
      <c r="K27" s="533"/>
      <c r="L27" s="536"/>
      <c r="M27" s="537" t="s">
        <v>40</v>
      </c>
      <c r="N27" s="540"/>
      <c r="O27" s="540"/>
      <c r="P27" s="540"/>
      <c r="Q27" s="540"/>
      <c r="R27" s="537">
        <f t="shared" si="3"/>
        <v>950</v>
      </c>
      <c r="S27" s="550"/>
    </row>
    <row r="28" spans="1:19">
      <c r="A28" s="536" t="s">
        <v>48</v>
      </c>
      <c r="B28" s="537"/>
      <c r="C28" s="537"/>
      <c r="D28" s="537"/>
      <c r="E28" s="537"/>
      <c r="F28" s="537"/>
      <c r="G28" s="537"/>
      <c r="H28" s="550"/>
      <c r="I28" s="533"/>
      <c r="J28" s="533"/>
      <c r="K28" s="533"/>
      <c r="L28" s="536" t="s">
        <v>48</v>
      </c>
      <c r="M28" s="537"/>
      <c r="N28" s="540"/>
      <c r="O28" s="540"/>
      <c r="P28" s="540"/>
      <c r="Q28" s="540"/>
      <c r="R28" s="537"/>
      <c r="S28" s="550"/>
    </row>
    <row r="29" spans="1:19">
      <c r="A29" s="536"/>
      <c r="B29" s="537" t="s">
        <v>39</v>
      </c>
      <c r="C29" s="537">
        <v>1366</v>
      </c>
      <c r="D29" s="537">
        <v>1366</v>
      </c>
      <c r="E29" s="537"/>
      <c r="F29" s="551"/>
      <c r="G29" s="537">
        <v>1000</v>
      </c>
      <c r="H29" s="550"/>
      <c r="I29" s="533"/>
      <c r="J29" s="533"/>
      <c r="K29" s="533"/>
      <c r="L29" s="536"/>
      <c r="M29" s="537" t="s">
        <v>39</v>
      </c>
      <c r="N29" s="552">
        <v>1769</v>
      </c>
      <c r="O29" s="552"/>
      <c r="P29" s="552"/>
      <c r="Q29" s="552"/>
      <c r="R29" s="537">
        <f t="shared" si="3"/>
        <v>1000</v>
      </c>
      <c r="S29" s="550"/>
    </row>
    <row r="30" spans="1:19">
      <c r="A30" s="536"/>
      <c r="B30" s="537" t="s">
        <v>40</v>
      </c>
      <c r="C30" s="537">
        <v>1150</v>
      </c>
      <c r="D30" s="537"/>
      <c r="E30" s="537"/>
      <c r="F30" s="551"/>
      <c r="G30" s="537">
        <v>1000</v>
      </c>
      <c r="H30" s="550"/>
      <c r="I30" s="533"/>
      <c r="J30" s="533"/>
      <c r="K30" s="533"/>
      <c r="L30" s="536"/>
      <c r="M30" s="537" t="s">
        <v>40</v>
      </c>
      <c r="N30" s="540"/>
      <c r="O30" s="540"/>
      <c r="P30" s="540"/>
      <c r="Q30" s="540"/>
      <c r="R30" s="537">
        <f t="shared" si="3"/>
        <v>1000</v>
      </c>
      <c r="S30" s="550"/>
    </row>
    <row r="31" spans="1:19">
      <c r="A31" s="553" t="s">
        <v>49</v>
      </c>
      <c r="B31" s="537"/>
      <c r="C31" s="537"/>
      <c r="D31" s="537"/>
      <c r="E31" s="537"/>
      <c r="F31" s="537"/>
      <c r="G31" s="537"/>
      <c r="H31" s="538"/>
      <c r="I31" s="533"/>
      <c r="J31" s="533"/>
      <c r="K31" s="533"/>
      <c r="L31" s="553" t="s">
        <v>49</v>
      </c>
      <c r="M31" s="537"/>
      <c r="N31" s="540"/>
      <c r="O31" s="540"/>
      <c r="P31" s="540"/>
      <c r="Q31" s="540"/>
      <c r="R31" s="537"/>
      <c r="S31" s="538"/>
    </row>
    <row r="32" spans="1:19">
      <c r="A32" s="536"/>
      <c r="B32" s="537" t="s">
        <v>39</v>
      </c>
      <c r="C32" s="537"/>
      <c r="D32" s="537"/>
      <c r="E32" s="537"/>
      <c r="F32" s="551"/>
      <c r="G32" s="537">
        <v>1200</v>
      </c>
      <c r="H32" s="538">
        <v>2000</v>
      </c>
      <c r="I32" s="533"/>
      <c r="J32" s="533"/>
      <c r="K32" s="533"/>
      <c r="L32" s="536"/>
      <c r="M32" s="537" t="s">
        <v>39</v>
      </c>
      <c r="N32" s="540"/>
      <c r="O32" s="540"/>
      <c r="P32" s="540"/>
      <c r="Q32" s="540"/>
      <c r="R32" s="537">
        <f t="shared" si="3"/>
        <v>1200</v>
      </c>
      <c r="S32" s="538">
        <v>2000</v>
      </c>
    </row>
    <row r="33" spans="1:19">
      <c r="A33" s="536"/>
      <c r="B33" s="537" t="s">
        <v>40</v>
      </c>
      <c r="C33" s="537"/>
      <c r="D33" s="537"/>
      <c r="E33" s="537"/>
      <c r="F33" s="551"/>
      <c r="G33" s="537">
        <v>1200</v>
      </c>
      <c r="H33" s="538">
        <v>2000</v>
      </c>
      <c r="I33" s="533"/>
      <c r="J33" s="533"/>
      <c r="K33" s="533"/>
      <c r="L33" s="536"/>
      <c r="M33" s="537" t="s">
        <v>40</v>
      </c>
      <c r="N33" s="540"/>
      <c r="O33" s="540"/>
      <c r="P33" s="540"/>
      <c r="Q33" s="540"/>
      <c r="R33" s="537">
        <f t="shared" si="3"/>
        <v>1200</v>
      </c>
      <c r="S33" s="538">
        <v>2000</v>
      </c>
    </row>
    <row r="34" spans="1:19">
      <c r="A34" s="536" t="s">
        <v>50</v>
      </c>
      <c r="B34" s="537"/>
      <c r="C34" s="537"/>
      <c r="D34" s="537"/>
      <c r="E34" s="537"/>
      <c r="F34" s="551"/>
      <c r="G34" s="537"/>
      <c r="H34" s="538"/>
      <c r="I34" s="533"/>
      <c r="J34" s="533"/>
      <c r="K34" s="533"/>
      <c r="L34" s="536" t="s">
        <v>50</v>
      </c>
      <c r="M34" s="537"/>
      <c r="N34" s="540"/>
      <c r="O34" s="540"/>
      <c r="P34" s="540"/>
      <c r="Q34" s="540"/>
      <c r="R34" s="537"/>
      <c r="S34" s="538"/>
    </row>
    <row r="35" spans="1:19">
      <c r="A35" s="536"/>
      <c r="B35" s="537" t="s">
        <v>39</v>
      </c>
      <c r="C35" s="537"/>
      <c r="D35" s="537"/>
      <c r="E35" s="537"/>
      <c r="F35" s="551"/>
      <c r="G35" s="537">
        <v>1400</v>
      </c>
      <c r="H35" s="538">
        <v>2000</v>
      </c>
      <c r="I35" s="533"/>
      <c r="J35" s="533"/>
      <c r="K35" s="533"/>
      <c r="L35" s="536"/>
      <c r="M35" s="537" t="s">
        <v>39</v>
      </c>
      <c r="N35" s="540"/>
      <c r="O35" s="540"/>
      <c r="P35" s="540"/>
      <c r="Q35" s="540"/>
      <c r="R35" s="537">
        <f t="shared" si="3"/>
        <v>1400</v>
      </c>
      <c r="S35" s="538">
        <v>2000</v>
      </c>
    </row>
    <row r="36" spans="1:19">
      <c r="A36" s="536"/>
      <c r="B36" s="537" t="s">
        <v>40</v>
      </c>
      <c r="C36" s="537"/>
      <c r="D36" s="537"/>
      <c r="E36" s="537"/>
      <c r="F36" s="551"/>
      <c r="G36" s="537">
        <v>1400</v>
      </c>
      <c r="H36" s="538">
        <v>2000</v>
      </c>
      <c r="I36" s="533"/>
      <c r="J36" s="533"/>
      <c r="K36" s="533"/>
      <c r="L36" s="536"/>
      <c r="M36" s="537" t="s">
        <v>40</v>
      </c>
      <c r="N36" s="540"/>
      <c r="O36" s="540"/>
      <c r="P36" s="540"/>
      <c r="Q36" s="540"/>
      <c r="R36" s="537">
        <f t="shared" si="3"/>
        <v>1400</v>
      </c>
      <c r="S36" s="538">
        <v>2000</v>
      </c>
    </row>
    <row r="37" spans="1:19">
      <c r="A37" s="536" t="s">
        <v>51</v>
      </c>
      <c r="B37" s="537"/>
      <c r="C37" s="537"/>
      <c r="D37" s="537"/>
      <c r="E37" s="537"/>
      <c r="F37" s="551"/>
      <c r="G37" s="537"/>
      <c r="H37" s="538"/>
      <c r="I37" s="533"/>
      <c r="J37" s="533"/>
      <c r="K37" s="533"/>
      <c r="L37" s="536" t="s">
        <v>51</v>
      </c>
      <c r="M37" s="537"/>
      <c r="N37" s="540"/>
      <c r="O37" s="540"/>
      <c r="P37" s="540"/>
      <c r="Q37" s="540"/>
      <c r="R37" s="537"/>
      <c r="S37" s="538"/>
    </row>
    <row r="38" spans="1:19">
      <c r="A38" s="536"/>
      <c r="B38" s="537" t="s">
        <v>39</v>
      </c>
      <c r="C38" s="537">
        <v>387</v>
      </c>
      <c r="D38" s="537"/>
      <c r="E38" s="537"/>
      <c r="F38" s="551"/>
      <c r="G38" s="537">
        <v>1500</v>
      </c>
      <c r="H38" s="538">
        <v>2000</v>
      </c>
      <c r="I38" s="533"/>
      <c r="J38" s="533"/>
      <c r="K38" s="533"/>
      <c r="L38" s="536"/>
      <c r="M38" s="537" t="s">
        <v>39</v>
      </c>
      <c r="N38" s="540">
        <v>2752</v>
      </c>
      <c r="O38" s="540"/>
      <c r="P38" s="540"/>
      <c r="Q38" s="540"/>
      <c r="R38" s="537">
        <f t="shared" si="3"/>
        <v>1500</v>
      </c>
      <c r="S38" s="538">
        <v>2000</v>
      </c>
    </row>
    <row r="39" spans="1:19">
      <c r="A39" s="536"/>
      <c r="B39" s="537" t="s">
        <v>40</v>
      </c>
      <c r="C39" s="537">
        <v>679</v>
      </c>
      <c r="D39" s="537"/>
      <c r="E39" s="537"/>
      <c r="F39" s="551"/>
      <c r="G39" s="537">
        <v>1500</v>
      </c>
      <c r="H39" s="538">
        <v>2000</v>
      </c>
      <c r="I39" s="533"/>
      <c r="J39" s="533"/>
      <c r="K39" s="533"/>
      <c r="L39" s="536"/>
      <c r="M39" s="537" t="s">
        <v>40</v>
      </c>
      <c r="N39" s="540"/>
      <c r="O39" s="540"/>
      <c r="P39" s="540"/>
      <c r="Q39" s="540"/>
      <c r="R39" s="537">
        <f t="shared" si="3"/>
        <v>1500</v>
      </c>
      <c r="S39" s="538">
        <v>2000</v>
      </c>
    </row>
    <row r="40" spans="1:19">
      <c r="A40" s="536" t="s">
        <v>52</v>
      </c>
      <c r="B40" s="537"/>
      <c r="C40" s="537"/>
      <c r="D40" s="537"/>
      <c r="E40" s="537"/>
      <c r="F40" s="551"/>
      <c r="G40" s="537"/>
      <c r="H40" s="538"/>
      <c r="I40" s="533"/>
      <c r="J40" s="533"/>
      <c r="K40" s="533"/>
      <c r="L40" s="536" t="s">
        <v>52</v>
      </c>
      <c r="M40" s="537"/>
      <c r="N40" s="540"/>
      <c r="O40" s="540"/>
      <c r="P40" s="540"/>
      <c r="Q40" s="540"/>
      <c r="R40" s="537"/>
      <c r="S40" s="538"/>
    </row>
    <row r="41" spans="1:19">
      <c r="A41" s="536"/>
      <c r="B41" s="537" t="s">
        <v>39</v>
      </c>
      <c r="C41" s="537"/>
      <c r="D41" s="537"/>
      <c r="E41" s="537"/>
      <c r="F41" s="551"/>
      <c r="G41" s="537">
        <v>1600</v>
      </c>
      <c r="H41" s="538">
        <v>2000</v>
      </c>
      <c r="I41" s="533"/>
      <c r="J41" s="533"/>
      <c r="K41" s="533"/>
      <c r="L41" s="536"/>
      <c r="M41" s="537" t="s">
        <v>39</v>
      </c>
      <c r="N41" s="540"/>
      <c r="O41" s="540"/>
      <c r="P41" s="540"/>
      <c r="Q41" s="540"/>
      <c r="R41" s="537">
        <f t="shared" si="3"/>
        <v>1600</v>
      </c>
      <c r="S41" s="538">
        <v>2000</v>
      </c>
    </row>
    <row r="42" ht="17.25" spans="1:19">
      <c r="A42" s="554"/>
      <c r="B42" s="555" t="s">
        <v>40</v>
      </c>
      <c r="C42" s="555"/>
      <c r="D42" s="555"/>
      <c r="E42" s="555"/>
      <c r="F42" s="556"/>
      <c r="G42" s="555">
        <v>1600</v>
      </c>
      <c r="H42" s="557">
        <v>2000</v>
      </c>
      <c r="I42" s="533"/>
      <c r="J42" s="533"/>
      <c r="K42" s="533"/>
      <c r="L42" s="554"/>
      <c r="M42" s="555" t="s">
        <v>40</v>
      </c>
      <c r="N42" s="558"/>
      <c r="O42" s="558"/>
      <c r="P42" s="558"/>
      <c r="Q42" s="558"/>
      <c r="R42" s="555">
        <f t="shared" si="3"/>
        <v>1600</v>
      </c>
      <c r="S42" s="557">
        <v>2000</v>
      </c>
    </row>
    <row r="43" ht="17.25" spans="1:19">
      <c r="A43" s="548"/>
      <c r="B43" s="548"/>
      <c r="C43" s="548"/>
      <c r="D43" s="548"/>
      <c r="E43" s="548"/>
      <c r="F43" s="548"/>
      <c r="G43" s="533"/>
      <c r="H43" s="548"/>
      <c r="I43" s="548"/>
      <c r="J43" s="548"/>
      <c r="K43" s="533"/>
    </row>
    <row r="44" ht="30" customHeight="1" spans="1:19">
      <c r="A44" s="529" t="s">
        <v>53</v>
      </c>
      <c r="B44" s="530" t="s">
        <v>27</v>
      </c>
      <c r="C44" s="530" t="s">
        <v>35</v>
      </c>
      <c r="D44" s="530"/>
      <c r="E44" s="530"/>
      <c r="F44" s="530" t="s">
        <v>31</v>
      </c>
      <c r="G44" s="530" t="s">
        <v>32</v>
      </c>
      <c r="H44" s="531" t="s">
        <v>33</v>
      </c>
      <c r="I44" s="532"/>
      <c r="J44" s="532"/>
      <c r="K44" s="533"/>
      <c r="L44" s="529" t="s">
        <v>54</v>
      </c>
      <c r="M44" s="530" t="s">
        <v>27</v>
      </c>
      <c r="N44" s="530" t="s">
        <v>35</v>
      </c>
      <c r="O44" s="530"/>
      <c r="P44" s="530"/>
      <c r="Q44" s="530" t="s">
        <v>31</v>
      </c>
      <c r="R44" s="530" t="s">
        <v>32</v>
      </c>
      <c r="S44" s="531" t="s">
        <v>33</v>
      </c>
    </row>
    <row r="45" spans="1:19">
      <c r="A45" s="536" t="s">
        <v>55</v>
      </c>
      <c r="B45" s="537" t="s">
        <v>39</v>
      </c>
      <c r="C45" s="537">
        <v>730</v>
      </c>
      <c r="D45" s="537"/>
      <c r="E45" s="537"/>
      <c r="F45" s="559"/>
      <c r="G45" s="544">
        <f>G48*0.9</f>
        <v>1246.5</v>
      </c>
      <c r="H45" s="538">
        <v>2500</v>
      </c>
      <c r="I45" s="533"/>
      <c r="J45" s="533"/>
      <c r="K45" s="533"/>
      <c r="L45" s="536" t="s">
        <v>55</v>
      </c>
      <c r="M45" s="537" t="s">
        <v>39</v>
      </c>
      <c r="N45" s="540">
        <v>916</v>
      </c>
      <c r="O45" s="540"/>
      <c r="P45" s="551"/>
      <c r="Q45" s="551"/>
      <c r="R45" s="544">
        <f>G45</f>
        <v>1246.5</v>
      </c>
      <c r="S45" s="538">
        <v>2500</v>
      </c>
    </row>
    <row r="46" spans="1:19">
      <c r="A46" s="536"/>
      <c r="B46" s="537" t="s">
        <v>40</v>
      </c>
      <c r="C46" s="537">
        <v>726</v>
      </c>
      <c r="D46" s="537"/>
      <c r="E46" s="537"/>
      <c r="F46" s="559"/>
      <c r="G46" s="544">
        <f>G48*0.9</f>
        <v>1246.5</v>
      </c>
      <c r="H46" s="538">
        <v>2500</v>
      </c>
      <c r="I46" s="533"/>
      <c r="J46" s="533"/>
      <c r="K46" s="533"/>
      <c r="L46" s="536"/>
      <c r="M46" s="537" t="s">
        <v>40</v>
      </c>
      <c r="N46" s="540"/>
      <c r="O46" s="540"/>
      <c r="P46" s="551"/>
      <c r="Q46" s="551"/>
      <c r="R46" s="544">
        <f>G46</f>
        <v>1246.5</v>
      </c>
      <c r="S46" s="538">
        <v>2500</v>
      </c>
    </row>
    <row r="47" spans="1:19">
      <c r="A47" s="536"/>
      <c r="B47" s="537"/>
      <c r="C47" s="537"/>
      <c r="D47" s="537"/>
      <c r="E47" s="537"/>
      <c r="F47" s="537"/>
      <c r="G47" s="545"/>
      <c r="H47" s="538"/>
      <c r="I47" s="533"/>
      <c r="J47" s="533"/>
      <c r="K47" s="548"/>
      <c r="L47" s="536"/>
      <c r="M47" s="537"/>
      <c r="N47" s="540"/>
      <c r="O47" s="540"/>
      <c r="P47" s="551"/>
      <c r="Q47" s="551"/>
      <c r="R47" s="545"/>
      <c r="S47" s="538"/>
    </row>
    <row r="48" spans="1:19">
      <c r="A48" s="536" t="s">
        <v>56</v>
      </c>
      <c r="B48" s="537" t="s">
        <v>39</v>
      </c>
      <c r="C48" s="537">
        <v>1475</v>
      </c>
      <c r="D48" s="537"/>
      <c r="E48" s="551"/>
      <c r="F48" s="537">
        <v>1450</v>
      </c>
      <c r="G48" s="544">
        <v>1385</v>
      </c>
      <c r="H48" s="538">
        <v>2500</v>
      </c>
      <c r="I48" s="533"/>
      <c r="J48" s="533"/>
      <c r="K48" s="533"/>
      <c r="L48" s="536" t="s">
        <v>56</v>
      </c>
      <c r="M48" s="537" t="s">
        <v>39</v>
      </c>
      <c r="N48" s="540">
        <v>1500</v>
      </c>
      <c r="O48" s="540"/>
      <c r="P48" s="551"/>
      <c r="Q48" s="551"/>
      <c r="R48" s="545">
        <f>G48</f>
        <v>1385</v>
      </c>
      <c r="S48" s="538">
        <v>2500</v>
      </c>
    </row>
    <row r="49" spans="1:19">
      <c r="A49" s="536"/>
      <c r="B49" s="537" t="s">
        <v>40</v>
      </c>
      <c r="C49" s="537">
        <v>900</v>
      </c>
      <c r="D49" s="537"/>
      <c r="E49" s="551"/>
      <c r="F49" s="537">
        <v>1450</v>
      </c>
      <c r="G49" s="544">
        <v>1385</v>
      </c>
      <c r="H49" s="538">
        <v>2500</v>
      </c>
      <c r="I49" s="533"/>
      <c r="J49" s="533"/>
      <c r="K49" s="533"/>
      <c r="L49" s="536"/>
      <c r="M49" s="537" t="s">
        <v>40</v>
      </c>
      <c r="N49" s="540">
        <v>1145</v>
      </c>
      <c r="O49" s="540"/>
      <c r="P49" s="551"/>
      <c r="Q49" s="551"/>
      <c r="R49" s="545">
        <f>G49</f>
        <v>1385</v>
      </c>
      <c r="S49" s="538">
        <v>2500</v>
      </c>
    </row>
    <row r="50" spans="1:19">
      <c r="A50" s="536"/>
      <c r="B50" s="537"/>
      <c r="C50" s="537"/>
      <c r="D50" s="537"/>
      <c r="E50" s="537"/>
      <c r="F50" s="537"/>
      <c r="G50" s="545"/>
      <c r="H50" s="538"/>
      <c r="I50" s="533"/>
      <c r="J50" s="533"/>
      <c r="K50" s="533"/>
      <c r="L50" s="536"/>
      <c r="M50" s="537"/>
      <c r="N50" s="540"/>
      <c r="O50" s="540"/>
      <c r="P50" s="551"/>
      <c r="Q50" s="551"/>
      <c r="R50" s="545"/>
      <c r="S50" s="538"/>
    </row>
    <row r="51" spans="1:19">
      <c r="A51" s="536" t="s">
        <v>57</v>
      </c>
      <c r="B51" s="537" t="s">
        <v>39</v>
      </c>
      <c r="C51" s="537"/>
      <c r="D51" s="537"/>
      <c r="E51" s="537"/>
      <c r="F51" s="559">
        <v>1600</v>
      </c>
      <c r="G51" s="544">
        <f>G48*1.1</f>
        <v>1523.5</v>
      </c>
      <c r="H51" s="538">
        <v>2500</v>
      </c>
      <c r="I51" s="533"/>
      <c r="J51" s="533"/>
      <c r="K51" s="533"/>
      <c r="L51" s="536" t="s">
        <v>57</v>
      </c>
      <c r="M51" s="537" t="s">
        <v>39</v>
      </c>
      <c r="N51" s="540"/>
      <c r="O51" s="540"/>
      <c r="P51" s="551"/>
      <c r="Q51" s="551"/>
      <c r="R51" s="544">
        <f>R48*1.1</f>
        <v>1523.5</v>
      </c>
      <c r="S51" s="538">
        <v>2500</v>
      </c>
    </row>
    <row r="52" spans="1:19">
      <c r="A52" s="536"/>
      <c r="B52" s="537" t="s">
        <v>40</v>
      </c>
      <c r="C52" s="537"/>
      <c r="D52" s="537"/>
      <c r="E52" s="537"/>
      <c r="F52" s="559">
        <v>1600</v>
      </c>
      <c r="G52" s="544">
        <f>G49*1.1</f>
        <v>1523.5</v>
      </c>
      <c r="H52" s="538">
        <v>2500</v>
      </c>
      <c r="I52" s="533"/>
      <c r="J52" s="533"/>
      <c r="K52" s="533"/>
      <c r="L52" s="536"/>
      <c r="M52" s="537" t="s">
        <v>40</v>
      </c>
      <c r="N52" s="540"/>
      <c r="O52" s="540"/>
      <c r="P52" s="551"/>
      <c r="Q52" s="551"/>
      <c r="R52" s="544">
        <f>R49*1.1</f>
        <v>1523.5</v>
      </c>
      <c r="S52" s="538">
        <v>2500</v>
      </c>
    </row>
    <row r="53" spans="1:19">
      <c r="A53" s="560"/>
      <c r="B53" s="551"/>
      <c r="C53" s="551"/>
      <c r="D53" s="551"/>
      <c r="E53" s="551"/>
      <c r="F53" s="551"/>
      <c r="G53" s="551"/>
      <c r="H53" s="542"/>
      <c r="K53" s="533"/>
      <c r="L53" s="539"/>
      <c r="M53" s="540"/>
      <c r="N53" s="540"/>
      <c r="O53" s="540"/>
      <c r="P53" s="540"/>
      <c r="Q53" s="540"/>
      <c r="R53" s="541"/>
      <c r="S53" s="542"/>
    </row>
    <row r="54" spans="1:19">
      <c r="A54" s="561" t="s">
        <v>58</v>
      </c>
      <c r="B54" s="559" t="s">
        <v>59</v>
      </c>
      <c r="C54" s="559">
        <v>1156</v>
      </c>
      <c r="D54" s="551"/>
      <c r="E54" s="551"/>
      <c r="F54" s="551"/>
      <c r="G54" s="551"/>
      <c r="H54" s="542"/>
      <c r="K54" s="533"/>
      <c r="L54" s="560"/>
      <c r="M54" s="551"/>
      <c r="N54" s="551"/>
      <c r="O54" s="551"/>
      <c r="P54" s="551"/>
      <c r="Q54" s="551"/>
      <c r="R54" s="541"/>
      <c r="S54" s="542"/>
    </row>
    <row r="55" spans="1:19">
      <c r="A55" s="561"/>
      <c r="B55" s="537" t="s">
        <v>39</v>
      </c>
      <c r="C55" s="559">
        <v>1292</v>
      </c>
      <c r="D55" s="551"/>
      <c r="E55" s="551"/>
      <c r="F55" s="551"/>
      <c r="G55" s="551"/>
      <c r="H55" s="542"/>
      <c r="K55" s="533"/>
      <c r="L55" s="560"/>
      <c r="M55" s="551"/>
      <c r="N55" s="551"/>
      <c r="O55" s="551"/>
      <c r="P55" s="551"/>
      <c r="Q55" s="551"/>
      <c r="R55" s="541"/>
      <c r="S55" s="542"/>
    </row>
    <row r="56" ht="17.25" spans="1:19">
      <c r="A56" s="562"/>
      <c r="B56" s="555" t="s">
        <v>40</v>
      </c>
      <c r="C56" s="563">
        <v>885</v>
      </c>
      <c r="D56" s="556"/>
      <c r="E56" s="556"/>
      <c r="F56" s="556"/>
      <c r="G56" s="556"/>
      <c r="H56" s="564"/>
      <c r="K56" s="533"/>
      <c r="L56" s="565"/>
      <c r="M56" s="556"/>
      <c r="N56" s="556"/>
      <c r="O56" s="556"/>
      <c r="P56" s="556"/>
      <c r="Q56" s="556"/>
      <c r="R56" s="566"/>
      <c r="S56" s="564"/>
    </row>
    <row r="57" spans="1:19">
      <c r="A57" s="548"/>
      <c r="C57" s="548"/>
      <c r="D57" s="548"/>
      <c r="E57" s="548"/>
      <c r="F57" s="548"/>
      <c r="G57" s="533"/>
      <c r="H57" s="548"/>
      <c r="I57" s="548"/>
      <c r="J57" s="548"/>
      <c r="K57" s="548"/>
    </row>
    <row r="58" ht="114.75" customHeight="1" spans="1:19">
      <c r="A58" s="527" t="s">
        <v>60</v>
      </c>
      <c r="B58" s="527"/>
      <c r="C58" s="527"/>
      <c r="D58" s="527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</row>
    <row r="59" ht="40" customHeight="1" spans="1:19">
      <c r="A59" s="567" t="s">
        <v>61</v>
      </c>
      <c r="B59" s="568" t="s">
        <v>27</v>
      </c>
      <c r="C59" s="568" t="s">
        <v>62</v>
      </c>
      <c r="D59" s="568"/>
      <c r="E59" s="568"/>
      <c r="F59" s="568"/>
      <c r="G59" s="568"/>
      <c r="H59" s="568" t="s">
        <v>63</v>
      </c>
      <c r="I59" s="568" t="s">
        <v>64</v>
      </c>
      <c r="J59" s="568" t="s">
        <v>65</v>
      </c>
      <c r="K59" s="569" t="s">
        <v>66</v>
      </c>
      <c r="L59" s="570" t="s">
        <v>67</v>
      </c>
      <c r="O59" s="568" t="s">
        <v>68</v>
      </c>
      <c r="P59" s="568" t="s">
        <v>27</v>
      </c>
      <c r="Q59" s="568" t="s">
        <v>35</v>
      </c>
      <c r="R59" s="568" t="s">
        <v>33</v>
      </c>
      <c r="S59" s="570" t="s">
        <v>32</v>
      </c>
    </row>
    <row r="60" ht="40" customHeight="1" spans="1:19">
      <c r="A60" s="571"/>
      <c r="B60" s="572"/>
      <c r="C60" s="572" t="s">
        <v>69</v>
      </c>
      <c r="D60" s="572" t="s">
        <v>70</v>
      </c>
      <c r="E60" s="572" t="s">
        <v>71</v>
      </c>
      <c r="F60" s="572" t="s">
        <v>72</v>
      </c>
      <c r="G60" s="572" t="s">
        <v>73</v>
      </c>
      <c r="H60" s="572"/>
      <c r="I60" s="572"/>
      <c r="J60" s="572"/>
      <c r="K60" s="572"/>
      <c r="L60" s="573"/>
      <c r="O60" s="572"/>
      <c r="P60" s="572"/>
      <c r="Q60" s="572"/>
      <c r="R60" s="572"/>
      <c r="S60" s="573"/>
    </row>
    <row r="61" spans="1:19">
      <c r="A61" s="574"/>
      <c r="B61" s="537" t="s">
        <v>74</v>
      </c>
      <c r="C61" s="537"/>
      <c r="D61" s="537"/>
      <c r="E61" s="537">
        <v>3</v>
      </c>
      <c r="F61" s="537">
        <v>0</v>
      </c>
      <c r="G61" s="537">
        <v>3</v>
      </c>
      <c r="H61" s="575">
        <f>'【国内】问卷调研-数据源（P3单独执行） '!BF3</f>
        <v>7.7739052439107</v>
      </c>
      <c r="I61" s="576">
        <f t="shared" ref="I61:I66" si="4">H61*0.4</f>
        <v>3.10956209756428</v>
      </c>
      <c r="J61" s="576">
        <f t="shared" ref="J61:J66" si="5">H61*0.6</f>
        <v>4.66434314634642</v>
      </c>
      <c r="K61" s="545">
        <f t="shared" ref="K61:K66" si="6">(H61*0.5+I61*0.45+J61*0.05)</f>
        <v>5.5194727231766</v>
      </c>
      <c r="L61" s="577">
        <v>31</v>
      </c>
      <c r="O61" s="540"/>
      <c r="P61" s="551"/>
      <c r="Q61" s="551"/>
      <c r="R61" s="551"/>
      <c r="S61" s="578"/>
    </row>
    <row r="62" spans="1:19">
      <c r="A62" s="574"/>
      <c r="B62" s="537" t="s">
        <v>75</v>
      </c>
      <c r="C62" s="537">
        <v>17</v>
      </c>
      <c r="D62" s="537">
        <v>2.4</v>
      </c>
      <c r="E62" s="537"/>
      <c r="F62" s="537">
        <v>0.9</v>
      </c>
      <c r="G62" s="576">
        <v>7.9</v>
      </c>
      <c r="H62" s="575">
        <f>'【国内】问卷调研-数据源（P3单独执行） '!BF26</f>
        <v>10.2010847971369</v>
      </c>
      <c r="I62" s="576">
        <f t="shared" si="4"/>
        <v>4.08043391885476</v>
      </c>
      <c r="J62" s="576">
        <f t="shared" si="5"/>
        <v>6.12065087828215</v>
      </c>
      <c r="K62" s="545">
        <f t="shared" si="6"/>
        <v>7.24277020596721</v>
      </c>
      <c r="L62" s="577">
        <v>33</v>
      </c>
      <c r="O62" s="540"/>
      <c r="P62" s="540" t="s">
        <v>76</v>
      </c>
      <c r="Q62" s="540">
        <v>8</v>
      </c>
      <c r="R62" s="540">
        <v>30</v>
      </c>
      <c r="S62" s="579">
        <v>12</v>
      </c>
    </row>
    <row r="63" spans="1:19">
      <c r="A63" s="574"/>
      <c r="B63" s="537" t="s">
        <v>77</v>
      </c>
      <c r="C63" s="537">
        <v>6.5</v>
      </c>
      <c r="D63" s="537">
        <v>2.9</v>
      </c>
      <c r="E63" s="537">
        <v>5</v>
      </c>
      <c r="F63" s="537">
        <v>1.8</v>
      </c>
      <c r="G63" s="576">
        <v>4.2</v>
      </c>
      <c r="H63" s="575">
        <f>'【国内】问卷调研-数据源（P3单独执行） '!BF49</f>
        <v>10.4883152455738</v>
      </c>
      <c r="I63" s="576">
        <f t="shared" si="4"/>
        <v>4.19532609822951</v>
      </c>
      <c r="J63" s="576">
        <f t="shared" si="5"/>
        <v>6.29298914734426</v>
      </c>
      <c r="K63" s="545">
        <f t="shared" si="6"/>
        <v>7.44670382435738</v>
      </c>
      <c r="L63" s="577">
        <v>40</v>
      </c>
      <c r="O63" s="540"/>
      <c r="P63" s="540" t="s">
        <v>78</v>
      </c>
      <c r="Q63" s="540">
        <v>20</v>
      </c>
      <c r="R63" s="540">
        <v>45</v>
      </c>
      <c r="S63" s="578">
        <v>18</v>
      </c>
    </row>
    <row r="64" spans="1:19">
      <c r="A64" s="574"/>
      <c r="B64" s="537" t="s">
        <v>79</v>
      </c>
      <c r="C64" s="537">
        <v>12</v>
      </c>
      <c r="D64" s="537">
        <v>2.67</v>
      </c>
      <c r="E64" s="576">
        <v>2</v>
      </c>
      <c r="F64" s="537"/>
      <c r="G64" s="576">
        <v>7.3</v>
      </c>
      <c r="H64" s="575">
        <f>'【国内】问卷调研-数据源（P3单独执行） '!BF72</f>
        <v>11.7790719067127</v>
      </c>
      <c r="I64" s="576">
        <f t="shared" si="4"/>
        <v>4.71162876268508</v>
      </c>
      <c r="J64" s="576">
        <f t="shared" si="5"/>
        <v>7.06744314402762</v>
      </c>
      <c r="K64" s="545">
        <f t="shared" si="6"/>
        <v>8.36314105376602</v>
      </c>
      <c r="L64" s="577">
        <v>48</v>
      </c>
      <c r="O64" s="540"/>
      <c r="P64" s="551"/>
      <c r="Q64" s="551"/>
      <c r="R64" s="551"/>
      <c r="S64" s="578"/>
    </row>
    <row r="65" spans="1:19">
      <c r="A65" s="574"/>
      <c r="B65" s="537" t="s">
        <v>80</v>
      </c>
      <c r="C65" s="537"/>
      <c r="D65" s="537">
        <v>4.9</v>
      </c>
      <c r="E65" s="537">
        <v>2</v>
      </c>
      <c r="F65" s="537"/>
      <c r="G65" s="576">
        <f>AVERAGE(C65:D65)</f>
        <v>4.9</v>
      </c>
      <c r="H65" s="575">
        <f>'【国内】问卷调研-数据源（P3单独执行） '!BF95</f>
        <v>12.452637009705</v>
      </c>
      <c r="I65" s="576">
        <f t="shared" si="4"/>
        <v>4.98105480388201</v>
      </c>
      <c r="J65" s="576">
        <f t="shared" si="5"/>
        <v>7.47158220582301</v>
      </c>
      <c r="K65" s="545">
        <f t="shared" si="6"/>
        <v>8.84137227689056</v>
      </c>
      <c r="L65" s="577">
        <v>52</v>
      </c>
      <c r="O65" s="540"/>
      <c r="P65" s="551"/>
      <c r="Q65" s="551"/>
      <c r="R65" s="551"/>
      <c r="S65" s="578"/>
    </row>
    <row r="66" ht="17.25" spans="1:19">
      <c r="A66" s="580"/>
      <c r="B66" s="581" t="s">
        <v>81</v>
      </c>
      <c r="C66" s="581">
        <v>6.2</v>
      </c>
      <c r="D66" s="581">
        <v>12.4</v>
      </c>
      <c r="E66" s="581"/>
      <c r="F66" s="581"/>
      <c r="G66" s="582">
        <v>8.3</v>
      </c>
      <c r="H66" s="583">
        <f>'【国内】问卷调研-数据源（P3单独执行） '!BF118</f>
        <v>14.3705588666019</v>
      </c>
      <c r="I66" s="582">
        <f t="shared" si="4"/>
        <v>5.74822354664075</v>
      </c>
      <c r="J66" s="582">
        <f t="shared" si="5"/>
        <v>8.62233531996113</v>
      </c>
      <c r="K66" s="584">
        <f t="shared" si="6"/>
        <v>10.2030967952873</v>
      </c>
      <c r="L66" s="585">
        <v>76</v>
      </c>
      <c r="O66" s="586"/>
      <c r="P66" s="587"/>
      <c r="Q66" s="587"/>
      <c r="R66" s="587"/>
      <c r="S66" s="588"/>
    </row>
    <row r="67" spans="1:19">
      <c r="A67" s="548"/>
      <c r="B67" s="548"/>
      <c r="C67" s="548"/>
      <c r="D67" s="548"/>
      <c r="E67" s="548"/>
      <c r="F67" s="589"/>
      <c r="G67" s="590">
        <v>5</v>
      </c>
      <c r="H67" s="548"/>
      <c r="I67" s="548"/>
      <c r="J67" s="548"/>
      <c r="K67" s="548">
        <f>AVERAGE(K61:K66)</f>
        <v>7.93609281324085</v>
      </c>
      <c r="L67" s="548"/>
    </row>
    <row r="68" spans="1:19">
      <c r="A68" s="548"/>
      <c r="B68" s="548"/>
      <c r="C68" s="548"/>
      <c r="D68" s="548"/>
      <c r="E68" s="548"/>
      <c r="F68" s="548"/>
      <c r="G68" s="548"/>
      <c r="H68" s="548"/>
      <c r="I68" s="548"/>
      <c r="J68" s="548"/>
      <c r="K68" s="548"/>
      <c r="L68" s="548"/>
    </row>
    <row r="69" ht="114.75" customHeight="1" spans="1:19">
      <c r="A69" s="527" t="s">
        <v>82</v>
      </c>
      <c r="B69" s="527"/>
      <c r="C69" s="527"/>
      <c r="D69" s="527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</row>
    <row r="70" spans="1:19">
      <c r="A70" s="591" t="s">
        <v>83</v>
      </c>
      <c r="B70" s="592" t="s">
        <v>27</v>
      </c>
      <c r="C70" s="592" t="s">
        <v>84</v>
      </c>
      <c r="D70" s="592" t="s">
        <v>85</v>
      </c>
      <c r="E70" s="593" t="s">
        <v>32</v>
      </c>
      <c r="F70" s="594" t="s">
        <v>86</v>
      </c>
      <c r="G70" s="548"/>
      <c r="H70" s="548"/>
      <c r="I70" s="548"/>
      <c r="J70" s="548"/>
      <c r="K70" s="548"/>
      <c r="L70" s="548"/>
    </row>
    <row r="71" spans="1:19">
      <c r="A71" s="595"/>
      <c r="B71" s="596" t="s">
        <v>87</v>
      </c>
      <c r="C71" s="559">
        <f>256</f>
        <v>256</v>
      </c>
      <c r="D71" s="559">
        <v>496</v>
      </c>
      <c r="E71" s="597">
        <f>'【全球】CAA测试-数据源'!H4</f>
        <v>512.676470588235</v>
      </c>
      <c r="F71" s="598">
        <f>AVERAGE(E71:E74)</f>
        <v>521.531259426848</v>
      </c>
      <c r="G71" s="548"/>
      <c r="H71" s="548"/>
      <c r="I71" s="548"/>
      <c r="J71" s="548"/>
      <c r="K71" s="548"/>
      <c r="L71" s="548"/>
    </row>
    <row r="72" spans="1:19">
      <c r="A72" s="599"/>
      <c r="B72" s="559" t="s">
        <v>88</v>
      </c>
      <c r="C72" s="559">
        <f>248</f>
        <v>248</v>
      </c>
      <c r="D72" s="559">
        <v>488</v>
      </c>
      <c r="E72" s="597">
        <f>'【全球】CAA测试-数据源'!O13</f>
        <v>517.882352941176</v>
      </c>
      <c r="F72" s="598"/>
    </row>
    <row r="73" spans="1:19">
      <c r="A73" s="599"/>
      <c r="B73" s="559" t="s">
        <v>89</v>
      </c>
      <c r="C73" s="559">
        <f>361</f>
        <v>361</v>
      </c>
      <c r="D73" s="559">
        <v>601</v>
      </c>
      <c r="E73" s="597">
        <f>'【全球】CAA测试-数据源'!O4</f>
        <v>537.683861236803</v>
      </c>
      <c r="F73" s="598"/>
    </row>
    <row r="74" ht="17.25" spans="1:19">
      <c r="A74" s="600"/>
      <c r="B74" s="601" t="s">
        <v>90</v>
      </c>
      <c r="C74" s="601">
        <f>120</f>
        <v>120</v>
      </c>
      <c r="D74" s="601">
        <v>360</v>
      </c>
      <c r="E74" s="602">
        <f>'【全球】CAA测试-数据源'!H13</f>
        <v>517.882352941176</v>
      </c>
      <c r="F74" s="603"/>
    </row>
    <row r="76" spans="1:19">
      <c r="B76" s="604"/>
    </row>
  </sheetData>
  <mergeCells count="17">
    <mergeCell ref="A1:S1"/>
    <mergeCell ref="A58:S58"/>
    <mergeCell ref="C59:G59"/>
    <mergeCell ref="A69:S69"/>
    <mergeCell ref="A59:A60"/>
    <mergeCell ref="B59:B60"/>
    <mergeCell ref="F71:F74"/>
    <mergeCell ref="H59:H60"/>
    <mergeCell ref="I59:I60"/>
    <mergeCell ref="J59:J60"/>
    <mergeCell ref="K59:K60"/>
    <mergeCell ref="L59:L60"/>
    <mergeCell ref="O59:O60"/>
    <mergeCell ref="P59:P60"/>
    <mergeCell ref="Q59:Q60"/>
    <mergeCell ref="R59:R60"/>
    <mergeCell ref="S59:S60"/>
  </mergeCells>
  <pageMargins left="0.75" right="0.75" top="1" bottom="1" header="0.5" footer="0.5"/>
  <headerFooter/>
  <ignoredErrors>
    <ignoredError sqref="G6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42"/>
  <sheetViews>
    <sheetView zoomScale="85" zoomScaleNormal="85" topLeftCell="E28" workbookViewId="0">
      <selection activeCell="G36" sqref="G36"/>
    </sheetView>
  </sheetViews>
  <sheetFormatPr defaultColWidth="9" defaultRowHeight="16.5"/>
  <cols>
    <col min="1" max="1" width="11.875" style="267" customWidth="1"/>
    <col min="2" max="3" width="12.5" style="267" customWidth="1"/>
    <col min="4" max="6" width="9.5" style="1" customWidth="1"/>
    <col min="7" max="7" width="13.875" style="1" customWidth="1"/>
    <col min="8" max="8" width="9.5" style="1" customWidth="1"/>
    <col min="9" max="9" width="3.125" style="121" customWidth="1"/>
    <col min="10" max="11" width="11.75" style="267" customWidth="1"/>
    <col min="12" max="14" width="9.5" style="1" customWidth="1"/>
    <col min="15" max="15" width="13.25" style="1" customWidth="1"/>
    <col min="16" max="16" width="9.5" style="1" customWidth="1"/>
    <col min="17" max="17" width="3.125" style="121" customWidth="1"/>
    <col min="18" max="19" width="11.75" style="267" customWidth="1"/>
    <col min="20" max="22" width="9.5" style="1" customWidth="1"/>
    <col min="23" max="23" width="11.875" style="1" customWidth="1"/>
    <col min="24" max="24" width="13.375" style="1" customWidth="1"/>
    <col min="25" max="25" width="3.25" style="121" customWidth="1"/>
    <col min="26" max="27" width="13.5" style="267" customWidth="1"/>
    <col min="28" max="32" width="9.5" style="1" customWidth="1"/>
    <col min="33" max="33" width="3.375" style="121" customWidth="1"/>
    <col min="34" max="35" width="13.25" style="267" customWidth="1"/>
    <col min="36" max="40" width="9.5" style="1" customWidth="1"/>
    <col min="41" max="41" width="3.375" style="121" customWidth="1"/>
    <col min="42" max="43" width="13.25" style="267" customWidth="1"/>
    <col min="44" max="45" width="9.5" style="1" customWidth="1"/>
    <col min="46" max="48" width="13" style="99" customWidth="1"/>
    <col min="49" max="49" width="3.375" style="121" customWidth="1"/>
    <col min="50" max="51" width="13.25" style="267" customWidth="1"/>
    <col min="52" max="53" width="9.5" style="1" customWidth="1"/>
    <col min="54" max="54" width="13" style="99" customWidth="1"/>
    <col min="55" max="56" width="9" style="267"/>
    <col min="57" max="58" width="12.625" style="267"/>
    <col min="59" max="16384" width="9" style="267"/>
  </cols>
  <sheetData>
    <row r="1" spans="1:58">
      <c r="B1" s="268" t="s">
        <v>91</v>
      </c>
      <c r="C1" s="268" t="s">
        <v>1</v>
      </c>
      <c r="I1" s="269"/>
      <c r="J1" s="268" t="s">
        <v>91</v>
      </c>
      <c r="K1" s="268"/>
      <c r="L1" s="268" t="s">
        <v>1</v>
      </c>
      <c r="Q1" s="269"/>
      <c r="R1" s="268" t="s">
        <v>91</v>
      </c>
      <c r="S1" s="268"/>
      <c r="T1" s="268" t="s">
        <v>1</v>
      </c>
      <c r="Y1" s="269"/>
      <c r="Z1" s="268" t="s">
        <v>91</v>
      </c>
      <c r="AA1" s="268"/>
      <c r="AB1" s="268" t="s">
        <v>1</v>
      </c>
      <c r="AG1" s="269"/>
      <c r="AH1" s="268" t="s">
        <v>91</v>
      </c>
      <c r="AI1" s="268"/>
      <c r="AJ1" s="268" t="s">
        <v>1</v>
      </c>
      <c r="AO1" s="269"/>
      <c r="AP1" s="268" t="s">
        <v>91</v>
      </c>
      <c r="AQ1" s="268"/>
      <c r="AR1" s="268" t="s">
        <v>1</v>
      </c>
      <c r="AW1" s="269"/>
      <c r="AX1" s="268" t="s">
        <v>91</v>
      </c>
      <c r="AY1" s="268"/>
      <c r="AZ1" s="268" t="s">
        <v>1</v>
      </c>
    </row>
    <row r="2" spans="1:58">
      <c r="B2" s="270" t="s">
        <v>92</v>
      </c>
      <c r="C2" s="270" t="s">
        <v>93</v>
      </c>
      <c r="I2" s="269"/>
      <c r="J2" s="270" t="s">
        <v>92</v>
      </c>
      <c r="K2" s="270"/>
      <c r="L2" s="270" t="s">
        <v>94</v>
      </c>
      <c r="Q2" s="269"/>
      <c r="R2" s="270" t="s">
        <v>92</v>
      </c>
      <c r="S2" s="270"/>
      <c r="T2" s="270" t="s">
        <v>95</v>
      </c>
      <c r="Y2" s="269"/>
      <c r="Z2" s="270" t="s">
        <v>92</v>
      </c>
      <c r="AA2" s="270"/>
      <c r="AB2" s="270" t="s">
        <v>96</v>
      </c>
      <c r="AG2" s="269"/>
      <c r="AH2" s="270" t="s">
        <v>92</v>
      </c>
      <c r="AI2" s="270"/>
      <c r="AJ2" s="270" t="s">
        <v>97</v>
      </c>
      <c r="AO2" s="269"/>
      <c r="AP2" s="270" t="s">
        <v>92</v>
      </c>
      <c r="AQ2" s="270"/>
      <c r="AR2" s="270" t="s">
        <v>98</v>
      </c>
      <c r="AW2" s="269"/>
      <c r="AX2" s="270" t="s">
        <v>92</v>
      </c>
      <c r="AY2" s="270"/>
      <c r="AZ2" s="270" t="s">
        <v>99</v>
      </c>
    </row>
    <row r="3" spans="1:58">
      <c r="B3" s="271" t="s">
        <v>100</v>
      </c>
      <c r="C3" s="271"/>
      <c r="D3" s="271">
        <v>2</v>
      </c>
      <c r="F3" s="59"/>
      <c r="G3" s="272">
        <f>AVERAGE(G7:G22)</f>
        <v>8.03022043790174</v>
      </c>
      <c r="H3" s="59"/>
      <c r="I3" s="269"/>
      <c r="J3" s="271" t="s">
        <v>100</v>
      </c>
      <c r="K3" s="271"/>
      <c r="L3" s="271">
        <v>3</v>
      </c>
      <c r="N3" s="59"/>
      <c r="O3" s="272">
        <f>AVERAGE(O6:O22)</f>
        <v>9.29727856032211</v>
      </c>
      <c r="P3" s="59"/>
      <c r="Q3" s="269"/>
      <c r="R3" s="271" t="s">
        <v>100</v>
      </c>
      <c r="S3" s="271"/>
      <c r="T3" s="271">
        <v>4</v>
      </c>
      <c r="V3" s="59"/>
      <c r="W3" s="272">
        <f>AVERAGE(W6:W22)</f>
        <v>10.9190555320308</v>
      </c>
      <c r="X3" s="59"/>
      <c r="Y3" s="269"/>
      <c r="Z3" s="271" t="s">
        <v>100</v>
      </c>
      <c r="AA3" s="271"/>
      <c r="AB3" s="271">
        <v>5</v>
      </c>
      <c r="AD3" s="59"/>
      <c r="AE3" s="272">
        <f>AVERAGE(AE7:AE22)</f>
        <v>12.8017384956193</v>
      </c>
      <c r="AF3" s="59"/>
      <c r="AG3" s="269"/>
      <c r="AH3" s="271" t="s">
        <v>100</v>
      </c>
      <c r="AI3" s="271"/>
      <c r="AJ3" s="271">
        <v>6</v>
      </c>
      <c r="AL3" s="59"/>
      <c r="AM3" s="272">
        <f>AVERAGE(AM7:AM22)</f>
        <v>14.4623765280598</v>
      </c>
      <c r="AN3" s="59"/>
      <c r="AO3" s="269"/>
      <c r="AP3" s="271" t="s">
        <v>100</v>
      </c>
      <c r="AQ3" s="271"/>
      <c r="AR3" s="271">
        <v>7</v>
      </c>
      <c r="AT3" s="273"/>
      <c r="AU3" s="272">
        <f>AVERAGE(AU7:AU22)</f>
        <v>16.1230145605003</v>
      </c>
      <c r="AV3" s="273"/>
      <c r="AW3" s="269"/>
      <c r="AX3" s="271" t="s">
        <v>100</v>
      </c>
      <c r="AY3" s="271"/>
      <c r="AZ3" s="271">
        <v>8</v>
      </c>
      <c r="BB3" s="273"/>
      <c r="BC3" s="272">
        <f>AVERAGE(BC7:BC22)</f>
        <v>17.7836525929408</v>
      </c>
      <c r="BE3" s="267">
        <f>AVERAGE(BC3,AU3,AM3,AE3,W3,O3,G3)</f>
        <v>12.7739052439107</v>
      </c>
      <c r="BF3" s="267">
        <f>BE3-AVERAGE(AZ3,AR3,AJ3,AB3,T3,L3,D3)</f>
        <v>7.7739052439107</v>
      </c>
    </row>
    <row r="4" spans="1:58">
      <c r="B4" s="1" t="s">
        <v>101</v>
      </c>
      <c r="C4" s="1" t="s">
        <v>8</v>
      </c>
      <c r="D4" s="1" t="s">
        <v>102</v>
      </c>
      <c r="E4" s="1" t="s">
        <v>9</v>
      </c>
      <c r="F4" s="1" t="s">
        <v>103</v>
      </c>
      <c r="G4" s="1" t="s">
        <v>104</v>
      </c>
      <c r="H4" s="269" t="s">
        <v>105</v>
      </c>
      <c r="I4" s="269"/>
      <c r="J4" s="1" t="s">
        <v>101</v>
      </c>
      <c r="K4" s="1" t="s">
        <v>8</v>
      </c>
      <c r="L4" s="1" t="s">
        <v>102</v>
      </c>
      <c r="M4" s="1" t="s">
        <v>9</v>
      </c>
      <c r="N4" s="1" t="s">
        <v>103</v>
      </c>
      <c r="O4" s="1" t="s">
        <v>104</v>
      </c>
      <c r="P4" s="269" t="s">
        <v>105</v>
      </c>
      <c r="Q4" s="269"/>
      <c r="R4" s="1" t="s">
        <v>101</v>
      </c>
      <c r="S4" s="1" t="s">
        <v>8</v>
      </c>
      <c r="T4" s="1" t="s">
        <v>102</v>
      </c>
      <c r="U4" s="1" t="s">
        <v>9</v>
      </c>
      <c r="V4" s="1" t="s">
        <v>103</v>
      </c>
      <c r="W4" s="1" t="s">
        <v>104</v>
      </c>
      <c r="X4" s="269" t="s">
        <v>105</v>
      </c>
      <c r="Y4" s="269"/>
      <c r="Z4" s="1" t="s">
        <v>101</v>
      </c>
      <c r="AA4" s="1" t="s">
        <v>8</v>
      </c>
      <c r="AB4" s="1" t="s">
        <v>102</v>
      </c>
      <c r="AC4" s="1" t="s">
        <v>9</v>
      </c>
      <c r="AD4" s="1" t="s">
        <v>103</v>
      </c>
      <c r="AE4" s="1" t="s">
        <v>104</v>
      </c>
      <c r="AF4" s="269" t="s">
        <v>105</v>
      </c>
      <c r="AG4" s="269"/>
      <c r="AH4" s="1" t="s">
        <v>101</v>
      </c>
      <c r="AI4" s="1" t="s">
        <v>8</v>
      </c>
      <c r="AJ4" s="1" t="s">
        <v>102</v>
      </c>
      <c r="AK4" s="1" t="s">
        <v>9</v>
      </c>
      <c r="AL4" s="1" t="s">
        <v>103</v>
      </c>
      <c r="AM4" s="1" t="s">
        <v>104</v>
      </c>
      <c r="AO4" s="269"/>
      <c r="AP4" s="1" t="s">
        <v>101</v>
      </c>
      <c r="AQ4" s="1" t="s">
        <v>8</v>
      </c>
      <c r="AR4" s="1" t="s">
        <v>102</v>
      </c>
      <c r="AS4" s="1" t="s">
        <v>9</v>
      </c>
      <c r="AT4" s="1" t="s">
        <v>103</v>
      </c>
      <c r="AW4" s="269"/>
      <c r="AX4" s="1" t="s">
        <v>101</v>
      </c>
      <c r="AY4" s="1" t="s">
        <v>8</v>
      </c>
      <c r="AZ4" s="1" t="s">
        <v>102</v>
      </c>
      <c r="BA4" s="1" t="s">
        <v>9</v>
      </c>
      <c r="BB4" s="1" t="s">
        <v>103</v>
      </c>
    </row>
    <row r="5" spans="1:58">
      <c r="B5" s="1">
        <v>0</v>
      </c>
      <c r="C5" s="99">
        <f>S5</f>
        <v>0</v>
      </c>
      <c r="D5" s="1">
        <v>0</v>
      </c>
      <c r="F5" s="1">
        <v>0</v>
      </c>
      <c r="G5" s="272" t="e">
        <f>(C5*5900+E5*3400+F5*300+B5*$D$3)/B5</f>
        <v>#DIV/0!</v>
      </c>
      <c r="H5" s="1">
        <v>18</v>
      </c>
      <c r="I5" s="269"/>
      <c r="J5" s="1">
        <v>0</v>
      </c>
      <c r="K5" s="99">
        <f>C5</f>
        <v>0</v>
      </c>
      <c r="L5" s="1">
        <v>0</v>
      </c>
      <c r="M5" s="1">
        <v>0</v>
      </c>
      <c r="N5" s="1">
        <v>0</v>
      </c>
      <c r="O5" s="272" t="e">
        <f>(K5*5900+M5*3400+N5*300+J5*$L$3)/J5</f>
        <v>#DIV/0!</v>
      </c>
      <c r="P5" s="1">
        <v>18</v>
      </c>
      <c r="Q5" s="269"/>
      <c r="R5" s="1">
        <v>0</v>
      </c>
      <c r="S5" s="99">
        <v>0</v>
      </c>
      <c r="T5" s="1">
        <v>0</v>
      </c>
      <c r="U5" s="1">
        <v>0</v>
      </c>
      <c r="V5" s="1">
        <v>0</v>
      </c>
      <c r="W5" s="272" t="e">
        <f>(S5*5900+U5*3400+V5*300+R5*$T$3)/R5</f>
        <v>#DIV/0!</v>
      </c>
      <c r="X5" s="1">
        <v>18</v>
      </c>
      <c r="Y5" s="269"/>
      <c r="Z5" s="1">
        <v>0</v>
      </c>
      <c r="AA5" s="99">
        <f>S5</f>
        <v>0</v>
      </c>
      <c r="AB5" s="1">
        <v>0</v>
      </c>
      <c r="AC5" s="1">
        <v>0</v>
      </c>
      <c r="AD5" s="1">
        <v>0</v>
      </c>
      <c r="AE5" s="272" t="e">
        <f>(AA5*5900+AC5*3400+AD5*300+Z5*$AB$3)/Z5</f>
        <v>#DIV/0!</v>
      </c>
      <c r="AG5" s="269"/>
      <c r="AH5" s="1">
        <v>0</v>
      </c>
      <c r="AI5" s="99">
        <f>AA5</f>
        <v>0</v>
      </c>
      <c r="AJ5" s="1">
        <v>0</v>
      </c>
      <c r="AK5" s="1">
        <v>0</v>
      </c>
      <c r="AL5" s="1">
        <v>0</v>
      </c>
      <c r="AM5" s="272" t="e">
        <f>(AI5*5900+AK5*3400+AL5*300+AH5*$AJ$3)/AH5</f>
        <v>#DIV/0!</v>
      </c>
      <c r="AO5" s="269"/>
      <c r="AP5" s="1">
        <v>0</v>
      </c>
      <c r="AQ5" s="99">
        <f>AI5</f>
        <v>0</v>
      </c>
      <c r="AR5" s="1">
        <v>0</v>
      </c>
      <c r="AS5" s="1">
        <v>0</v>
      </c>
      <c r="AT5" s="1">
        <v>0</v>
      </c>
      <c r="AU5" s="272" t="e">
        <f>(AQ5*5900+AS5*3400+AT5*300+AP5*$AR$3)/AP5</f>
        <v>#DIV/0!</v>
      </c>
      <c r="AV5" s="1"/>
      <c r="AW5" s="269"/>
      <c r="AX5" s="1">
        <v>0</v>
      </c>
      <c r="AY5" s="99">
        <f>AQ5</f>
        <v>0</v>
      </c>
      <c r="AZ5" s="1">
        <v>0</v>
      </c>
      <c r="BA5" s="1">
        <v>0</v>
      </c>
      <c r="BB5" s="1">
        <v>0</v>
      </c>
      <c r="BC5" s="272" t="e">
        <f>(AY5*5900+BA5*3400+BB5*300+AX5*$AZ$3)/AX5</f>
        <v>#DIV/0!</v>
      </c>
    </row>
    <row r="6" spans="1:58">
      <c r="A6" s="1" t="s">
        <v>106</v>
      </c>
      <c r="B6" s="1">
        <v>1</v>
      </c>
      <c r="C6" s="99">
        <v>0</v>
      </c>
      <c r="D6" s="1">
        <f>D7</f>
        <v>0</v>
      </c>
      <c r="E6" s="99">
        <v>0</v>
      </c>
      <c r="F6" s="1">
        <v>0</v>
      </c>
      <c r="G6" s="272">
        <f>(C6*5900+E6*3400+F6*300+$D$3*B6)/B6</f>
        <v>2</v>
      </c>
      <c r="H6" s="1">
        <v>18</v>
      </c>
      <c r="I6" s="276"/>
      <c r="J6" s="1">
        <v>1</v>
      </c>
      <c r="K6" s="99">
        <v>0</v>
      </c>
      <c r="L6" s="1">
        <f>L7</f>
        <v>0</v>
      </c>
      <c r="M6" s="99">
        <v>0</v>
      </c>
      <c r="N6" s="1">
        <v>0</v>
      </c>
      <c r="O6" s="272">
        <f>(K6*5900+M6*3400+N6*300+$L$3*J6)/J6</f>
        <v>3</v>
      </c>
      <c r="P6" s="1">
        <v>18</v>
      </c>
      <c r="Q6" s="276"/>
      <c r="R6" s="1">
        <v>1</v>
      </c>
      <c r="S6" s="99">
        <f t="shared" ref="S6:V6" si="0">S7</f>
        <v>0</v>
      </c>
      <c r="T6" s="1">
        <f t="shared" si="0"/>
        <v>0</v>
      </c>
      <c r="U6" s="99">
        <v>0</v>
      </c>
      <c r="V6" s="1">
        <v>0</v>
      </c>
      <c r="W6" s="272">
        <f>(S6*5900+U6*3400+V6*300+$T$3*R6)/R6</f>
        <v>4</v>
      </c>
      <c r="X6" s="1">
        <v>18</v>
      </c>
      <c r="Y6" s="276"/>
      <c r="Z6" s="1">
        <v>1</v>
      </c>
      <c r="AA6" s="99">
        <f t="shared" ref="AA6:AD6" si="1">AA7</f>
        <v>0</v>
      </c>
      <c r="AB6" s="1">
        <f t="shared" si="1"/>
        <v>0</v>
      </c>
      <c r="AC6" s="99">
        <f t="shared" si="1"/>
        <v>0.5</v>
      </c>
      <c r="AD6" s="1">
        <f t="shared" si="1"/>
        <v>1.2</v>
      </c>
      <c r="AE6" s="272">
        <f>(AA6*5900+AC6*3400+AD6*300)/Z6</f>
        <v>2060</v>
      </c>
      <c r="AG6" s="276"/>
      <c r="AH6" s="1">
        <v>1</v>
      </c>
      <c r="AI6" s="99">
        <f t="shared" ref="AI6:AL6" si="2">AI7</f>
        <v>0</v>
      </c>
      <c r="AJ6" s="1">
        <f t="shared" si="2"/>
        <v>0</v>
      </c>
      <c r="AK6" s="99">
        <f t="shared" si="2"/>
        <v>0.6</v>
      </c>
      <c r="AL6" s="1">
        <f t="shared" si="2"/>
        <v>1.3</v>
      </c>
      <c r="AM6" s="272">
        <f>(AI6*5900+AK6*3400+AL6*300+$AJ$3*AH6)/AH6</f>
        <v>2436</v>
      </c>
      <c r="AO6" s="276"/>
      <c r="AP6" s="1">
        <v>1</v>
      </c>
      <c r="AQ6" s="99">
        <f t="shared" ref="AQ6:AT6" si="3">AQ7</f>
        <v>0</v>
      </c>
      <c r="AR6" s="1">
        <f t="shared" si="3"/>
        <v>0</v>
      </c>
      <c r="AS6" s="99">
        <f t="shared" si="3"/>
        <v>0.7</v>
      </c>
      <c r="AT6" s="1">
        <f t="shared" si="3"/>
        <v>1.4</v>
      </c>
      <c r="AU6" s="272">
        <f>(AQ6*5900+AS6*3400+AT6*300)/AP6</f>
        <v>2800</v>
      </c>
      <c r="AV6" s="1"/>
      <c r="AW6" s="276"/>
      <c r="AX6" s="1">
        <v>1</v>
      </c>
      <c r="AY6" s="99">
        <f t="shared" ref="AY6:BB6" si="4">AY7</f>
        <v>0</v>
      </c>
      <c r="AZ6" s="1">
        <f t="shared" si="4"/>
        <v>0</v>
      </c>
      <c r="BA6" s="99">
        <f t="shared" si="4"/>
        <v>0.8</v>
      </c>
      <c r="BB6" s="1">
        <f t="shared" si="4"/>
        <v>1.5</v>
      </c>
      <c r="BC6" s="272">
        <f>(AY6*5900+BA6*3400+BB6*300+$AZ$3*AX6)/AX6</f>
        <v>3178</v>
      </c>
    </row>
    <row r="7" spans="1:58">
      <c r="A7" s="1" t="s">
        <v>107</v>
      </c>
      <c r="B7" s="1">
        <v>101</v>
      </c>
      <c r="C7" s="99">
        <f t="shared" ref="C7:C22" si="5">S7</f>
        <v>0</v>
      </c>
      <c r="D7" s="1">
        <v>0</v>
      </c>
      <c r="E7" s="1">
        <f>E30-0.1</f>
        <v>0.3</v>
      </c>
      <c r="F7" s="1">
        <f t="shared" ref="F7:F22" si="6">N7-0.1</f>
        <v>0.9</v>
      </c>
      <c r="G7" s="272">
        <f>(C7*5900+E7*3400+F7*300+$D$3*B7)/B7</f>
        <v>14.7722772277228</v>
      </c>
      <c r="H7" s="1">
        <v>18</v>
      </c>
      <c r="I7" s="276"/>
      <c r="J7" s="1">
        <v>101</v>
      </c>
      <c r="K7" s="99">
        <f t="shared" ref="K7:K22" si="7">C7</f>
        <v>0</v>
      </c>
      <c r="L7" s="1">
        <v>0</v>
      </c>
      <c r="M7" s="1">
        <f t="shared" ref="M7:M22" si="8">E7+0.1</f>
        <v>0.4</v>
      </c>
      <c r="N7" s="1">
        <v>1</v>
      </c>
      <c r="O7" s="272">
        <f t="shared" ref="O7:O22" si="9">(K7*5900+M7*3400+N7*300+$L$3*J7)/J7</f>
        <v>19.4356435643564</v>
      </c>
      <c r="P7" s="1">
        <v>18</v>
      </c>
      <c r="Q7" s="276"/>
      <c r="R7" s="1">
        <v>101</v>
      </c>
      <c r="S7" s="99">
        <v>0</v>
      </c>
      <c r="T7" s="1">
        <v>0</v>
      </c>
      <c r="U7" s="1">
        <f t="shared" ref="U7:U22" si="10">M7+0.1</f>
        <v>0.5</v>
      </c>
      <c r="V7" s="1">
        <f t="shared" ref="V7:V22" si="11">N7+0.1</f>
        <v>1.1</v>
      </c>
      <c r="W7" s="272">
        <f t="shared" ref="W7:W22" si="12">(S7*5900+U7*3400+V7*300+$T$3*R7)/R7</f>
        <v>24.0990099009901</v>
      </c>
      <c r="X7" s="1">
        <v>18</v>
      </c>
      <c r="Y7" s="276"/>
      <c r="Z7" s="1">
        <v>101</v>
      </c>
      <c r="AA7" s="99">
        <f t="shared" ref="AA7:AA22" si="13">S7</f>
        <v>0</v>
      </c>
      <c r="AB7" s="1">
        <v>0</v>
      </c>
      <c r="AC7" s="1">
        <v>0.5</v>
      </c>
      <c r="AD7" s="1">
        <f t="shared" ref="AD7:AD22" si="14">V7+0.1</f>
        <v>1.2</v>
      </c>
      <c r="AE7" s="272">
        <f>(AA7*5900+AC7*3400+AD7*300+$AB$3*Z7)/Z7</f>
        <v>25.3960396039604</v>
      </c>
      <c r="AG7" s="276"/>
      <c r="AH7" s="1">
        <v>101</v>
      </c>
      <c r="AI7" s="99">
        <f t="shared" ref="AI7:AI22" si="15">AA7</f>
        <v>0</v>
      </c>
      <c r="AJ7" s="1">
        <v>0</v>
      </c>
      <c r="AK7" s="1">
        <f>AC7+0.1</f>
        <v>0.6</v>
      </c>
      <c r="AL7" s="1">
        <f t="shared" ref="AL7:AL22" si="16">AD7+0.1</f>
        <v>1.3</v>
      </c>
      <c r="AM7" s="272">
        <f t="shared" ref="AM7:AM22" si="17">(AI7*5900+AK7*3400+AL7*300+$AJ$3*AH7)/AH7</f>
        <v>30.0594059405941</v>
      </c>
      <c r="AO7" s="276"/>
      <c r="AP7" s="1">
        <v>101</v>
      </c>
      <c r="AQ7" s="99">
        <f t="shared" ref="AQ7:AQ22" si="18">AI7</f>
        <v>0</v>
      </c>
      <c r="AR7" s="1">
        <v>0</v>
      </c>
      <c r="AS7" s="1">
        <f t="shared" ref="AS7:AS22" si="19">AK7+0.1</f>
        <v>0.7</v>
      </c>
      <c r="AT7" s="1">
        <f t="shared" ref="AT7:AT22" si="20">AL7+0.1</f>
        <v>1.4</v>
      </c>
      <c r="AU7" s="272">
        <f>(AQ7*5900+AS7*3400+AT7*300+AP7*$AR$3)/AP7</f>
        <v>34.7227722772277</v>
      </c>
      <c r="AV7" s="1"/>
      <c r="AW7" s="276"/>
      <c r="AX7" s="1">
        <v>101</v>
      </c>
      <c r="AY7" s="99">
        <f t="shared" ref="AY7:AY22" si="21">AQ7</f>
        <v>0</v>
      </c>
      <c r="AZ7" s="1">
        <v>0</v>
      </c>
      <c r="BA7" s="1">
        <f t="shared" ref="BA7:BA22" si="22">AS7+0.1</f>
        <v>0.8</v>
      </c>
      <c r="BB7" s="1">
        <f t="shared" ref="BB7:BB22" si="23">AT7+0.1</f>
        <v>1.5</v>
      </c>
      <c r="BC7" s="272">
        <f t="shared" ref="BC7:BC22" si="24">(AY7*5900+BA7*3400+BB7*300+$AZ$3*AX7)/AX7</f>
        <v>39.3861386138614</v>
      </c>
    </row>
    <row r="8" spans="1:58">
      <c r="A8" s="1" t="s">
        <v>108</v>
      </c>
      <c r="B8" s="1">
        <v>201</v>
      </c>
      <c r="C8" s="99">
        <f t="shared" si="5"/>
        <v>0</v>
      </c>
      <c r="D8" s="1">
        <v>0</v>
      </c>
      <c r="E8" s="1">
        <v>0.4</v>
      </c>
      <c r="F8" s="1">
        <f t="shared" si="6"/>
        <v>0.9</v>
      </c>
      <c r="G8" s="272">
        <f t="shared" ref="G7:G22" si="25">(C8*5900+E8*3400+F8*300+$D$3*B8)/B8</f>
        <v>10.1094527363184</v>
      </c>
      <c r="H8" s="1">
        <v>18</v>
      </c>
      <c r="I8" s="276"/>
      <c r="J8" s="1">
        <v>201</v>
      </c>
      <c r="K8" s="99">
        <f t="shared" si="7"/>
        <v>0</v>
      </c>
      <c r="L8" s="1">
        <v>0</v>
      </c>
      <c r="M8" s="1">
        <f t="shared" si="8"/>
        <v>0.5</v>
      </c>
      <c r="N8" s="1">
        <v>1</v>
      </c>
      <c r="O8" s="272">
        <f t="shared" si="9"/>
        <v>12.9502487562189</v>
      </c>
      <c r="P8" s="1">
        <v>18</v>
      </c>
      <c r="Q8" s="276"/>
      <c r="R8" s="1">
        <v>201</v>
      </c>
      <c r="S8" s="99">
        <v>0</v>
      </c>
      <c r="T8" s="1">
        <v>0</v>
      </c>
      <c r="U8" s="1">
        <f t="shared" si="10"/>
        <v>0.6</v>
      </c>
      <c r="V8" s="1">
        <f t="shared" si="11"/>
        <v>1.1</v>
      </c>
      <c r="W8" s="272">
        <f t="shared" si="12"/>
        <v>15.7910447761194</v>
      </c>
      <c r="X8" s="1">
        <v>18</v>
      </c>
      <c r="Y8" s="276"/>
      <c r="Z8" s="1">
        <v>201</v>
      </c>
      <c r="AA8" s="99">
        <f t="shared" si="13"/>
        <v>0</v>
      </c>
      <c r="AB8" s="1">
        <v>0</v>
      </c>
      <c r="AC8" s="1">
        <f t="shared" ref="AC7:AC22" si="26">U8+0.1</f>
        <v>0.7</v>
      </c>
      <c r="AD8" s="1">
        <f t="shared" si="14"/>
        <v>1.2</v>
      </c>
      <c r="AE8" s="272">
        <f t="shared" ref="AE8:AE22" si="27">(AA8*5900+AC8*3400+AD8*300+$AB$3*Z8)/Z8</f>
        <v>18.6318407960199</v>
      </c>
      <c r="AG8" s="276"/>
      <c r="AH8" s="1">
        <v>201</v>
      </c>
      <c r="AI8" s="99">
        <f t="shared" si="15"/>
        <v>0</v>
      </c>
      <c r="AJ8" s="1">
        <v>0</v>
      </c>
      <c r="AK8" s="1">
        <f t="shared" ref="AK7:AK22" si="28">AC8+0.1</f>
        <v>0.8</v>
      </c>
      <c r="AL8" s="1">
        <f t="shared" si="16"/>
        <v>1.3</v>
      </c>
      <c r="AM8" s="272">
        <f t="shared" si="17"/>
        <v>21.4726368159204</v>
      </c>
      <c r="AO8" s="276"/>
      <c r="AP8" s="1">
        <v>201</v>
      </c>
      <c r="AQ8" s="99">
        <f t="shared" si="18"/>
        <v>0</v>
      </c>
      <c r="AR8" s="1">
        <v>0</v>
      </c>
      <c r="AS8" s="1">
        <f t="shared" si="19"/>
        <v>0.9</v>
      </c>
      <c r="AT8" s="1">
        <f t="shared" si="20"/>
        <v>1.4</v>
      </c>
      <c r="AU8" s="272">
        <f t="shared" ref="AU8:AU22" si="29">(AQ8*5900+AS8*3400+AT8*300+AP8*$AR$3)/AP8</f>
        <v>24.3134328358209</v>
      </c>
      <c r="AV8" s="1"/>
      <c r="AW8" s="276"/>
      <c r="AX8" s="1">
        <v>201</v>
      </c>
      <c r="AY8" s="99">
        <f t="shared" si="21"/>
        <v>0</v>
      </c>
      <c r="AZ8" s="1">
        <v>0</v>
      </c>
      <c r="BA8" s="1">
        <f t="shared" si="22"/>
        <v>1</v>
      </c>
      <c r="BB8" s="1">
        <f t="shared" si="23"/>
        <v>1.5</v>
      </c>
      <c r="BC8" s="272">
        <f t="shared" si="24"/>
        <v>27.1542288557214</v>
      </c>
    </row>
    <row r="9" spans="1:58">
      <c r="A9" s="1" t="s">
        <v>109</v>
      </c>
      <c r="B9" s="1">
        <v>301</v>
      </c>
      <c r="C9" s="99">
        <f t="shared" si="5"/>
        <v>0</v>
      </c>
      <c r="D9" s="1">
        <v>0.2</v>
      </c>
      <c r="E9" s="1">
        <v>0.5</v>
      </c>
      <c r="F9" s="1">
        <f t="shared" si="6"/>
        <v>0.9</v>
      </c>
      <c r="G9" s="272">
        <f t="shared" si="25"/>
        <v>8.54485049833887</v>
      </c>
      <c r="H9" s="1">
        <v>18</v>
      </c>
      <c r="I9" s="276"/>
      <c r="J9" s="1">
        <v>301</v>
      </c>
      <c r="K9" s="99">
        <f t="shared" si="7"/>
        <v>0</v>
      </c>
      <c r="L9" s="1">
        <v>0.2</v>
      </c>
      <c r="M9" s="1">
        <f t="shared" si="8"/>
        <v>0.6</v>
      </c>
      <c r="N9" s="1">
        <v>1</v>
      </c>
      <c r="O9" s="272">
        <f t="shared" si="9"/>
        <v>10.7740863787375</v>
      </c>
      <c r="P9" s="1">
        <v>18</v>
      </c>
      <c r="Q9" s="276"/>
      <c r="R9" s="1">
        <v>301</v>
      </c>
      <c r="S9" s="99">
        <v>0</v>
      </c>
      <c r="T9" s="1">
        <v>0.2</v>
      </c>
      <c r="U9" s="1">
        <f t="shared" si="10"/>
        <v>0.7</v>
      </c>
      <c r="V9" s="1">
        <f t="shared" si="11"/>
        <v>1.1</v>
      </c>
      <c r="W9" s="272">
        <f t="shared" si="12"/>
        <v>13.0033222591362</v>
      </c>
      <c r="X9" s="1">
        <v>18</v>
      </c>
      <c r="Y9" s="276"/>
      <c r="Z9" s="1">
        <v>301</v>
      </c>
      <c r="AA9" s="99">
        <f t="shared" si="13"/>
        <v>0</v>
      </c>
      <c r="AB9" s="1">
        <v>0.2</v>
      </c>
      <c r="AC9" s="1">
        <f t="shared" si="26"/>
        <v>0.8</v>
      </c>
      <c r="AD9" s="1">
        <f t="shared" si="14"/>
        <v>1.2</v>
      </c>
      <c r="AE9" s="272">
        <f t="shared" si="27"/>
        <v>15.2325581395349</v>
      </c>
      <c r="AG9" s="276"/>
      <c r="AH9" s="1">
        <v>301</v>
      </c>
      <c r="AI9" s="99">
        <f t="shared" si="15"/>
        <v>0</v>
      </c>
      <c r="AJ9" s="1">
        <v>0.2</v>
      </c>
      <c r="AK9" s="1">
        <f t="shared" si="28"/>
        <v>0.9</v>
      </c>
      <c r="AL9" s="1">
        <f t="shared" si="16"/>
        <v>1.3</v>
      </c>
      <c r="AM9" s="272">
        <f t="shared" si="17"/>
        <v>17.4617940199336</v>
      </c>
      <c r="AO9" s="276"/>
      <c r="AP9" s="1">
        <v>301</v>
      </c>
      <c r="AQ9" s="99">
        <f t="shared" si="18"/>
        <v>0</v>
      </c>
      <c r="AR9" s="1">
        <v>0.2</v>
      </c>
      <c r="AS9" s="1">
        <f t="shared" si="19"/>
        <v>1</v>
      </c>
      <c r="AT9" s="1">
        <f t="shared" si="20"/>
        <v>1.4</v>
      </c>
      <c r="AU9" s="272">
        <f t="shared" si="29"/>
        <v>19.6910299003322</v>
      </c>
      <c r="AV9" s="1"/>
      <c r="AW9" s="276"/>
      <c r="AX9" s="1">
        <v>301</v>
      </c>
      <c r="AY9" s="99">
        <f t="shared" si="21"/>
        <v>0</v>
      </c>
      <c r="AZ9" s="1">
        <v>0.2</v>
      </c>
      <c r="BA9" s="1">
        <f t="shared" si="22"/>
        <v>1.1</v>
      </c>
      <c r="BB9" s="1">
        <f t="shared" si="23"/>
        <v>1.5</v>
      </c>
      <c r="BC9" s="272">
        <f t="shared" si="24"/>
        <v>21.9202657807309</v>
      </c>
    </row>
    <row r="10" spans="1:58">
      <c r="A10" s="1" t="s">
        <v>110</v>
      </c>
      <c r="B10" s="1">
        <v>501</v>
      </c>
      <c r="C10" s="99">
        <f t="shared" si="5"/>
        <v>0</v>
      </c>
      <c r="D10" s="1">
        <v>0.2</v>
      </c>
      <c r="E10" s="1">
        <v>0.9</v>
      </c>
      <c r="F10" s="1">
        <f t="shared" si="6"/>
        <v>0.9</v>
      </c>
      <c r="G10" s="272">
        <f t="shared" si="25"/>
        <v>8.64670658682635</v>
      </c>
      <c r="H10" s="1">
        <v>18</v>
      </c>
      <c r="I10" s="276"/>
      <c r="J10" s="1">
        <v>501</v>
      </c>
      <c r="K10" s="99">
        <f t="shared" si="7"/>
        <v>0</v>
      </c>
      <c r="L10" s="1">
        <v>0.2</v>
      </c>
      <c r="M10" s="1">
        <f t="shared" si="8"/>
        <v>1</v>
      </c>
      <c r="N10" s="1">
        <v>1</v>
      </c>
      <c r="O10" s="272">
        <f t="shared" si="9"/>
        <v>10.3852295409182</v>
      </c>
      <c r="P10" s="1">
        <v>18</v>
      </c>
      <c r="Q10" s="276"/>
      <c r="R10" s="1">
        <v>501</v>
      </c>
      <c r="S10" s="99">
        <v>0</v>
      </c>
      <c r="T10" s="1">
        <v>0.2</v>
      </c>
      <c r="U10" s="1">
        <f t="shared" si="10"/>
        <v>1.1</v>
      </c>
      <c r="V10" s="1">
        <f t="shared" si="11"/>
        <v>1.1</v>
      </c>
      <c r="W10" s="272">
        <f t="shared" si="12"/>
        <v>12.12375249501</v>
      </c>
      <c r="X10" s="1">
        <v>18</v>
      </c>
      <c r="Y10" s="276"/>
      <c r="Z10" s="1">
        <v>501</v>
      </c>
      <c r="AA10" s="99">
        <f t="shared" si="13"/>
        <v>0</v>
      </c>
      <c r="AB10" s="1">
        <v>0.2</v>
      </c>
      <c r="AC10" s="1">
        <f t="shared" si="26"/>
        <v>1.2</v>
      </c>
      <c r="AD10" s="1">
        <f t="shared" si="14"/>
        <v>1.2</v>
      </c>
      <c r="AE10" s="272">
        <f t="shared" si="27"/>
        <v>13.8622754491018</v>
      </c>
      <c r="AG10" s="276"/>
      <c r="AH10" s="1">
        <v>501</v>
      </c>
      <c r="AI10" s="99">
        <f t="shared" si="15"/>
        <v>0</v>
      </c>
      <c r="AJ10" s="1">
        <v>0.2</v>
      </c>
      <c r="AK10" s="1">
        <f t="shared" si="28"/>
        <v>1.3</v>
      </c>
      <c r="AL10" s="1">
        <f t="shared" si="16"/>
        <v>1.3</v>
      </c>
      <c r="AM10" s="272">
        <f t="shared" si="17"/>
        <v>15.6007984031936</v>
      </c>
      <c r="AO10" s="276"/>
      <c r="AP10" s="1">
        <v>501</v>
      </c>
      <c r="AQ10" s="99">
        <f t="shared" si="18"/>
        <v>0</v>
      </c>
      <c r="AR10" s="1">
        <v>0.2</v>
      </c>
      <c r="AS10" s="1">
        <f t="shared" si="19"/>
        <v>1.4</v>
      </c>
      <c r="AT10" s="1">
        <f t="shared" si="20"/>
        <v>1.4</v>
      </c>
      <c r="AU10" s="272">
        <f t="shared" si="29"/>
        <v>17.3393213572854</v>
      </c>
      <c r="AV10" s="1"/>
      <c r="AW10" s="276"/>
      <c r="AX10" s="1">
        <v>501</v>
      </c>
      <c r="AY10" s="99">
        <f t="shared" si="21"/>
        <v>0</v>
      </c>
      <c r="AZ10" s="1">
        <v>0.2</v>
      </c>
      <c r="BA10" s="1">
        <f t="shared" si="22"/>
        <v>1.5</v>
      </c>
      <c r="BB10" s="1">
        <f t="shared" si="23"/>
        <v>1.5</v>
      </c>
      <c r="BC10" s="272">
        <f t="shared" si="24"/>
        <v>19.0778443113772</v>
      </c>
    </row>
    <row r="11" spans="1:58">
      <c r="A11" s="1" t="s">
        <v>111</v>
      </c>
      <c r="B11" s="1">
        <v>701</v>
      </c>
      <c r="C11" s="99">
        <f t="shared" si="5"/>
        <v>0</v>
      </c>
      <c r="D11" s="1">
        <v>0.2</v>
      </c>
      <c r="E11" s="1">
        <v>1.1</v>
      </c>
      <c r="F11" s="1">
        <f t="shared" si="6"/>
        <v>0.9</v>
      </c>
      <c r="G11" s="272">
        <f t="shared" si="25"/>
        <v>7.72039942938659</v>
      </c>
      <c r="H11" s="1">
        <v>18</v>
      </c>
      <c r="I11" s="276"/>
      <c r="J11" s="1">
        <v>701</v>
      </c>
      <c r="K11" s="99">
        <f t="shared" si="7"/>
        <v>0</v>
      </c>
      <c r="L11" s="1">
        <v>0.2</v>
      </c>
      <c r="M11" s="1">
        <f t="shared" si="8"/>
        <v>1.2</v>
      </c>
      <c r="N11" s="1">
        <v>1</v>
      </c>
      <c r="O11" s="272">
        <f t="shared" si="9"/>
        <v>9.24821683309558</v>
      </c>
      <c r="P11" s="1">
        <v>18</v>
      </c>
      <c r="Q11" s="276"/>
      <c r="R11" s="1">
        <v>701</v>
      </c>
      <c r="S11" s="99">
        <v>0</v>
      </c>
      <c r="T11" s="1">
        <v>0.2</v>
      </c>
      <c r="U11" s="1">
        <f t="shared" si="10"/>
        <v>1.3</v>
      </c>
      <c r="V11" s="1">
        <f t="shared" si="11"/>
        <v>1.1</v>
      </c>
      <c r="W11" s="272">
        <f t="shared" si="12"/>
        <v>10.7760342368046</v>
      </c>
      <c r="X11" s="1">
        <v>18</v>
      </c>
      <c r="Y11" s="276"/>
      <c r="Z11" s="1">
        <v>701</v>
      </c>
      <c r="AA11" s="99">
        <f t="shared" si="13"/>
        <v>0</v>
      </c>
      <c r="AB11" s="1">
        <v>0.2</v>
      </c>
      <c r="AC11" s="1">
        <f t="shared" si="26"/>
        <v>1.4</v>
      </c>
      <c r="AD11" s="1">
        <f t="shared" si="14"/>
        <v>1.2</v>
      </c>
      <c r="AE11" s="272">
        <f t="shared" si="27"/>
        <v>12.3038516405136</v>
      </c>
      <c r="AG11" s="276"/>
      <c r="AH11" s="1">
        <v>701</v>
      </c>
      <c r="AI11" s="99">
        <f t="shared" si="15"/>
        <v>0</v>
      </c>
      <c r="AJ11" s="1">
        <v>0.2</v>
      </c>
      <c r="AK11" s="1">
        <f t="shared" si="28"/>
        <v>1.5</v>
      </c>
      <c r="AL11" s="1">
        <f t="shared" si="16"/>
        <v>1.3</v>
      </c>
      <c r="AM11" s="272">
        <f t="shared" si="17"/>
        <v>13.8316690442225</v>
      </c>
      <c r="AO11" s="276"/>
      <c r="AP11" s="1">
        <v>701</v>
      </c>
      <c r="AQ11" s="99">
        <f t="shared" si="18"/>
        <v>0</v>
      </c>
      <c r="AR11" s="1">
        <v>0.2</v>
      </c>
      <c r="AS11" s="1">
        <f t="shared" si="19"/>
        <v>1.6</v>
      </c>
      <c r="AT11" s="1">
        <f t="shared" si="20"/>
        <v>1.4</v>
      </c>
      <c r="AU11" s="272">
        <f t="shared" si="29"/>
        <v>15.3594864479315</v>
      </c>
      <c r="AV11" s="1"/>
      <c r="AW11" s="276"/>
      <c r="AX11" s="1">
        <v>701</v>
      </c>
      <c r="AY11" s="99">
        <f t="shared" si="21"/>
        <v>0</v>
      </c>
      <c r="AZ11" s="1">
        <v>0.2</v>
      </c>
      <c r="BA11" s="1">
        <f t="shared" si="22"/>
        <v>1.7</v>
      </c>
      <c r="BB11" s="1">
        <f t="shared" si="23"/>
        <v>1.5</v>
      </c>
      <c r="BC11" s="272">
        <f t="shared" si="24"/>
        <v>16.8873038516405</v>
      </c>
    </row>
    <row r="12" spans="1:58">
      <c r="A12" s="1" t="s">
        <v>112</v>
      </c>
      <c r="B12" s="1">
        <v>901</v>
      </c>
      <c r="C12" s="99">
        <f t="shared" si="5"/>
        <v>0</v>
      </c>
      <c r="D12" s="1">
        <v>0.3</v>
      </c>
      <c r="E12" s="1">
        <v>1.5</v>
      </c>
      <c r="F12" s="1">
        <f t="shared" si="6"/>
        <v>0.9</v>
      </c>
      <c r="G12" s="272">
        <f t="shared" si="25"/>
        <v>7.96004439511654</v>
      </c>
      <c r="H12" s="1">
        <v>18</v>
      </c>
      <c r="I12" s="276"/>
      <c r="J12" s="1">
        <v>901</v>
      </c>
      <c r="K12" s="99">
        <f t="shared" si="7"/>
        <v>0</v>
      </c>
      <c r="L12" s="1">
        <v>0.3</v>
      </c>
      <c r="M12" s="1">
        <f t="shared" si="8"/>
        <v>1.6</v>
      </c>
      <c r="N12" s="1">
        <v>1</v>
      </c>
      <c r="O12" s="272">
        <f t="shared" si="9"/>
        <v>9.37069922308546</v>
      </c>
      <c r="P12" s="1">
        <v>18</v>
      </c>
      <c r="Q12" s="276"/>
      <c r="R12" s="1">
        <v>901</v>
      </c>
      <c r="S12" s="99">
        <v>0</v>
      </c>
      <c r="T12" s="1">
        <v>0.3</v>
      </c>
      <c r="U12" s="1">
        <f t="shared" si="10"/>
        <v>1.7</v>
      </c>
      <c r="V12" s="1">
        <f t="shared" si="11"/>
        <v>1.1</v>
      </c>
      <c r="W12" s="272">
        <f t="shared" si="12"/>
        <v>10.7813540510544</v>
      </c>
      <c r="X12" s="1">
        <v>18</v>
      </c>
      <c r="Y12" s="276"/>
      <c r="Z12" s="1">
        <v>901</v>
      </c>
      <c r="AA12" s="99">
        <f t="shared" si="13"/>
        <v>0</v>
      </c>
      <c r="AB12" s="1">
        <v>0.3</v>
      </c>
      <c r="AC12" s="1">
        <f t="shared" si="26"/>
        <v>1.8</v>
      </c>
      <c r="AD12" s="1">
        <f t="shared" si="14"/>
        <v>1.2</v>
      </c>
      <c r="AE12" s="272">
        <f t="shared" si="27"/>
        <v>12.1920088790233</v>
      </c>
      <c r="AG12" s="276"/>
      <c r="AH12" s="1">
        <v>901</v>
      </c>
      <c r="AI12" s="99">
        <f t="shared" si="15"/>
        <v>0</v>
      </c>
      <c r="AJ12" s="1">
        <v>0.3</v>
      </c>
      <c r="AK12" s="1">
        <f t="shared" si="28"/>
        <v>1.9</v>
      </c>
      <c r="AL12" s="1">
        <f t="shared" si="16"/>
        <v>1.3</v>
      </c>
      <c r="AM12" s="272">
        <f t="shared" si="17"/>
        <v>13.6026637069922</v>
      </c>
      <c r="AO12" s="276"/>
      <c r="AP12" s="1">
        <v>901</v>
      </c>
      <c r="AQ12" s="99">
        <f t="shared" si="18"/>
        <v>0</v>
      </c>
      <c r="AR12" s="1">
        <v>0.3</v>
      </c>
      <c r="AS12" s="1">
        <f t="shared" si="19"/>
        <v>2</v>
      </c>
      <c r="AT12" s="1">
        <f t="shared" si="20"/>
        <v>1.4</v>
      </c>
      <c r="AU12" s="272">
        <f t="shared" si="29"/>
        <v>15.0133185349612</v>
      </c>
      <c r="AV12" s="1"/>
      <c r="AW12" s="276"/>
      <c r="AX12" s="1">
        <v>901</v>
      </c>
      <c r="AY12" s="99">
        <f t="shared" si="21"/>
        <v>0</v>
      </c>
      <c r="AZ12" s="1">
        <v>0.3</v>
      </c>
      <c r="BA12" s="1">
        <f t="shared" si="22"/>
        <v>2.1</v>
      </c>
      <c r="BB12" s="1">
        <f t="shared" si="23"/>
        <v>1.5</v>
      </c>
      <c r="BC12" s="272">
        <f t="shared" si="24"/>
        <v>16.4239733629301</v>
      </c>
    </row>
    <row r="13" spans="1:58">
      <c r="A13" s="1" t="s">
        <v>113</v>
      </c>
      <c r="B13" s="1">
        <v>1001</v>
      </c>
      <c r="C13" s="99">
        <f t="shared" si="5"/>
        <v>0</v>
      </c>
      <c r="D13" s="1">
        <v>0.4</v>
      </c>
      <c r="E13" s="1">
        <f t="shared" ref="E7:E22" si="30">E36-0.1</f>
        <v>1.8</v>
      </c>
      <c r="F13" s="1">
        <f t="shared" si="6"/>
        <v>1.9</v>
      </c>
      <c r="G13" s="272">
        <f t="shared" si="25"/>
        <v>8.68331668331668</v>
      </c>
      <c r="H13" s="1">
        <v>18</v>
      </c>
      <c r="I13" s="276"/>
      <c r="J13" s="1">
        <v>1001</v>
      </c>
      <c r="K13" s="99">
        <f t="shared" si="7"/>
        <v>0</v>
      </c>
      <c r="L13" s="1">
        <v>0.4</v>
      </c>
      <c r="M13" s="1">
        <f t="shared" si="8"/>
        <v>1.9</v>
      </c>
      <c r="N13" s="1">
        <v>2</v>
      </c>
      <c r="O13" s="272">
        <f t="shared" si="9"/>
        <v>10.0529470529471</v>
      </c>
      <c r="P13" s="1">
        <v>18</v>
      </c>
      <c r="Q13" s="276"/>
      <c r="R13" s="1">
        <v>1001</v>
      </c>
      <c r="S13" s="99">
        <f t="shared" ref="S12:S22" si="31">S36-0.1</f>
        <v>0</v>
      </c>
      <c r="T13" s="1">
        <v>0.4</v>
      </c>
      <c r="U13" s="1">
        <f t="shared" si="10"/>
        <v>2</v>
      </c>
      <c r="V13" s="1">
        <f t="shared" si="11"/>
        <v>2.1</v>
      </c>
      <c r="W13" s="272">
        <f t="shared" si="12"/>
        <v>11.4225774225774</v>
      </c>
      <c r="X13" s="1">
        <v>18</v>
      </c>
      <c r="Y13" s="276"/>
      <c r="Z13" s="1">
        <v>1001</v>
      </c>
      <c r="AA13" s="99">
        <f t="shared" si="13"/>
        <v>0</v>
      </c>
      <c r="AB13" s="1">
        <v>0.4</v>
      </c>
      <c r="AC13" s="1">
        <f t="shared" si="26"/>
        <v>2.1</v>
      </c>
      <c r="AD13" s="1">
        <f t="shared" si="14"/>
        <v>2.2</v>
      </c>
      <c r="AE13" s="272">
        <f t="shared" si="27"/>
        <v>12.7922077922078</v>
      </c>
      <c r="AG13" s="276"/>
      <c r="AH13" s="1">
        <v>1001</v>
      </c>
      <c r="AI13" s="99">
        <f t="shared" si="15"/>
        <v>0</v>
      </c>
      <c r="AJ13" s="1">
        <v>0.4</v>
      </c>
      <c r="AK13" s="1">
        <f t="shared" si="28"/>
        <v>2.2</v>
      </c>
      <c r="AL13" s="1">
        <f t="shared" si="16"/>
        <v>2.3</v>
      </c>
      <c r="AM13" s="272">
        <f t="shared" si="17"/>
        <v>14.1618381618382</v>
      </c>
      <c r="AO13" s="276"/>
      <c r="AP13" s="1">
        <v>1001</v>
      </c>
      <c r="AQ13" s="99">
        <f t="shared" si="18"/>
        <v>0</v>
      </c>
      <c r="AR13" s="1">
        <v>0.4</v>
      </c>
      <c r="AS13" s="1">
        <f t="shared" si="19"/>
        <v>2.3</v>
      </c>
      <c r="AT13" s="1">
        <f t="shared" si="20"/>
        <v>2.4</v>
      </c>
      <c r="AU13" s="272">
        <f t="shared" si="29"/>
        <v>15.5314685314685</v>
      </c>
      <c r="AV13" s="1"/>
      <c r="AW13" s="276"/>
      <c r="AX13" s="1">
        <v>1001</v>
      </c>
      <c r="AY13" s="99">
        <f t="shared" si="21"/>
        <v>0</v>
      </c>
      <c r="AZ13" s="1">
        <v>0.4</v>
      </c>
      <c r="BA13" s="1">
        <f t="shared" si="22"/>
        <v>2.4</v>
      </c>
      <c r="BB13" s="1">
        <f t="shared" si="23"/>
        <v>2.5</v>
      </c>
      <c r="BC13" s="272">
        <f t="shared" si="24"/>
        <v>16.9010989010989</v>
      </c>
    </row>
    <row r="14" spans="1:58">
      <c r="A14" s="1" t="s">
        <v>114</v>
      </c>
      <c r="B14" s="1">
        <v>1201</v>
      </c>
      <c r="C14" s="99">
        <f t="shared" si="5"/>
        <v>0</v>
      </c>
      <c r="D14" s="1">
        <v>0.5</v>
      </c>
      <c r="E14" s="1">
        <f t="shared" si="30"/>
        <v>1.9</v>
      </c>
      <c r="F14" s="1">
        <f t="shared" si="6"/>
        <v>1.9</v>
      </c>
      <c r="G14" s="272">
        <f t="shared" si="25"/>
        <v>7.85345545378851</v>
      </c>
      <c r="H14" s="1">
        <v>18</v>
      </c>
      <c r="I14" s="276"/>
      <c r="J14" s="1">
        <v>1201</v>
      </c>
      <c r="K14" s="99">
        <f t="shared" si="7"/>
        <v>0</v>
      </c>
      <c r="L14" s="1">
        <v>0.5</v>
      </c>
      <c r="M14" s="1">
        <f t="shared" si="8"/>
        <v>2</v>
      </c>
      <c r="N14" s="1">
        <v>2</v>
      </c>
      <c r="O14" s="272">
        <f t="shared" si="9"/>
        <v>9.16153205661948</v>
      </c>
      <c r="P14" s="1">
        <v>18</v>
      </c>
      <c r="Q14" s="276"/>
      <c r="R14" s="1">
        <v>1201</v>
      </c>
      <c r="S14" s="99">
        <f t="shared" si="31"/>
        <v>0</v>
      </c>
      <c r="T14" s="1">
        <v>0.5</v>
      </c>
      <c r="U14" s="1">
        <f t="shared" si="10"/>
        <v>2.1</v>
      </c>
      <c r="V14" s="1">
        <f t="shared" si="11"/>
        <v>2.1</v>
      </c>
      <c r="W14" s="272">
        <f t="shared" si="12"/>
        <v>10.4696086594505</v>
      </c>
      <c r="X14" s="1">
        <v>18</v>
      </c>
      <c r="Y14" s="276"/>
      <c r="Z14" s="1">
        <v>1201</v>
      </c>
      <c r="AA14" s="99">
        <f t="shared" si="13"/>
        <v>0</v>
      </c>
      <c r="AB14" s="1">
        <v>0.5</v>
      </c>
      <c r="AC14" s="1">
        <f t="shared" si="26"/>
        <v>2.2</v>
      </c>
      <c r="AD14" s="1">
        <f t="shared" si="14"/>
        <v>2.2</v>
      </c>
      <c r="AE14" s="272">
        <f t="shared" si="27"/>
        <v>11.7776852622814</v>
      </c>
      <c r="AG14" s="276"/>
      <c r="AH14" s="1">
        <v>1201</v>
      </c>
      <c r="AI14" s="99">
        <f t="shared" si="15"/>
        <v>0</v>
      </c>
      <c r="AJ14" s="1">
        <v>0.5</v>
      </c>
      <c r="AK14" s="1">
        <f t="shared" si="28"/>
        <v>2.3</v>
      </c>
      <c r="AL14" s="1">
        <f t="shared" si="16"/>
        <v>2.3</v>
      </c>
      <c r="AM14" s="272">
        <f t="shared" si="17"/>
        <v>13.0857618651124</v>
      </c>
      <c r="AO14" s="276"/>
      <c r="AP14" s="1">
        <v>1201</v>
      </c>
      <c r="AQ14" s="99">
        <f t="shared" si="18"/>
        <v>0</v>
      </c>
      <c r="AR14" s="1">
        <v>0.5</v>
      </c>
      <c r="AS14" s="1">
        <f t="shared" si="19"/>
        <v>2.4</v>
      </c>
      <c r="AT14" s="1">
        <f t="shared" si="20"/>
        <v>2.4</v>
      </c>
      <c r="AU14" s="272">
        <f t="shared" si="29"/>
        <v>14.3938384679434</v>
      </c>
      <c r="AV14" s="1"/>
      <c r="AW14" s="276"/>
      <c r="AX14" s="1">
        <v>1201</v>
      </c>
      <c r="AY14" s="99">
        <f t="shared" si="21"/>
        <v>0</v>
      </c>
      <c r="AZ14" s="1">
        <v>0.5</v>
      </c>
      <c r="BA14" s="1">
        <f t="shared" si="22"/>
        <v>2.5</v>
      </c>
      <c r="BB14" s="1">
        <f t="shared" si="23"/>
        <v>2.5</v>
      </c>
      <c r="BC14" s="272">
        <f t="shared" si="24"/>
        <v>15.7019150707744</v>
      </c>
    </row>
    <row r="15" spans="1:58">
      <c r="A15" s="1" t="s">
        <v>115</v>
      </c>
      <c r="B15" s="1">
        <v>1401</v>
      </c>
      <c r="C15" s="99">
        <f t="shared" si="5"/>
        <v>0</v>
      </c>
      <c r="D15" s="1">
        <v>0.5</v>
      </c>
      <c r="E15" s="1">
        <f t="shared" si="30"/>
        <v>2</v>
      </c>
      <c r="F15" s="1">
        <f t="shared" si="6"/>
        <v>1.9</v>
      </c>
      <c r="G15" s="272">
        <f t="shared" si="25"/>
        <v>7.26052819414704</v>
      </c>
      <c r="H15" s="1">
        <v>18</v>
      </c>
      <c r="I15" s="276"/>
      <c r="J15" s="1">
        <v>1401</v>
      </c>
      <c r="K15" s="99">
        <f t="shared" si="7"/>
        <v>0</v>
      </c>
      <c r="L15" s="1">
        <v>0.5</v>
      </c>
      <c r="M15" s="1">
        <f t="shared" si="8"/>
        <v>2.1</v>
      </c>
      <c r="N15" s="1">
        <v>2</v>
      </c>
      <c r="O15" s="272">
        <f t="shared" si="9"/>
        <v>8.52462526766595</v>
      </c>
      <c r="P15" s="1">
        <v>18</v>
      </c>
      <c r="Q15" s="276"/>
      <c r="R15" s="1">
        <v>1401</v>
      </c>
      <c r="S15" s="99">
        <f t="shared" si="31"/>
        <v>0</v>
      </c>
      <c r="T15" s="1">
        <v>0.5</v>
      </c>
      <c r="U15" s="1">
        <f t="shared" si="10"/>
        <v>2.2</v>
      </c>
      <c r="V15" s="1">
        <f t="shared" si="11"/>
        <v>2.1</v>
      </c>
      <c r="W15" s="272">
        <f t="shared" si="12"/>
        <v>9.78872234118487</v>
      </c>
      <c r="X15" s="1">
        <v>18</v>
      </c>
      <c r="Y15" s="276"/>
      <c r="Z15" s="1">
        <v>1401</v>
      </c>
      <c r="AA15" s="99">
        <f t="shared" si="13"/>
        <v>0</v>
      </c>
      <c r="AB15" s="1">
        <v>0.5</v>
      </c>
      <c r="AC15" s="1">
        <f t="shared" si="26"/>
        <v>2.3</v>
      </c>
      <c r="AD15" s="1">
        <f t="shared" si="14"/>
        <v>2.2</v>
      </c>
      <c r="AE15" s="272">
        <f t="shared" si="27"/>
        <v>11.0528194147038</v>
      </c>
      <c r="AG15" s="276"/>
      <c r="AH15" s="1">
        <v>1401</v>
      </c>
      <c r="AI15" s="99">
        <f t="shared" si="15"/>
        <v>0</v>
      </c>
      <c r="AJ15" s="1">
        <v>0.5</v>
      </c>
      <c r="AK15" s="1">
        <f t="shared" si="28"/>
        <v>2.4</v>
      </c>
      <c r="AL15" s="1">
        <f t="shared" si="16"/>
        <v>2.3</v>
      </c>
      <c r="AM15" s="272">
        <f t="shared" si="17"/>
        <v>12.3169164882227</v>
      </c>
      <c r="AO15" s="276"/>
      <c r="AP15" s="1">
        <v>1401</v>
      </c>
      <c r="AQ15" s="99">
        <f t="shared" si="18"/>
        <v>0</v>
      </c>
      <c r="AR15" s="1">
        <v>0.5</v>
      </c>
      <c r="AS15" s="1">
        <f t="shared" si="19"/>
        <v>2.5</v>
      </c>
      <c r="AT15" s="1">
        <f t="shared" si="20"/>
        <v>2.4</v>
      </c>
      <c r="AU15" s="272">
        <f t="shared" si="29"/>
        <v>13.5810135617416</v>
      </c>
      <c r="AV15" s="1"/>
      <c r="AW15" s="276"/>
      <c r="AX15" s="1">
        <v>1401</v>
      </c>
      <c r="AY15" s="99">
        <f t="shared" si="21"/>
        <v>0</v>
      </c>
      <c r="AZ15" s="1">
        <v>0.5</v>
      </c>
      <c r="BA15" s="1">
        <f t="shared" si="22"/>
        <v>2.6</v>
      </c>
      <c r="BB15" s="1">
        <f t="shared" si="23"/>
        <v>2.5</v>
      </c>
      <c r="BC15" s="272">
        <f t="shared" si="24"/>
        <v>14.8451106352605</v>
      </c>
    </row>
    <row r="16" spans="1:58">
      <c r="A16" s="1" t="s">
        <v>116</v>
      </c>
      <c r="B16" s="1">
        <v>1601</v>
      </c>
      <c r="C16" s="99">
        <f t="shared" si="5"/>
        <v>0</v>
      </c>
      <c r="D16" s="1">
        <v>0.6</v>
      </c>
      <c r="E16" s="1">
        <f t="shared" si="30"/>
        <v>2.2</v>
      </c>
      <c r="F16" s="1">
        <f t="shared" si="6"/>
        <v>1.9</v>
      </c>
      <c r="G16" s="272">
        <f t="shared" si="25"/>
        <v>7.02810743285447</v>
      </c>
      <c r="H16" s="1">
        <v>18</v>
      </c>
      <c r="I16" s="276"/>
      <c r="J16" s="1">
        <v>1601</v>
      </c>
      <c r="K16" s="99">
        <f t="shared" si="7"/>
        <v>0</v>
      </c>
      <c r="L16" s="1">
        <v>0.6</v>
      </c>
      <c r="M16" s="1">
        <f t="shared" si="8"/>
        <v>2.3</v>
      </c>
      <c r="N16" s="1">
        <v>2</v>
      </c>
      <c r="O16" s="272">
        <f t="shared" si="9"/>
        <v>8.25921299188007</v>
      </c>
      <c r="P16" s="1">
        <v>18</v>
      </c>
      <c r="Q16" s="276"/>
      <c r="R16" s="1">
        <v>1601</v>
      </c>
      <c r="S16" s="99">
        <f t="shared" si="31"/>
        <v>0</v>
      </c>
      <c r="T16" s="1">
        <v>0.6</v>
      </c>
      <c r="U16" s="1">
        <f t="shared" si="10"/>
        <v>2.4</v>
      </c>
      <c r="V16" s="1">
        <f t="shared" si="11"/>
        <v>2.1</v>
      </c>
      <c r="W16" s="272">
        <f t="shared" si="12"/>
        <v>9.49031855090568</v>
      </c>
      <c r="X16" s="1">
        <v>18</v>
      </c>
      <c r="Y16" s="276"/>
      <c r="Z16" s="1">
        <v>1601</v>
      </c>
      <c r="AA16" s="99">
        <f t="shared" si="13"/>
        <v>0</v>
      </c>
      <c r="AB16" s="1">
        <v>0.6</v>
      </c>
      <c r="AC16" s="1">
        <f t="shared" si="26"/>
        <v>2.5</v>
      </c>
      <c r="AD16" s="1">
        <f t="shared" si="14"/>
        <v>2.2</v>
      </c>
      <c r="AE16" s="272">
        <f t="shared" si="27"/>
        <v>10.7214241099313</v>
      </c>
      <c r="AG16" s="276"/>
      <c r="AH16" s="1">
        <v>1601</v>
      </c>
      <c r="AI16" s="99">
        <f t="shared" si="15"/>
        <v>0</v>
      </c>
      <c r="AJ16" s="1">
        <v>0.6</v>
      </c>
      <c r="AK16" s="1">
        <f t="shared" si="28"/>
        <v>2.6</v>
      </c>
      <c r="AL16" s="1">
        <f t="shared" si="16"/>
        <v>2.3</v>
      </c>
      <c r="AM16" s="272">
        <f t="shared" si="17"/>
        <v>11.9525296689569</v>
      </c>
      <c r="AO16" s="276"/>
      <c r="AP16" s="1">
        <v>1601</v>
      </c>
      <c r="AQ16" s="99">
        <f t="shared" si="18"/>
        <v>0</v>
      </c>
      <c r="AR16" s="1">
        <v>0.6</v>
      </c>
      <c r="AS16" s="1">
        <f t="shared" si="19"/>
        <v>2.7</v>
      </c>
      <c r="AT16" s="1">
        <f t="shared" si="20"/>
        <v>2.4</v>
      </c>
      <c r="AU16" s="272">
        <f t="shared" si="29"/>
        <v>13.1836352279825</v>
      </c>
      <c r="AV16" s="1"/>
      <c r="AW16" s="276"/>
      <c r="AX16" s="1">
        <v>1601</v>
      </c>
      <c r="AY16" s="99">
        <f t="shared" si="21"/>
        <v>0</v>
      </c>
      <c r="AZ16" s="1">
        <v>0.6</v>
      </c>
      <c r="BA16" s="1">
        <f t="shared" si="22"/>
        <v>2.8</v>
      </c>
      <c r="BB16" s="1">
        <f t="shared" si="23"/>
        <v>2.5</v>
      </c>
      <c r="BC16" s="272">
        <f t="shared" si="24"/>
        <v>14.4147407870081</v>
      </c>
    </row>
    <row r="17" spans="1:58">
      <c r="A17" s="1" t="s">
        <v>117</v>
      </c>
      <c r="B17" s="1">
        <v>1801</v>
      </c>
      <c r="C17" s="99">
        <f t="shared" si="5"/>
        <v>0</v>
      </c>
      <c r="D17" s="1">
        <v>0.6</v>
      </c>
      <c r="E17" s="1">
        <f t="shared" si="30"/>
        <v>2.4</v>
      </c>
      <c r="F17" s="1">
        <f t="shared" si="6"/>
        <v>1.9</v>
      </c>
      <c r="G17" s="272">
        <f t="shared" si="25"/>
        <v>6.84730705163798</v>
      </c>
      <c r="H17" s="1">
        <v>18</v>
      </c>
      <c r="I17" s="276"/>
      <c r="J17" s="1">
        <v>1801</v>
      </c>
      <c r="K17" s="99">
        <f t="shared" si="7"/>
        <v>0</v>
      </c>
      <c r="L17" s="1">
        <v>0.6</v>
      </c>
      <c r="M17" s="1">
        <f t="shared" si="8"/>
        <v>2.5</v>
      </c>
      <c r="N17" s="1">
        <v>2</v>
      </c>
      <c r="O17" s="272">
        <f t="shared" si="9"/>
        <v>8.05274847307052</v>
      </c>
      <c r="P17" s="1">
        <v>18</v>
      </c>
      <c r="Q17" s="276"/>
      <c r="R17" s="1">
        <v>1801</v>
      </c>
      <c r="S17" s="99">
        <f t="shared" si="31"/>
        <v>0</v>
      </c>
      <c r="T17" s="1">
        <v>0.6</v>
      </c>
      <c r="U17" s="1">
        <f t="shared" si="10"/>
        <v>2.6</v>
      </c>
      <c r="V17" s="1">
        <f t="shared" si="11"/>
        <v>2.1</v>
      </c>
      <c r="W17" s="272">
        <f t="shared" si="12"/>
        <v>9.25818989450305</v>
      </c>
      <c r="X17" s="1">
        <v>18</v>
      </c>
      <c r="Y17" s="276"/>
      <c r="Z17" s="1">
        <v>1801</v>
      </c>
      <c r="AA17" s="99">
        <f t="shared" si="13"/>
        <v>0</v>
      </c>
      <c r="AB17" s="1">
        <v>0.6</v>
      </c>
      <c r="AC17" s="1">
        <f t="shared" si="26"/>
        <v>2.7</v>
      </c>
      <c r="AD17" s="1">
        <f t="shared" si="14"/>
        <v>2.2</v>
      </c>
      <c r="AE17" s="272">
        <f t="shared" si="27"/>
        <v>10.4636313159356</v>
      </c>
      <c r="AG17" s="276"/>
      <c r="AH17" s="1">
        <v>1801</v>
      </c>
      <c r="AI17" s="99">
        <f t="shared" si="15"/>
        <v>0</v>
      </c>
      <c r="AJ17" s="1">
        <v>0.6</v>
      </c>
      <c r="AK17" s="1">
        <f t="shared" si="28"/>
        <v>2.8</v>
      </c>
      <c r="AL17" s="1">
        <f t="shared" si="16"/>
        <v>2.3</v>
      </c>
      <c r="AM17" s="272">
        <f t="shared" si="17"/>
        <v>11.6690727373681</v>
      </c>
      <c r="AO17" s="276"/>
      <c r="AP17" s="1">
        <v>1801</v>
      </c>
      <c r="AQ17" s="99">
        <f t="shared" si="18"/>
        <v>0</v>
      </c>
      <c r="AR17" s="1">
        <v>0.6</v>
      </c>
      <c r="AS17" s="1">
        <f t="shared" si="19"/>
        <v>2.9</v>
      </c>
      <c r="AT17" s="1">
        <f t="shared" si="20"/>
        <v>2.4</v>
      </c>
      <c r="AU17" s="272">
        <f t="shared" si="29"/>
        <v>12.8745141588007</v>
      </c>
      <c r="AV17" s="1"/>
      <c r="AW17" s="276"/>
      <c r="AX17" s="1">
        <v>1801</v>
      </c>
      <c r="AY17" s="99">
        <f t="shared" si="21"/>
        <v>0</v>
      </c>
      <c r="AZ17" s="1">
        <v>0.6</v>
      </c>
      <c r="BA17" s="1">
        <f t="shared" si="22"/>
        <v>3</v>
      </c>
      <c r="BB17" s="1">
        <f t="shared" si="23"/>
        <v>2.5</v>
      </c>
      <c r="BC17" s="272">
        <f t="shared" si="24"/>
        <v>14.0799555802332</v>
      </c>
    </row>
    <row r="18" spans="1:58">
      <c r="A18" s="1" t="s">
        <v>118</v>
      </c>
      <c r="B18" s="1">
        <v>2001</v>
      </c>
      <c r="C18" s="99">
        <f t="shared" si="5"/>
        <v>0.1</v>
      </c>
      <c r="D18" s="1">
        <v>0.7</v>
      </c>
      <c r="E18" s="1">
        <v>2.5</v>
      </c>
      <c r="F18" s="1">
        <f t="shared" si="6"/>
        <v>1.9</v>
      </c>
      <c r="G18" s="272">
        <f t="shared" si="25"/>
        <v>6.82758620689655</v>
      </c>
      <c r="H18" s="1">
        <v>18</v>
      </c>
      <c r="I18" s="276"/>
      <c r="J18" s="1">
        <v>2001</v>
      </c>
      <c r="K18" s="99">
        <f t="shared" si="7"/>
        <v>0.1</v>
      </c>
      <c r="L18" s="1">
        <v>0.7</v>
      </c>
      <c r="M18" s="1">
        <f t="shared" si="8"/>
        <v>2.6</v>
      </c>
      <c r="N18" s="1">
        <v>2</v>
      </c>
      <c r="O18" s="272">
        <f t="shared" si="9"/>
        <v>8.01249375312344</v>
      </c>
      <c r="P18" s="1">
        <v>18</v>
      </c>
      <c r="Q18" s="276"/>
      <c r="R18" s="1">
        <v>2001</v>
      </c>
      <c r="S18" s="99">
        <f t="shared" si="31"/>
        <v>0.1</v>
      </c>
      <c r="T18" s="1">
        <v>0.7</v>
      </c>
      <c r="U18" s="1">
        <f t="shared" si="10"/>
        <v>2.7</v>
      </c>
      <c r="V18" s="1">
        <f t="shared" si="11"/>
        <v>2.1</v>
      </c>
      <c r="W18" s="272">
        <f t="shared" si="12"/>
        <v>9.19740129935033</v>
      </c>
      <c r="X18" s="1">
        <v>18</v>
      </c>
      <c r="Y18" s="276"/>
      <c r="Z18" s="1">
        <v>2001</v>
      </c>
      <c r="AA18" s="99">
        <f t="shared" si="13"/>
        <v>0.1</v>
      </c>
      <c r="AB18" s="1">
        <v>0.7</v>
      </c>
      <c r="AC18" s="1">
        <f t="shared" si="26"/>
        <v>2.8</v>
      </c>
      <c r="AD18" s="1">
        <f t="shared" si="14"/>
        <v>2.2</v>
      </c>
      <c r="AE18" s="272">
        <f t="shared" si="27"/>
        <v>10.3823088455772</v>
      </c>
      <c r="AG18" s="276"/>
      <c r="AH18" s="1">
        <v>2001</v>
      </c>
      <c r="AI18" s="99">
        <f t="shared" si="15"/>
        <v>0.1</v>
      </c>
      <c r="AJ18" s="1">
        <v>0.7</v>
      </c>
      <c r="AK18" s="1">
        <f t="shared" si="28"/>
        <v>2.9</v>
      </c>
      <c r="AL18" s="1">
        <f t="shared" si="16"/>
        <v>2.3</v>
      </c>
      <c r="AM18" s="272">
        <f t="shared" si="17"/>
        <v>11.5672163918041</v>
      </c>
      <c r="AO18" s="276"/>
      <c r="AP18" s="1">
        <v>2001</v>
      </c>
      <c r="AQ18" s="99">
        <f t="shared" si="18"/>
        <v>0.1</v>
      </c>
      <c r="AR18" s="1">
        <v>0.7</v>
      </c>
      <c r="AS18" s="1">
        <f t="shared" si="19"/>
        <v>3</v>
      </c>
      <c r="AT18" s="1">
        <f t="shared" si="20"/>
        <v>2.4</v>
      </c>
      <c r="AU18" s="272">
        <f t="shared" si="29"/>
        <v>12.752123938031</v>
      </c>
      <c r="AV18" s="1"/>
      <c r="AW18" s="276"/>
      <c r="AX18" s="1">
        <v>2001</v>
      </c>
      <c r="AY18" s="99">
        <f t="shared" si="21"/>
        <v>0.1</v>
      </c>
      <c r="AZ18" s="1">
        <v>0.7</v>
      </c>
      <c r="BA18" s="1">
        <f t="shared" si="22"/>
        <v>3.1</v>
      </c>
      <c r="BB18" s="1">
        <f t="shared" si="23"/>
        <v>2.5</v>
      </c>
      <c r="BC18" s="272">
        <f t="shared" si="24"/>
        <v>13.9370314842579</v>
      </c>
    </row>
    <row r="19" spans="1:58">
      <c r="A19" s="1" t="s">
        <v>119</v>
      </c>
      <c r="B19" s="1">
        <v>2201</v>
      </c>
      <c r="C19" s="99">
        <f t="shared" si="5"/>
        <v>0.1</v>
      </c>
      <c r="D19" s="1">
        <v>0.7</v>
      </c>
      <c r="E19" s="1">
        <f t="shared" si="30"/>
        <v>2.8</v>
      </c>
      <c r="F19" s="1">
        <f t="shared" si="6"/>
        <v>1.9</v>
      </c>
      <c r="G19" s="272">
        <f t="shared" si="25"/>
        <v>6.85233984552476</v>
      </c>
      <c r="H19" s="1">
        <v>18</v>
      </c>
      <c r="I19" s="276"/>
      <c r="J19" s="1">
        <v>2201</v>
      </c>
      <c r="K19" s="99">
        <f t="shared" si="7"/>
        <v>0.1</v>
      </c>
      <c r="L19" s="1">
        <v>0.7</v>
      </c>
      <c r="M19" s="1">
        <f t="shared" si="8"/>
        <v>2.9</v>
      </c>
      <c r="N19" s="1">
        <v>2</v>
      </c>
      <c r="O19" s="272">
        <f t="shared" si="9"/>
        <v>8.02044525215811</v>
      </c>
      <c r="P19" s="1">
        <v>18</v>
      </c>
      <c r="Q19" s="276"/>
      <c r="R19" s="1">
        <v>2201</v>
      </c>
      <c r="S19" s="99">
        <f t="shared" si="31"/>
        <v>0.1</v>
      </c>
      <c r="T19" s="1">
        <v>0.7</v>
      </c>
      <c r="U19" s="1">
        <f t="shared" si="10"/>
        <v>3</v>
      </c>
      <c r="V19" s="1">
        <f t="shared" si="11"/>
        <v>2.1</v>
      </c>
      <c r="W19" s="272">
        <f t="shared" si="12"/>
        <v>9.18855065879146</v>
      </c>
      <c r="X19" s="1">
        <v>18</v>
      </c>
      <c r="Y19" s="276"/>
      <c r="Z19" s="1">
        <v>2201</v>
      </c>
      <c r="AA19" s="99">
        <f t="shared" si="13"/>
        <v>0.1</v>
      </c>
      <c r="AB19" s="1">
        <v>0.7</v>
      </c>
      <c r="AC19" s="1">
        <f t="shared" si="26"/>
        <v>3.1</v>
      </c>
      <c r="AD19" s="1">
        <f t="shared" si="14"/>
        <v>2.2</v>
      </c>
      <c r="AE19" s="272">
        <f t="shared" si="27"/>
        <v>10.3566560654248</v>
      </c>
      <c r="AG19" s="276"/>
      <c r="AH19" s="1">
        <v>2201</v>
      </c>
      <c r="AI19" s="99">
        <f t="shared" si="15"/>
        <v>0.1</v>
      </c>
      <c r="AJ19" s="1">
        <v>0.7</v>
      </c>
      <c r="AK19" s="1">
        <f t="shared" si="28"/>
        <v>3.2</v>
      </c>
      <c r="AL19" s="1">
        <f t="shared" si="16"/>
        <v>2.3</v>
      </c>
      <c r="AM19" s="272">
        <f t="shared" si="17"/>
        <v>11.5247614720582</v>
      </c>
      <c r="AO19" s="276"/>
      <c r="AP19" s="1">
        <v>2201</v>
      </c>
      <c r="AQ19" s="99">
        <f t="shared" si="18"/>
        <v>0.1</v>
      </c>
      <c r="AR19" s="1">
        <v>0.7</v>
      </c>
      <c r="AS19" s="1">
        <f t="shared" si="19"/>
        <v>3.3</v>
      </c>
      <c r="AT19" s="1">
        <f t="shared" si="20"/>
        <v>2.4</v>
      </c>
      <c r="AU19" s="272">
        <f t="shared" si="29"/>
        <v>12.6928668786915</v>
      </c>
      <c r="AV19" s="1"/>
      <c r="AW19" s="276"/>
      <c r="AX19" s="1">
        <v>2201</v>
      </c>
      <c r="AY19" s="99">
        <f t="shared" si="21"/>
        <v>0.1</v>
      </c>
      <c r="AZ19" s="1">
        <v>0.7</v>
      </c>
      <c r="BA19" s="1">
        <f t="shared" si="22"/>
        <v>3.4</v>
      </c>
      <c r="BB19" s="1">
        <f t="shared" si="23"/>
        <v>2.5</v>
      </c>
      <c r="BC19" s="272">
        <f t="shared" si="24"/>
        <v>13.8609722853249</v>
      </c>
    </row>
    <row r="20" spans="1:58">
      <c r="A20" s="1" t="s">
        <v>120</v>
      </c>
      <c r="B20" s="1">
        <v>2401</v>
      </c>
      <c r="C20" s="99">
        <f t="shared" si="5"/>
        <v>0.1</v>
      </c>
      <c r="D20" s="1">
        <v>0.8</v>
      </c>
      <c r="E20" s="1">
        <f t="shared" si="30"/>
        <v>2.9</v>
      </c>
      <c r="F20" s="1">
        <f t="shared" si="6"/>
        <v>1.9</v>
      </c>
      <c r="G20" s="272">
        <f t="shared" si="25"/>
        <v>6.58975426905456</v>
      </c>
      <c r="H20" s="1">
        <v>18</v>
      </c>
      <c r="I20" s="276"/>
      <c r="J20" s="1">
        <v>2401</v>
      </c>
      <c r="K20" s="99">
        <f t="shared" si="7"/>
        <v>0.1</v>
      </c>
      <c r="L20" s="1">
        <v>0.8</v>
      </c>
      <c r="M20" s="1">
        <f t="shared" si="8"/>
        <v>3</v>
      </c>
      <c r="N20" s="1">
        <v>2</v>
      </c>
      <c r="O20" s="272">
        <f t="shared" si="9"/>
        <v>7.74385672636402</v>
      </c>
      <c r="P20" s="1">
        <v>18</v>
      </c>
      <c r="Q20" s="276"/>
      <c r="R20" s="1">
        <v>2401</v>
      </c>
      <c r="S20" s="99">
        <f t="shared" si="31"/>
        <v>0.1</v>
      </c>
      <c r="T20" s="1">
        <v>0.8</v>
      </c>
      <c r="U20" s="1">
        <f t="shared" si="10"/>
        <v>3.1</v>
      </c>
      <c r="V20" s="1">
        <f t="shared" si="11"/>
        <v>2.1</v>
      </c>
      <c r="W20" s="272">
        <f t="shared" si="12"/>
        <v>8.89795918367347</v>
      </c>
      <c r="X20" s="1">
        <v>18</v>
      </c>
      <c r="Y20" s="276"/>
      <c r="Z20" s="1">
        <v>2401</v>
      </c>
      <c r="AA20" s="99">
        <f t="shared" si="13"/>
        <v>0.1</v>
      </c>
      <c r="AB20" s="1">
        <v>0.8</v>
      </c>
      <c r="AC20" s="1">
        <f t="shared" si="26"/>
        <v>3.2</v>
      </c>
      <c r="AD20" s="1">
        <f t="shared" si="14"/>
        <v>2.2</v>
      </c>
      <c r="AE20" s="272">
        <f t="shared" si="27"/>
        <v>10.0520616409829</v>
      </c>
      <c r="AG20" s="276"/>
      <c r="AH20" s="1">
        <v>2401</v>
      </c>
      <c r="AI20" s="99">
        <f t="shared" si="15"/>
        <v>0.1</v>
      </c>
      <c r="AJ20" s="1">
        <v>0.8</v>
      </c>
      <c r="AK20" s="1">
        <f t="shared" si="28"/>
        <v>3.3</v>
      </c>
      <c r="AL20" s="1">
        <f t="shared" si="16"/>
        <v>2.3</v>
      </c>
      <c r="AM20" s="272">
        <f t="shared" si="17"/>
        <v>11.2061640982924</v>
      </c>
      <c r="AO20" s="276"/>
      <c r="AP20" s="1">
        <v>2401</v>
      </c>
      <c r="AQ20" s="99">
        <f t="shared" si="18"/>
        <v>0.1</v>
      </c>
      <c r="AR20" s="1">
        <v>0.8</v>
      </c>
      <c r="AS20" s="1">
        <f t="shared" si="19"/>
        <v>3.4</v>
      </c>
      <c r="AT20" s="1">
        <f t="shared" si="20"/>
        <v>2.4</v>
      </c>
      <c r="AU20" s="272">
        <f t="shared" si="29"/>
        <v>12.3602665556018</v>
      </c>
      <c r="AV20" s="1"/>
      <c r="AW20" s="276"/>
      <c r="AX20" s="1">
        <v>2401</v>
      </c>
      <c r="AY20" s="99">
        <f t="shared" si="21"/>
        <v>0.1</v>
      </c>
      <c r="AZ20" s="1">
        <v>0.8</v>
      </c>
      <c r="BA20" s="1">
        <f t="shared" si="22"/>
        <v>3.5</v>
      </c>
      <c r="BB20" s="1">
        <f t="shared" si="23"/>
        <v>2.5</v>
      </c>
      <c r="BC20" s="272">
        <f t="shared" si="24"/>
        <v>13.5143690129113</v>
      </c>
    </row>
    <row r="21" spans="1:58">
      <c r="A21" s="1" t="s">
        <v>121</v>
      </c>
      <c r="B21" s="1">
        <v>2601</v>
      </c>
      <c r="C21" s="99">
        <f t="shared" si="5"/>
        <v>0.1</v>
      </c>
      <c r="D21" s="1">
        <v>0.8</v>
      </c>
      <c r="E21" s="1">
        <f t="shared" si="30"/>
        <v>3</v>
      </c>
      <c r="F21" s="1">
        <f t="shared" si="6"/>
        <v>1.9</v>
      </c>
      <c r="G21" s="272">
        <f t="shared" si="25"/>
        <v>6.36755094194541</v>
      </c>
      <c r="H21" s="1">
        <v>18</v>
      </c>
      <c r="I21" s="276"/>
      <c r="J21" s="1">
        <v>2601</v>
      </c>
      <c r="K21" s="99">
        <f t="shared" si="7"/>
        <v>0.1</v>
      </c>
      <c r="L21" s="1">
        <v>0.8</v>
      </c>
      <c r="M21" s="1">
        <f t="shared" si="8"/>
        <v>3.1</v>
      </c>
      <c r="N21" s="1">
        <v>2</v>
      </c>
      <c r="O21" s="272">
        <f t="shared" si="9"/>
        <v>7.50980392156863</v>
      </c>
      <c r="P21" s="1">
        <v>18</v>
      </c>
      <c r="Q21" s="276"/>
      <c r="R21" s="1">
        <v>2601</v>
      </c>
      <c r="S21" s="99">
        <v>0.1</v>
      </c>
      <c r="T21" s="1">
        <v>0.8</v>
      </c>
      <c r="U21" s="1">
        <f t="shared" si="10"/>
        <v>3.2</v>
      </c>
      <c r="V21" s="1">
        <f t="shared" si="11"/>
        <v>2.1</v>
      </c>
      <c r="W21" s="272">
        <f t="shared" si="12"/>
        <v>8.65205690119185</v>
      </c>
      <c r="X21" s="1">
        <v>18</v>
      </c>
      <c r="Y21" s="276"/>
      <c r="Z21" s="1">
        <v>2601</v>
      </c>
      <c r="AA21" s="99">
        <f t="shared" si="13"/>
        <v>0.1</v>
      </c>
      <c r="AB21" s="1">
        <v>0.8</v>
      </c>
      <c r="AC21" s="1">
        <f t="shared" si="26"/>
        <v>3.3</v>
      </c>
      <c r="AD21" s="1">
        <f t="shared" si="14"/>
        <v>2.2</v>
      </c>
      <c r="AE21" s="272">
        <f t="shared" si="27"/>
        <v>9.79430988081507</v>
      </c>
      <c r="AG21" s="276"/>
      <c r="AH21" s="1">
        <v>2601</v>
      </c>
      <c r="AI21" s="99">
        <f t="shared" si="15"/>
        <v>0.1</v>
      </c>
      <c r="AJ21" s="1">
        <v>0.8</v>
      </c>
      <c r="AK21" s="1">
        <f t="shared" si="28"/>
        <v>3.4</v>
      </c>
      <c r="AL21" s="1">
        <f t="shared" si="16"/>
        <v>2.3</v>
      </c>
      <c r="AM21" s="272">
        <f t="shared" si="17"/>
        <v>10.9365628604383</v>
      </c>
      <c r="AO21" s="276"/>
      <c r="AP21" s="1">
        <v>2601</v>
      </c>
      <c r="AQ21" s="99">
        <f t="shared" si="18"/>
        <v>0.1</v>
      </c>
      <c r="AR21" s="1">
        <v>0.8</v>
      </c>
      <c r="AS21" s="1">
        <f t="shared" si="19"/>
        <v>3.5</v>
      </c>
      <c r="AT21" s="1">
        <f t="shared" si="20"/>
        <v>2.4</v>
      </c>
      <c r="AU21" s="272">
        <f t="shared" si="29"/>
        <v>12.0788158400615</v>
      </c>
      <c r="AV21" s="1"/>
      <c r="AW21" s="276"/>
      <c r="AX21" s="1">
        <v>2601</v>
      </c>
      <c r="AY21" s="99">
        <f t="shared" si="21"/>
        <v>0.1</v>
      </c>
      <c r="AZ21" s="1">
        <v>0.8</v>
      </c>
      <c r="BA21" s="1">
        <f t="shared" si="22"/>
        <v>3.6</v>
      </c>
      <c r="BB21" s="1">
        <f t="shared" si="23"/>
        <v>2.5</v>
      </c>
      <c r="BC21" s="272">
        <f t="shared" si="24"/>
        <v>13.2210688196847</v>
      </c>
    </row>
    <row r="22" spans="1:58">
      <c r="A22" s="1" t="s">
        <v>122</v>
      </c>
      <c r="B22" s="1">
        <v>2801</v>
      </c>
      <c r="C22" s="99">
        <f t="shared" si="5"/>
        <v>0.1</v>
      </c>
      <c r="D22" s="1">
        <v>0.8</v>
      </c>
      <c r="E22" s="1">
        <v>3.3</v>
      </c>
      <c r="F22" s="1">
        <f t="shared" si="6"/>
        <v>1.9</v>
      </c>
      <c r="G22" s="272">
        <f t="shared" si="25"/>
        <v>6.4198500535523</v>
      </c>
      <c r="H22" s="1">
        <v>18</v>
      </c>
      <c r="I22" s="276"/>
      <c r="J22" s="1">
        <v>2801</v>
      </c>
      <c r="K22" s="99">
        <f t="shared" si="7"/>
        <v>0.1</v>
      </c>
      <c r="L22" s="1">
        <v>0.8</v>
      </c>
      <c r="M22" s="1">
        <f t="shared" si="8"/>
        <v>3.4</v>
      </c>
      <c r="N22" s="1">
        <v>2</v>
      </c>
      <c r="O22" s="272">
        <f t="shared" si="9"/>
        <v>7.55194573366655</v>
      </c>
      <c r="P22" s="1">
        <v>18</v>
      </c>
      <c r="Q22" s="276"/>
      <c r="R22" s="1">
        <v>2801</v>
      </c>
      <c r="S22" s="99">
        <v>0.1</v>
      </c>
      <c r="T22" s="1">
        <v>0.8</v>
      </c>
      <c r="U22" s="1">
        <f t="shared" si="10"/>
        <v>3.5</v>
      </c>
      <c r="V22" s="1">
        <f t="shared" si="11"/>
        <v>2.1</v>
      </c>
      <c r="W22" s="272">
        <f t="shared" si="12"/>
        <v>8.68404141378079</v>
      </c>
      <c r="X22" s="1">
        <v>18</v>
      </c>
      <c r="Y22" s="276"/>
      <c r="Z22" s="1">
        <v>2801</v>
      </c>
      <c r="AA22" s="99">
        <f t="shared" si="13"/>
        <v>0.1</v>
      </c>
      <c r="AB22" s="1">
        <v>0.8</v>
      </c>
      <c r="AC22" s="1">
        <f t="shared" si="26"/>
        <v>3.6</v>
      </c>
      <c r="AD22" s="1">
        <f t="shared" si="14"/>
        <v>2.2</v>
      </c>
      <c r="AE22" s="272">
        <f t="shared" si="27"/>
        <v>9.81613709389504</v>
      </c>
      <c r="AG22" s="276"/>
      <c r="AH22" s="1">
        <v>2801</v>
      </c>
      <c r="AI22" s="99">
        <f t="shared" si="15"/>
        <v>0.1</v>
      </c>
      <c r="AJ22" s="1">
        <v>0.8</v>
      </c>
      <c r="AK22" s="1">
        <f t="shared" si="28"/>
        <v>3.7</v>
      </c>
      <c r="AL22" s="1">
        <f t="shared" si="16"/>
        <v>2.3</v>
      </c>
      <c r="AM22" s="272">
        <f t="shared" si="17"/>
        <v>10.9482327740093</v>
      </c>
      <c r="AO22" s="276"/>
      <c r="AP22" s="1">
        <v>2801</v>
      </c>
      <c r="AQ22" s="99">
        <f t="shared" si="18"/>
        <v>0.1</v>
      </c>
      <c r="AR22" s="1">
        <v>0.8</v>
      </c>
      <c r="AS22" s="1">
        <f t="shared" si="19"/>
        <v>3.8</v>
      </c>
      <c r="AT22" s="1">
        <f t="shared" si="20"/>
        <v>2.4</v>
      </c>
      <c r="AU22" s="272">
        <f t="shared" si="29"/>
        <v>12.0803284541235</v>
      </c>
      <c r="AV22" s="1"/>
      <c r="AW22" s="276"/>
      <c r="AX22" s="1">
        <v>2801</v>
      </c>
      <c r="AY22" s="99">
        <f t="shared" si="21"/>
        <v>0.1</v>
      </c>
      <c r="AZ22" s="1">
        <v>0.8</v>
      </c>
      <c r="BA22" s="1">
        <f t="shared" si="22"/>
        <v>3.9</v>
      </c>
      <c r="BB22" s="1">
        <f t="shared" si="23"/>
        <v>2.5</v>
      </c>
      <c r="BC22" s="272">
        <f t="shared" si="24"/>
        <v>13.2124241342378</v>
      </c>
    </row>
    <row r="23" spans="1:58">
      <c r="I23" s="269"/>
      <c r="Q23" s="269"/>
      <c r="Y23" s="269"/>
      <c r="AG23" s="269"/>
      <c r="AO23" s="269"/>
      <c r="AW23" s="269"/>
    </row>
    <row r="24" spans="1:58">
      <c r="B24" s="268" t="s">
        <v>91</v>
      </c>
      <c r="C24" s="268" t="s">
        <v>3</v>
      </c>
      <c r="I24" s="269"/>
      <c r="J24" s="268" t="s">
        <v>91</v>
      </c>
      <c r="K24" s="268"/>
      <c r="L24" s="268" t="s">
        <v>3</v>
      </c>
      <c r="Q24" s="269"/>
      <c r="R24" s="268" t="s">
        <v>91</v>
      </c>
      <c r="S24" s="268"/>
      <c r="T24" s="268" t="s">
        <v>3</v>
      </c>
      <c r="Y24" s="269"/>
      <c r="Z24" s="268" t="s">
        <v>91</v>
      </c>
      <c r="AA24" s="268"/>
      <c r="AB24" s="268" t="s">
        <v>3</v>
      </c>
      <c r="AG24" s="269"/>
      <c r="AH24" s="268" t="s">
        <v>91</v>
      </c>
      <c r="AI24" s="268"/>
      <c r="AJ24" s="268" t="s">
        <v>3</v>
      </c>
      <c r="AO24" s="269"/>
      <c r="AP24" s="268" t="s">
        <v>91</v>
      </c>
      <c r="AQ24" s="268"/>
      <c r="AR24" s="268" t="s">
        <v>3</v>
      </c>
      <c r="AW24" s="269"/>
      <c r="AX24" s="268" t="s">
        <v>91</v>
      </c>
      <c r="AY24" s="268"/>
      <c r="AZ24" s="268" t="s">
        <v>3</v>
      </c>
    </row>
    <row r="25" spans="1:58">
      <c r="B25" s="270" t="s">
        <v>92</v>
      </c>
      <c r="C25" s="270" t="s">
        <v>93</v>
      </c>
      <c r="G25" s="272">
        <f>AVERAGE(G30:G45)</f>
        <v>10.5291157099978</v>
      </c>
      <c r="I25" s="269"/>
      <c r="J25" s="270" t="s">
        <v>92</v>
      </c>
      <c r="K25" s="270"/>
      <c r="L25" s="270" t="s">
        <v>94</v>
      </c>
      <c r="Q25" s="269"/>
      <c r="R25" s="270" t="s">
        <v>92</v>
      </c>
      <c r="S25" s="270"/>
      <c r="T25" s="270" t="s">
        <v>95</v>
      </c>
      <c r="Y25" s="269"/>
      <c r="Z25" s="270" t="s">
        <v>92</v>
      </c>
      <c r="AA25" s="270"/>
      <c r="AB25" s="270" t="s">
        <v>96</v>
      </c>
      <c r="AG25" s="269"/>
      <c r="AH25" s="270" t="s">
        <v>92</v>
      </c>
      <c r="AI25" s="270"/>
      <c r="AJ25" s="270" t="s">
        <v>97</v>
      </c>
      <c r="AO25" s="269"/>
      <c r="AP25" s="270" t="s">
        <v>92</v>
      </c>
      <c r="AQ25" s="270"/>
      <c r="AR25" s="270" t="s">
        <v>98</v>
      </c>
      <c r="AW25" s="269"/>
      <c r="AX25" s="270" t="s">
        <v>92</v>
      </c>
      <c r="AY25" s="270"/>
      <c r="AZ25" s="270" t="s">
        <v>99</v>
      </c>
    </row>
    <row r="26" spans="1:58">
      <c r="B26" s="271" t="s">
        <v>100</v>
      </c>
      <c r="C26" s="271"/>
      <c r="D26" s="271">
        <f>D3+1</f>
        <v>3</v>
      </c>
      <c r="F26" s="59"/>
      <c r="G26" s="1" t="s">
        <v>104</v>
      </c>
      <c r="H26" s="269" t="s">
        <v>105</v>
      </c>
      <c r="I26" s="269"/>
      <c r="J26" s="271" t="s">
        <v>100</v>
      </c>
      <c r="K26" s="271"/>
      <c r="L26" s="271">
        <f>L3+1</f>
        <v>4</v>
      </c>
      <c r="N26" s="59"/>
      <c r="O26" s="272">
        <f>AVERAGE(O30:O45)</f>
        <v>12.1897537424383</v>
      </c>
      <c r="P26" s="59"/>
      <c r="Q26" s="269"/>
      <c r="R26" s="271" t="s">
        <v>100</v>
      </c>
      <c r="S26" s="271"/>
      <c r="T26" s="271">
        <f>T3+1</f>
        <v>5</v>
      </c>
      <c r="V26" s="59"/>
      <c r="W26" s="272">
        <f>AVERAGE(W30:W45)</f>
        <v>13.8503917748788</v>
      </c>
      <c r="X26" s="59"/>
      <c r="Y26" s="269"/>
      <c r="Z26" s="271" t="s">
        <v>100</v>
      </c>
      <c r="AA26" s="271"/>
      <c r="AB26" s="271">
        <f>AB3+1</f>
        <v>6</v>
      </c>
      <c r="AD26" s="59"/>
      <c r="AE26" s="272">
        <f>AVERAGE(AE30:AE45)</f>
        <v>15.3006337677153</v>
      </c>
      <c r="AF26" s="59"/>
      <c r="AG26" s="269"/>
      <c r="AH26" s="271" t="s">
        <v>100</v>
      </c>
      <c r="AI26" s="271"/>
      <c r="AJ26" s="271">
        <f>AJ3+1</f>
        <v>7</v>
      </c>
      <c r="AL26" s="59"/>
      <c r="AM26" s="272">
        <f>AVERAGE(AM30:AM45)</f>
        <v>16.9612718001558</v>
      </c>
      <c r="AN26" s="59"/>
      <c r="AO26" s="269"/>
      <c r="AP26" s="271" t="s">
        <v>100</v>
      </c>
      <c r="AQ26" s="271"/>
      <c r="AR26" s="271">
        <f>AR3+1</f>
        <v>8</v>
      </c>
      <c r="AT26" s="273"/>
      <c r="AU26" s="272">
        <f>AVERAGE(AU30:AU45)</f>
        <v>18.6219098325963</v>
      </c>
      <c r="AV26" s="273"/>
      <c r="AW26" s="269"/>
      <c r="AX26" s="271" t="s">
        <v>100</v>
      </c>
      <c r="AY26" s="271"/>
      <c r="AZ26" s="271">
        <f>AZ3+1</f>
        <v>9</v>
      </c>
      <c r="BB26" s="273"/>
      <c r="BC26" s="272">
        <f>AVERAGE(BC30:BC45)</f>
        <v>20.2825478650369</v>
      </c>
      <c r="BE26" s="267">
        <f>AVERAGE(BC26,AU26,AM26,AE26,W26,O26,G26)</f>
        <v>16.2010847971369</v>
      </c>
      <c r="BF26" s="267">
        <f>BE26-AVERAGE(AZ26,AR26,AJ26,AB26,T26,L26,D26)</f>
        <v>10.2010847971369</v>
      </c>
    </row>
    <row r="27" spans="1:58">
      <c r="B27" s="1" t="s">
        <v>101</v>
      </c>
      <c r="C27" s="1" t="s">
        <v>8</v>
      </c>
      <c r="D27" s="1" t="s">
        <v>102</v>
      </c>
      <c r="E27" s="1" t="s">
        <v>9</v>
      </c>
      <c r="F27" s="1" t="s">
        <v>103</v>
      </c>
      <c r="I27" s="269"/>
      <c r="J27" s="1" t="s">
        <v>101</v>
      </c>
      <c r="K27" s="1" t="s">
        <v>8</v>
      </c>
      <c r="L27" s="1" t="s">
        <v>102</v>
      </c>
      <c r="M27" s="1" t="s">
        <v>9</v>
      </c>
      <c r="N27" s="1" t="s">
        <v>103</v>
      </c>
      <c r="O27" s="1" t="s">
        <v>104</v>
      </c>
      <c r="Q27" s="269"/>
      <c r="R27" s="1" t="s">
        <v>101</v>
      </c>
      <c r="S27" s="1" t="s">
        <v>8</v>
      </c>
      <c r="T27" s="1" t="s">
        <v>102</v>
      </c>
      <c r="U27" s="1" t="s">
        <v>9</v>
      </c>
      <c r="V27" s="1" t="s">
        <v>103</v>
      </c>
      <c r="W27" s="1" t="s">
        <v>104</v>
      </c>
      <c r="Y27" s="269"/>
      <c r="Z27" s="1" t="s">
        <v>101</v>
      </c>
      <c r="AA27" s="1" t="s">
        <v>8</v>
      </c>
      <c r="AB27" s="1" t="s">
        <v>102</v>
      </c>
      <c r="AC27" s="1" t="s">
        <v>9</v>
      </c>
      <c r="AD27" s="1" t="s">
        <v>103</v>
      </c>
      <c r="AG27" s="269"/>
      <c r="AH27" s="1" t="s">
        <v>101</v>
      </c>
      <c r="AI27" s="1" t="s">
        <v>8</v>
      </c>
      <c r="AJ27" s="1" t="s">
        <v>102</v>
      </c>
      <c r="AK27" s="1" t="s">
        <v>9</v>
      </c>
      <c r="AL27" s="1" t="s">
        <v>103</v>
      </c>
      <c r="AO27" s="269"/>
      <c r="AP27" s="1" t="s">
        <v>101</v>
      </c>
      <c r="AQ27" s="1"/>
      <c r="AR27" s="1" t="s">
        <v>102</v>
      </c>
      <c r="AS27" s="1" t="s">
        <v>9</v>
      </c>
      <c r="AT27" s="99" t="s">
        <v>103</v>
      </c>
      <c r="AW27" s="269"/>
      <c r="AX27" s="1" t="s">
        <v>101</v>
      </c>
      <c r="AY27" s="1"/>
      <c r="AZ27" s="1" t="s">
        <v>102</v>
      </c>
      <c r="BA27" s="1" t="s">
        <v>9</v>
      </c>
      <c r="BB27" s="99" t="s">
        <v>103</v>
      </c>
    </row>
    <row r="28" spans="1:58">
      <c r="B28" s="1">
        <v>0</v>
      </c>
      <c r="C28" s="99"/>
      <c r="D28" s="1">
        <v>0</v>
      </c>
      <c r="E28" s="1">
        <v>0</v>
      </c>
      <c r="F28" s="1">
        <f>F51</f>
        <v>0</v>
      </c>
      <c r="G28" s="272" t="e">
        <f>(C28*5900+E28*3400+F28*300+B28*$D$26)/B28</f>
        <v>#DIV/0!</v>
      </c>
      <c r="I28" s="269"/>
      <c r="J28" s="1">
        <v>0</v>
      </c>
      <c r="K28" s="274">
        <f>S28</f>
        <v>0</v>
      </c>
      <c r="L28" s="1">
        <v>0</v>
      </c>
      <c r="M28" s="1">
        <v>0</v>
      </c>
      <c r="N28" s="1">
        <f>N51</f>
        <v>0</v>
      </c>
      <c r="O28" s="272" t="e">
        <f>(K28*5900+M28*3400+N28*300+J28*$L$26)/J28</f>
        <v>#DIV/0!</v>
      </c>
      <c r="Q28" s="269"/>
      <c r="R28" s="1">
        <v>0</v>
      </c>
      <c r="S28" s="99">
        <v>0</v>
      </c>
      <c r="T28" s="1">
        <v>0</v>
      </c>
      <c r="U28" s="1">
        <v>0</v>
      </c>
      <c r="V28" s="1">
        <f>V51</f>
        <v>0</v>
      </c>
      <c r="W28" s="272" t="e">
        <f>(S28*5900+U28*3400+V28*300+R28*$T$26)/R28</f>
        <v>#DIV/0!</v>
      </c>
      <c r="Y28" s="269"/>
      <c r="Z28" s="1">
        <v>0</v>
      </c>
      <c r="AA28" s="274">
        <f>S28</f>
        <v>0</v>
      </c>
      <c r="AB28" s="1">
        <v>0</v>
      </c>
      <c r="AC28" s="1">
        <v>0</v>
      </c>
      <c r="AD28" s="1">
        <f>AD51</f>
        <v>0.1</v>
      </c>
      <c r="AE28" s="272" t="e">
        <f>(AA28*5900+AC28*3400+AD28*300+Z28*$AB$26)/Z28</f>
        <v>#DIV/0!</v>
      </c>
      <c r="AG28" s="269"/>
      <c r="AH28" s="1">
        <v>0</v>
      </c>
      <c r="AI28" s="274">
        <f>S28</f>
        <v>0</v>
      </c>
      <c r="AJ28" s="1">
        <v>0</v>
      </c>
      <c r="AK28" s="1">
        <v>0</v>
      </c>
      <c r="AL28" s="1">
        <f>AL51</f>
        <v>0.2</v>
      </c>
      <c r="AM28" s="272" t="e">
        <f>(AI28*5900+AK28*3400+AL28*300+AH28*$AJ$26)/AH28</f>
        <v>#DIV/0!</v>
      </c>
      <c r="AO28" s="269"/>
      <c r="AP28" s="1">
        <v>0</v>
      </c>
      <c r="AQ28" s="274">
        <f>AI28</f>
        <v>0</v>
      </c>
      <c r="AR28" s="1">
        <v>0</v>
      </c>
      <c r="AS28" s="1">
        <v>0</v>
      </c>
      <c r="AT28" s="1">
        <f>AT51</f>
        <v>0.3</v>
      </c>
      <c r="AU28" s="272" t="e">
        <f>(AQ28*5900+AS28*3400+AT28*300+AP28*$AR$26)/AP28</f>
        <v>#DIV/0!</v>
      </c>
      <c r="AV28" s="1"/>
      <c r="AW28" s="269"/>
      <c r="AX28" s="1">
        <v>0</v>
      </c>
      <c r="AY28" s="274">
        <f>AQ28</f>
        <v>0</v>
      </c>
      <c r="AZ28" s="1">
        <v>0</v>
      </c>
      <c r="BA28" s="1">
        <v>0</v>
      </c>
      <c r="BB28" s="1">
        <f>BB51</f>
        <v>0.4</v>
      </c>
      <c r="BC28" s="272" t="e">
        <f>(AY28*5900+BA28*3400+BB28*300+AX28*$AZ$26)/AX28</f>
        <v>#DIV/0!</v>
      </c>
    </row>
    <row r="29" spans="1:58">
      <c r="A29" s="1" t="s">
        <v>106</v>
      </c>
      <c r="B29" s="1">
        <v>1</v>
      </c>
      <c r="C29" s="99">
        <f>K29</f>
        <v>0</v>
      </c>
      <c r="D29" s="1">
        <v>0</v>
      </c>
      <c r="E29" s="1">
        <f>E52-0.1</f>
        <v>0.4</v>
      </c>
      <c r="F29" s="1">
        <f t="shared" ref="F29:F45" si="32">F52</f>
        <v>0.6</v>
      </c>
      <c r="G29" s="272">
        <f>(C29*5900+E29*3400+F29*300+$D$26*B29)/B29</f>
        <v>1543</v>
      </c>
      <c r="I29" s="276"/>
      <c r="J29" s="1">
        <v>1</v>
      </c>
      <c r="K29" s="99">
        <f t="shared" ref="K29:K45" si="33">S29</f>
        <v>0</v>
      </c>
      <c r="L29" s="1">
        <v>0</v>
      </c>
      <c r="M29" s="1">
        <f>E29+0.1</f>
        <v>0.5</v>
      </c>
      <c r="N29" s="1">
        <f t="shared" ref="N29:N45" si="34">N52</f>
        <v>0.7</v>
      </c>
      <c r="O29" s="272">
        <f>(K29*5900+M29*3400+N29*300+$L$26*J29)/J29</f>
        <v>1914</v>
      </c>
      <c r="Q29" s="276"/>
      <c r="R29" s="1">
        <v>1</v>
      </c>
      <c r="S29" s="99">
        <v>0</v>
      </c>
      <c r="T29" s="1">
        <v>0</v>
      </c>
      <c r="U29" s="1">
        <f>M29+0.1</f>
        <v>0.6</v>
      </c>
      <c r="V29" s="1">
        <f t="shared" ref="V29:V45" si="35">V52</f>
        <v>0.8</v>
      </c>
      <c r="W29" s="272">
        <f>(S29*5900+U29*3400+V29*300+$T$26*R29)/R29</f>
        <v>2285</v>
      </c>
      <c r="Y29" s="276"/>
      <c r="Z29" s="1">
        <v>1</v>
      </c>
      <c r="AA29" s="274">
        <f t="shared" ref="AA29:AA45" si="36">S29</f>
        <v>0</v>
      </c>
      <c r="AB29" s="1">
        <v>0</v>
      </c>
      <c r="AC29" s="1">
        <f>U29+0.1</f>
        <v>0.7</v>
      </c>
      <c r="AD29" s="1">
        <f t="shared" ref="AD29:AD45" si="37">AD52</f>
        <v>0.9</v>
      </c>
      <c r="AE29" s="272">
        <f>(AA29*5900+AC29*3400+AD29*300+$AB$26*Z29)/Z29</f>
        <v>2656</v>
      </c>
      <c r="AG29" s="276"/>
      <c r="AH29" s="1">
        <v>1</v>
      </c>
      <c r="AI29" s="274">
        <f t="shared" ref="AI29:AI45" si="38">S29</f>
        <v>0</v>
      </c>
      <c r="AJ29" s="1">
        <v>0</v>
      </c>
      <c r="AK29" s="1">
        <f>AC29+0.1</f>
        <v>0.8</v>
      </c>
      <c r="AL29" s="1">
        <f t="shared" ref="AL29:AL45" si="39">AL52</f>
        <v>1</v>
      </c>
      <c r="AM29" s="272">
        <f>(AI29*5900+AK29*3400+AL29*300+$AJ$26*AH29)/AH29</f>
        <v>3027</v>
      </c>
      <c r="AO29" s="276"/>
      <c r="AP29" s="1">
        <v>1</v>
      </c>
      <c r="AQ29" s="274">
        <f t="shared" ref="AQ29:AQ45" si="40">AI29</f>
        <v>0</v>
      </c>
      <c r="AR29" s="1">
        <v>0</v>
      </c>
      <c r="AS29" s="1">
        <f>AK29+0.1</f>
        <v>0.9</v>
      </c>
      <c r="AT29" s="1">
        <f t="shared" ref="AT29:AT45" si="41">AT52</f>
        <v>1.1</v>
      </c>
      <c r="AU29" s="272">
        <f>(AQ29*5900+AS29*3400+AT29*300+$AR$26*AP29)/AP29</f>
        <v>3398</v>
      </c>
      <c r="AV29" s="1"/>
      <c r="AW29" s="276"/>
      <c r="AX29" s="1">
        <v>1</v>
      </c>
      <c r="AY29" s="274">
        <f t="shared" ref="AY29:AY45" si="42">AQ29</f>
        <v>0</v>
      </c>
      <c r="AZ29" s="1">
        <f t="shared" ref="AY29:BB29" si="43">AZ30</f>
        <v>0</v>
      </c>
      <c r="BA29" s="99">
        <f t="shared" si="43"/>
        <v>0.9</v>
      </c>
      <c r="BB29" s="1">
        <f t="shared" si="43"/>
        <v>1.2</v>
      </c>
      <c r="BC29" s="272">
        <f>(AY29*5900+BA29*3400+BB29*300+$AZ$26*AX29)/AX29</f>
        <v>3429</v>
      </c>
    </row>
    <row r="30" spans="1:58">
      <c r="A30" s="1" t="s">
        <v>107</v>
      </c>
      <c r="B30" s="1">
        <v>101</v>
      </c>
      <c r="C30" s="99">
        <f t="shared" ref="C30:C45" si="44">K30</f>
        <v>0</v>
      </c>
      <c r="D30" s="1">
        <v>0</v>
      </c>
      <c r="E30" s="1">
        <f>E53-0.1</f>
        <v>0.4</v>
      </c>
      <c r="F30" s="1">
        <f t="shared" si="32"/>
        <v>0.6</v>
      </c>
      <c r="G30" s="272">
        <f t="shared" ref="G30:G45" si="45">(C30*5900+E30*3400+F30*300+$D$26*B30)/B30</f>
        <v>18.2475247524752</v>
      </c>
      <c r="I30" s="276"/>
      <c r="J30" s="1">
        <v>101</v>
      </c>
      <c r="K30" s="99">
        <f t="shared" si="33"/>
        <v>0</v>
      </c>
      <c r="L30" s="1">
        <v>0</v>
      </c>
      <c r="M30" s="1">
        <f t="shared" ref="M30:M45" si="46">E30+0.1</f>
        <v>0.5</v>
      </c>
      <c r="N30" s="1">
        <f t="shared" si="34"/>
        <v>0.7</v>
      </c>
      <c r="O30" s="272">
        <f t="shared" ref="O30:O45" si="47">(K30*5900+M30*3400+N30*300+$L$26*J30)/J30</f>
        <v>22.9108910891089</v>
      </c>
      <c r="Q30" s="276"/>
      <c r="R30" s="1">
        <v>101</v>
      </c>
      <c r="S30" s="99">
        <v>0</v>
      </c>
      <c r="T30" s="1">
        <v>0</v>
      </c>
      <c r="U30" s="1">
        <f>M30+0.1</f>
        <v>0.6</v>
      </c>
      <c r="V30" s="1">
        <f t="shared" si="35"/>
        <v>0.8</v>
      </c>
      <c r="W30" s="272">
        <f t="shared" ref="W30:W45" si="48">(S30*5900+U30*3400+V30*300+$T$26*R30)/R30</f>
        <v>27.5742574257426</v>
      </c>
      <c r="Y30" s="276"/>
      <c r="Z30" s="1">
        <v>101</v>
      </c>
      <c r="AA30" s="274">
        <f t="shared" si="36"/>
        <v>0</v>
      </c>
      <c r="AB30" s="1">
        <v>0</v>
      </c>
      <c r="AC30" s="1">
        <v>0.6</v>
      </c>
      <c r="AD30" s="1">
        <f t="shared" si="37"/>
        <v>0.9</v>
      </c>
      <c r="AE30" s="272">
        <f t="shared" ref="AE30:AE45" si="49">(AA30*5900+AC30*3400+AD30*300+$AB$26*Z30)/Z30</f>
        <v>28.8712871287129</v>
      </c>
      <c r="AG30" s="276"/>
      <c r="AH30" s="1">
        <v>101</v>
      </c>
      <c r="AI30" s="274">
        <f t="shared" si="38"/>
        <v>0</v>
      </c>
      <c r="AJ30" s="1">
        <v>0</v>
      </c>
      <c r="AK30" s="1">
        <v>0.7</v>
      </c>
      <c r="AL30" s="1">
        <f t="shared" si="39"/>
        <v>1</v>
      </c>
      <c r="AM30" s="272">
        <f t="shared" ref="AM30:AM45" si="50">(AI30*5900+AK30*3400+AL30*300+$AJ$26*AH30)/AH30</f>
        <v>33.5346534653465</v>
      </c>
      <c r="AO30" s="276"/>
      <c r="AP30" s="1">
        <v>101</v>
      </c>
      <c r="AQ30" s="274">
        <f t="shared" si="40"/>
        <v>0</v>
      </c>
      <c r="AR30" s="1">
        <v>0</v>
      </c>
      <c r="AS30" s="1">
        <f t="shared" ref="AS30:AS45" si="51">AK30+0.1</f>
        <v>0.8</v>
      </c>
      <c r="AT30" s="1">
        <f t="shared" si="41"/>
        <v>1.1</v>
      </c>
      <c r="AU30" s="272">
        <f t="shared" ref="AU30:AU45" si="52">(AQ30*5900+AS30*3400+AT30*300+$AR$26*AP30)/AP30</f>
        <v>38.1980198019802</v>
      </c>
      <c r="AV30" s="1"/>
      <c r="AW30" s="276"/>
      <c r="AX30" s="1">
        <v>101</v>
      </c>
      <c r="AY30" s="274">
        <f t="shared" si="42"/>
        <v>0</v>
      </c>
      <c r="AZ30" s="1">
        <v>0</v>
      </c>
      <c r="BA30" s="1">
        <f>AS30+0.1</f>
        <v>0.9</v>
      </c>
      <c r="BB30" s="1">
        <f t="shared" ref="BB30:BB45" si="53">BB53</f>
        <v>1.2</v>
      </c>
      <c r="BC30" s="272">
        <f t="shared" ref="BC30:BC45" si="54">(AY30*5900+BA30*3400+BB30*300+$AZ$26*AX30)/AX30</f>
        <v>42.8613861386139</v>
      </c>
    </row>
    <row r="31" spans="1:58">
      <c r="A31" s="1" t="s">
        <v>108</v>
      </c>
      <c r="B31" s="1">
        <v>201</v>
      </c>
      <c r="C31" s="99">
        <f t="shared" si="44"/>
        <v>0</v>
      </c>
      <c r="D31" s="1">
        <v>0.2</v>
      </c>
      <c r="E31" s="1">
        <f t="shared" ref="E31:E45" si="55">E54-0.1</f>
        <v>0.7</v>
      </c>
      <c r="F31" s="1">
        <f t="shared" si="32"/>
        <v>1</v>
      </c>
      <c r="G31" s="272">
        <f t="shared" si="45"/>
        <v>16.3333333333333</v>
      </c>
      <c r="I31" s="276"/>
      <c r="J31" s="1">
        <v>201</v>
      </c>
      <c r="K31" s="99">
        <f t="shared" si="33"/>
        <v>0</v>
      </c>
      <c r="L31" s="1">
        <v>0.2</v>
      </c>
      <c r="M31" s="1">
        <f t="shared" si="46"/>
        <v>0.8</v>
      </c>
      <c r="N31" s="1">
        <f t="shared" si="34"/>
        <v>1.1</v>
      </c>
      <c r="O31" s="272">
        <f t="shared" si="47"/>
        <v>19.1741293532338</v>
      </c>
      <c r="Q31" s="276"/>
      <c r="R31" s="1">
        <v>201</v>
      </c>
      <c r="S31" s="99">
        <v>0</v>
      </c>
      <c r="T31" s="1">
        <v>0.2</v>
      </c>
      <c r="U31" s="1">
        <f t="shared" ref="U30:U45" si="56">M31+0.1</f>
        <v>0.9</v>
      </c>
      <c r="V31" s="1">
        <f t="shared" si="35"/>
        <v>1.2</v>
      </c>
      <c r="W31" s="272">
        <f t="shared" si="48"/>
        <v>22.0149253731343</v>
      </c>
      <c r="Y31" s="276"/>
      <c r="Z31" s="1">
        <v>201</v>
      </c>
      <c r="AA31" s="274">
        <f t="shared" si="36"/>
        <v>0</v>
      </c>
      <c r="AB31" s="1">
        <v>0.2</v>
      </c>
      <c r="AC31" s="1">
        <f t="shared" ref="AC30:AC45" si="57">U31+0.1</f>
        <v>1</v>
      </c>
      <c r="AD31" s="1">
        <f t="shared" si="37"/>
        <v>1.3</v>
      </c>
      <c r="AE31" s="272">
        <f t="shared" si="49"/>
        <v>24.8557213930348</v>
      </c>
      <c r="AG31" s="276"/>
      <c r="AH31" s="1">
        <v>201</v>
      </c>
      <c r="AI31" s="274">
        <f t="shared" si="38"/>
        <v>0</v>
      </c>
      <c r="AJ31" s="1">
        <v>0.2</v>
      </c>
      <c r="AK31" s="1">
        <f t="shared" ref="AK30:AK45" si="58">AC31+0.1</f>
        <v>1.1</v>
      </c>
      <c r="AL31" s="1">
        <f t="shared" si="39"/>
        <v>1.4</v>
      </c>
      <c r="AM31" s="272">
        <f t="shared" si="50"/>
        <v>27.6965174129353</v>
      </c>
      <c r="AO31" s="276"/>
      <c r="AP31" s="1">
        <v>201</v>
      </c>
      <c r="AQ31" s="274">
        <f t="shared" si="40"/>
        <v>0</v>
      </c>
      <c r="AR31" s="1">
        <v>0.2</v>
      </c>
      <c r="AS31" s="1">
        <f t="shared" si="51"/>
        <v>1.2</v>
      </c>
      <c r="AT31" s="1">
        <f t="shared" si="41"/>
        <v>1.5</v>
      </c>
      <c r="AU31" s="272">
        <f t="shared" si="52"/>
        <v>30.5373134328358</v>
      </c>
      <c r="AV31" s="1"/>
      <c r="AW31" s="276"/>
      <c r="AX31" s="1">
        <v>201</v>
      </c>
      <c r="AY31" s="274">
        <f t="shared" si="42"/>
        <v>0</v>
      </c>
      <c r="AZ31" s="1">
        <v>0.2</v>
      </c>
      <c r="BA31" s="1">
        <f t="shared" ref="BA30:BA45" si="59">AS31+0.1</f>
        <v>1.3</v>
      </c>
      <c r="BB31" s="1">
        <f t="shared" si="53"/>
        <v>1.6</v>
      </c>
      <c r="BC31" s="272">
        <f t="shared" si="54"/>
        <v>33.3781094527363</v>
      </c>
    </row>
    <row r="32" spans="1:58">
      <c r="A32" s="1" t="s">
        <v>109</v>
      </c>
      <c r="B32" s="1">
        <v>301</v>
      </c>
      <c r="C32" s="99">
        <f t="shared" si="44"/>
        <v>0</v>
      </c>
      <c r="D32" s="1">
        <v>0.2</v>
      </c>
      <c r="E32" s="1">
        <f t="shared" si="55"/>
        <v>0.9</v>
      </c>
      <c r="F32" s="1">
        <f t="shared" si="32"/>
        <v>1.1</v>
      </c>
      <c r="G32" s="272">
        <f t="shared" si="45"/>
        <v>14.2624584717608</v>
      </c>
      <c r="I32" s="276"/>
      <c r="J32" s="1">
        <v>301</v>
      </c>
      <c r="K32" s="99">
        <f t="shared" si="33"/>
        <v>0</v>
      </c>
      <c r="L32" s="1">
        <v>0.2</v>
      </c>
      <c r="M32" s="1">
        <f t="shared" si="46"/>
        <v>1</v>
      </c>
      <c r="N32" s="1">
        <f t="shared" si="34"/>
        <v>1.2</v>
      </c>
      <c r="O32" s="272">
        <f t="shared" si="47"/>
        <v>16.4916943521595</v>
      </c>
      <c r="Q32" s="276"/>
      <c r="R32" s="1">
        <v>301</v>
      </c>
      <c r="S32" s="99">
        <v>0</v>
      </c>
      <c r="T32" s="1">
        <v>0.2</v>
      </c>
      <c r="U32" s="1">
        <f t="shared" si="56"/>
        <v>1.1</v>
      </c>
      <c r="V32" s="1">
        <f t="shared" si="35"/>
        <v>1.3</v>
      </c>
      <c r="W32" s="272">
        <f t="shared" si="48"/>
        <v>18.7209302325581</v>
      </c>
      <c r="Y32" s="276"/>
      <c r="Z32" s="1">
        <v>301</v>
      </c>
      <c r="AA32" s="274">
        <f t="shared" si="36"/>
        <v>0</v>
      </c>
      <c r="AB32" s="1">
        <v>0.2</v>
      </c>
      <c r="AC32" s="1">
        <f t="shared" si="57"/>
        <v>1.2</v>
      </c>
      <c r="AD32" s="1">
        <f t="shared" si="37"/>
        <v>1.4</v>
      </c>
      <c r="AE32" s="272">
        <f t="shared" si="49"/>
        <v>20.9501661129568</v>
      </c>
      <c r="AG32" s="276"/>
      <c r="AH32" s="1">
        <v>301</v>
      </c>
      <c r="AI32" s="274">
        <f t="shared" si="38"/>
        <v>0</v>
      </c>
      <c r="AJ32" s="1">
        <v>0.2</v>
      </c>
      <c r="AK32" s="1">
        <f t="shared" si="58"/>
        <v>1.3</v>
      </c>
      <c r="AL32" s="1">
        <f t="shared" si="39"/>
        <v>1.5</v>
      </c>
      <c r="AM32" s="272">
        <f t="shared" si="50"/>
        <v>23.1794019933555</v>
      </c>
      <c r="AO32" s="276"/>
      <c r="AP32" s="1">
        <v>301</v>
      </c>
      <c r="AQ32" s="274">
        <f t="shared" si="40"/>
        <v>0</v>
      </c>
      <c r="AR32" s="1">
        <v>0.2</v>
      </c>
      <c r="AS32" s="1">
        <f t="shared" si="51"/>
        <v>1.4</v>
      </c>
      <c r="AT32" s="1">
        <f t="shared" si="41"/>
        <v>1.6</v>
      </c>
      <c r="AU32" s="272">
        <f t="shared" si="52"/>
        <v>25.4086378737542</v>
      </c>
      <c r="AV32" s="1"/>
      <c r="AW32" s="276"/>
      <c r="AX32" s="1">
        <v>301</v>
      </c>
      <c r="AY32" s="274">
        <f t="shared" si="42"/>
        <v>0</v>
      </c>
      <c r="AZ32" s="1">
        <v>0.2</v>
      </c>
      <c r="BA32" s="1">
        <f t="shared" si="59"/>
        <v>1.5</v>
      </c>
      <c r="BB32" s="1">
        <f t="shared" si="53"/>
        <v>1.7</v>
      </c>
      <c r="BC32" s="272">
        <f t="shared" si="54"/>
        <v>27.6378737541528</v>
      </c>
    </row>
    <row r="33" spans="1:55">
      <c r="A33" s="1" t="s">
        <v>110</v>
      </c>
      <c r="B33" s="1">
        <v>501</v>
      </c>
      <c r="C33" s="99">
        <f t="shared" si="44"/>
        <v>0</v>
      </c>
      <c r="D33" s="1">
        <v>0.2</v>
      </c>
      <c r="E33" s="1">
        <f t="shared" si="55"/>
        <v>1.2</v>
      </c>
      <c r="F33" s="1">
        <f t="shared" si="32"/>
        <v>1.2</v>
      </c>
      <c r="G33" s="272">
        <f t="shared" si="45"/>
        <v>11.8622754491018</v>
      </c>
      <c r="I33" s="276"/>
      <c r="J33" s="1">
        <v>501</v>
      </c>
      <c r="K33" s="99">
        <f t="shared" si="33"/>
        <v>0</v>
      </c>
      <c r="L33" s="1">
        <v>0.2</v>
      </c>
      <c r="M33" s="1">
        <f t="shared" si="46"/>
        <v>1.3</v>
      </c>
      <c r="N33" s="1">
        <f t="shared" si="34"/>
        <v>1.3</v>
      </c>
      <c r="O33" s="272">
        <f t="shared" si="47"/>
        <v>13.6007984031936</v>
      </c>
      <c r="Q33" s="276"/>
      <c r="R33" s="1">
        <v>501</v>
      </c>
      <c r="S33" s="99">
        <f t="shared" ref="S32:S45" si="60">S56-0.1</f>
        <v>0</v>
      </c>
      <c r="T33" s="1">
        <v>0.2</v>
      </c>
      <c r="U33" s="1">
        <f t="shared" si="56"/>
        <v>1.4</v>
      </c>
      <c r="V33" s="1">
        <f t="shared" si="35"/>
        <v>1.4</v>
      </c>
      <c r="W33" s="272">
        <f t="shared" si="48"/>
        <v>15.3393213572854</v>
      </c>
      <c r="Y33" s="276"/>
      <c r="Z33" s="1">
        <v>501</v>
      </c>
      <c r="AA33" s="274">
        <f t="shared" si="36"/>
        <v>0</v>
      </c>
      <c r="AB33" s="1">
        <v>0.2</v>
      </c>
      <c r="AC33" s="1">
        <f t="shared" si="57"/>
        <v>1.5</v>
      </c>
      <c r="AD33" s="1">
        <f t="shared" si="37"/>
        <v>1.5</v>
      </c>
      <c r="AE33" s="272">
        <f t="shared" si="49"/>
        <v>17.0778443113772</v>
      </c>
      <c r="AG33" s="276"/>
      <c r="AH33" s="1">
        <v>501</v>
      </c>
      <c r="AI33" s="274">
        <f t="shared" si="38"/>
        <v>0</v>
      </c>
      <c r="AJ33" s="1">
        <v>0.2</v>
      </c>
      <c r="AK33" s="1">
        <f t="shared" si="58"/>
        <v>1.6</v>
      </c>
      <c r="AL33" s="1">
        <f t="shared" si="39"/>
        <v>1.6</v>
      </c>
      <c r="AM33" s="272">
        <f t="shared" si="50"/>
        <v>18.8163672654691</v>
      </c>
      <c r="AO33" s="276"/>
      <c r="AP33" s="1">
        <v>501</v>
      </c>
      <c r="AQ33" s="274">
        <f t="shared" si="40"/>
        <v>0</v>
      </c>
      <c r="AR33" s="1">
        <v>0.2</v>
      </c>
      <c r="AS33" s="1">
        <f t="shared" si="51"/>
        <v>1.7</v>
      </c>
      <c r="AT33" s="1">
        <f t="shared" si="41"/>
        <v>1.7</v>
      </c>
      <c r="AU33" s="272">
        <f t="shared" si="52"/>
        <v>20.5548902195609</v>
      </c>
      <c r="AV33" s="1"/>
      <c r="AW33" s="276"/>
      <c r="AX33" s="1">
        <v>501</v>
      </c>
      <c r="AY33" s="274">
        <f t="shared" si="42"/>
        <v>0</v>
      </c>
      <c r="AZ33" s="1">
        <v>0.2</v>
      </c>
      <c r="BA33" s="1">
        <f t="shared" si="59"/>
        <v>1.8</v>
      </c>
      <c r="BB33" s="1">
        <f t="shared" si="53"/>
        <v>1.8</v>
      </c>
      <c r="BC33" s="272">
        <f t="shared" si="54"/>
        <v>22.2934131736527</v>
      </c>
    </row>
    <row r="34" spans="1:55">
      <c r="A34" s="1" t="s">
        <v>111</v>
      </c>
      <c r="B34" s="1">
        <v>701</v>
      </c>
      <c r="C34" s="99">
        <f t="shared" si="44"/>
        <v>0.1</v>
      </c>
      <c r="D34" s="1">
        <v>0.2</v>
      </c>
      <c r="E34" s="1">
        <f t="shared" si="55"/>
        <v>1.4</v>
      </c>
      <c r="F34" s="1">
        <f t="shared" si="32"/>
        <v>1.3</v>
      </c>
      <c r="G34" s="272">
        <f t="shared" si="45"/>
        <v>11.188302425107</v>
      </c>
      <c r="I34" s="276"/>
      <c r="J34" s="1">
        <v>701</v>
      </c>
      <c r="K34" s="99">
        <f t="shared" si="33"/>
        <v>0.1</v>
      </c>
      <c r="L34" s="1">
        <v>0.2</v>
      </c>
      <c r="M34" s="1">
        <f t="shared" si="46"/>
        <v>1.5</v>
      </c>
      <c r="N34" s="1">
        <f t="shared" si="34"/>
        <v>1.4</v>
      </c>
      <c r="O34" s="272">
        <f t="shared" si="47"/>
        <v>12.716119828816</v>
      </c>
      <c r="Q34" s="276"/>
      <c r="R34" s="1">
        <v>701</v>
      </c>
      <c r="S34" s="99">
        <f>S57</f>
        <v>0.1</v>
      </c>
      <c r="T34" s="1">
        <v>0.2</v>
      </c>
      <c r="U34" s="1">
        <f t="shared" si="56"/>
        <v>1.6</v>
      </c>
      <c r="V34" s="1">
        <f t="shared" si="35"/>
        <v>1.5</v>
      </c>
      <c r="W34" s="272">
        <f t="shared" si="48"/>
        <v>14.243937232525</v>
      </c>
      <c r="Y34" s="276"/>
      <c r="Z34" s="1">
        <v>701</v>
      </c>
      <c r="AA34" s="274">
        <f t="shared" si="36"/>
        <v>0.1</v>
      </c>
      <c r="AB34" s="1">
        <v>0.2</v>
      </c>
      <c r="AC34" s="1">
        <f t="shared" si="57"/>
        <v>1.7</v>
      </c>
      <c r="AD34" s="1">
        <f t="shared" si="37"/>
        <v>1.6</v>
      </c>
      <c r="AE34" s="272">
        <f t="shared" si="49"/>
        <v>15.771754636234</v>
      </c>
      <c r="AG34" s="276"/>
      <c r="AH34" s="1">
        <v>701</v>
      </c>
      <c r="AI34" s="274">
        <f t="shared" si="38"/>
        <v>0.1</v>
      </c>
      <c r="AJ34" s="1">
        <v>0.2</v>
      </c>
      <c r="AK34" s="1">
        <f t="shared" si="58"/>
        <v>1.8</v>
      </c>
      <c r="AL34" s="1">
        <f t="shared" si="39"/>
        <v>1.7</v>
      </c>
      <c r="AM34" s="272">
        <f t="shared" si="50"/>
        <v>17.2995720399429</v>
      </c>
      <c r="AO34" s="276"/>
      <c r="AP34" s="1">
        <v>701</v>
      </c>
      <c r="AQ34" s="274">
        <f t="shared" si="40"/>
        <v>0.1</v>
      </c>
      <c r="AR34" s="1">
        <v>0.2</v>
      </c>
      <c r="AS34" s="1">
        <f t="shared" si="51"/>
        <v>1.9</v>
      </c>
      <c r="AT34" s="1">
        <f t="shared" si="41"/>
        <v>1.8</v>
      </c>
      <c r="AU34" s="272">
        <f t="shared" si="52"/>
        <v>18.8273894436519</v>
      </c>
      <c r="AV34" s="1"/>
      <c r="AW34" s="276"/>
      <c r="AX34" s="1">
        <v>701</v>
      </c>
      <c r="AY34" s="274">
        <f t="shared" si="42"/>
        <v>0.1</v>
      </c>
      <c r="AZ34" s="1">
        <v>0.2</v>
      </c>
      <c r="BA34" s="1">
        <f t="shared" si="59"/>
        <v>2</v>
      </c>
      <c r="BB34" s="1">
        <f t="shared" si="53"/>
        <v>1.9</v>
      </c>
      <c r="BC34" s="272">
        <f t="shared" si="54"/>
        <v>20.3552068473609</v>
      </c>
    </row>
    <row r="35" spans="1:55">
      <c r="A35" s="1" t="s">
        <v>112</v>
      </c>
      <c r="B35" s="1">
        <v>901</v>
      </c>
      <c r="C35" s="99">
        <f t="shared" si="44"/>
        <v>0</v>
      </c>
      <c r="D35" s="1">
        <v>0.3</v>
      </c>
      <c r="E35" s="1">
        <f t="shared" si="55"/>
        <v>1.7</v>
      </c>
      <c r="F35" s="1">
        <f t="shared" si="32"/>
        <v>1.3</v>
      </c>
      <c r="G35" s="272">
        <f t="shared" si="45"/>
        <v>9.84794672586015</v>
      </c>
      <c r="I35" s="276"/>
      <c r="J35" s="1">
        <v>901</v>
      </c>
      <c r="K35" s="99">
        <f t="shared" si="33"/>
        <v>0</v>
      </c>
      <c r="L35" s="1">
        <v>0.3</v>
      </c>
      <c r="M35" s="1">
        <f t="shared" si="46"/>
        <v>1.8</v>
      </c>
      <c r="N35" s="1">
        <f t="shared" si="34"/>
        <v>1.4</v>
      </c>
      <c r="O35" s="272">
        <f t="shared" si="47"/>
        <v>11.2586015538291</v>
      </c>
      <c r="Q35" s="276"/>
      <c r="R35" s="1">
        <v>901</v>
      </c>
      <c r="S35" s="99">
        <f t="shared" si="60"/>
        <v>0</v>
      </c>
      <c r="T35" s="1">
        <v>0.3</v>
      </c>
      <c r="U35" s="1">
        <f t="shared" si="56"/>
        <v>1.9</v>
      </c>
      <c r="V35" s="1">
        <f t="shared" si="35"/>
        <v>1.5</v>
      </c>
      <c r="W35" s="272">
        <f t="shared" si="48"/>
        <v>12.669256381798</v>
      </c>
      <c r="Y35" s="276"/>
      <c r="Z35" s="1">
        <v>901</v>
      </c>
      <c r="AA35" s="274">
        <f t="shared" si="36"/>
        <v>0</v>
      </c>
      <c r="AB35" s="1">
        <v>0.3</v>
      </c>
      <c r="AC35" s="1">
        <f t="shared" si="57"/>
        <v>2</v>
      </c>
      <c r="AD35" s="1">
        <f t="shared" si="37"/>
        <v>1.6</v>
      </c>
      <c r="AE35" s="272">
        <f t="shared" si="49"/>
        <v>14.0799112097669</v>
      </c>
      <c r="AG35" s="276"/>
      <c r="AH35" s="1">
        <v>901</v>
      </c>
      <c r="AI35" s="274">
        <f t="shared" si="38"/>
        <v>0</v>
      </c>
      <c r="AJ35" s="1">
        <v>0.3</v>
      </c>
      <c r="AK35" s="1">
        <f t="shared" si="58"/>
        <v>2.1</v>
      </c>
      <c r="AL35" s="1">
        <f t="shared" si="39"/>
        <v>1.7</v>
      </c>
      <c r="AM35" s="272">
        <f t="shared" si="50"/>
        <v>15.4905660377358</v>
      </c>
      <c r="AO35" s="276"/>
      <c r="AP35" s="1">
        <v>901</v>
      </c>
      <c r="AQ35" s="274">
        <f t="shared" si="40"/>
        <v>0</v>
      </c>
      <c r="AR35" s="1">
        <v>0.3</v>
      </c>
      <c r="AS35" s="1">
        <f t="shared" si="51"/>
        <v>2.2</v>
      </c>
      <c r="AT35" s="1">
        <f t="shared" si="41"/>
        <v>1.8</v>
      </c>
      <c r="AU35" s="272">
        <f t="shared" si="52"/>
        <v>16.9012208657048</v>
      </c>
      <c r="AV35" s="1"/>
      <c r="AW35" s="276"/>
      <c r="AX35" s="1">
        <v>901</v>
      </c>
      <c r="AY35" s="274">
        <f t="shared" si="42"/>
        <v>0</v>
      </c>
      <c r="AZ35" s="1">
        <v>0.3</v>
      </c>
      <c r="BA35" s="1">
        <f t="shared" si="59"/>
        <v>2.3</v>
      </c>
      <c r="BB35" s="1">
        <f t="shared" si="53"/>
        <v>1.9</v>
      </c>
      <c r="BC35" s="272">
        <f t="shared" si="54"/>
        <v>18.3118756936737</v>
      </c>
    </row>
    <row r="36" spans="1:55">
      <c r="A36" s="1" t="s">
        <v>113</v>
      </c>
      <c r="B36" s="1">
        <v>1001</v>
      </c>
      <c r="C36" s="99">
        <f t="shared" si="44"/>
        <v>0.1</v>
      </c>
      <c r="D36" s="1">
        <v>0.4</v>
      </c>
      <c r="E36" s="1">
        <f t="shared" si="55"/>
        <v>1.9</v>
      </c>
      <c r="F36" s="1">
        <f t="shared" si="32"/>
        <v>1.5</v>
      </c>
      <c r="G36" s="272">
        <f t="shared" si="45"/>
        <v>10.4925074925075</v>
      </c>
      <c r="I36" s="276"/>
      <c r="J36" s="1">
        <v>1001</v>
      </c>
      <c r="K36" s="99">
        <f t="shared" si="33"/>
        <v>0.1</v>
      </c>
      <c r="L36" s="1">
        <v>0.4</v>
      </c>
      <c r="M36" s="1">
        <f t="shared" si="46"/>
        <v>2</v>
      </c>
      <c r="N36" s="1">
        <f t="shared" si="34"/>
        <v>1.6</v>
      </c>
      <c r="O36" s="272">
        <f t="shared" si="47"/>
        <v>11.8621378621379</v>
      </c>
      <c r="Q36" s="276"/>
      <c r="R36" s="1">
        <v>1001</v>
      </c>
      <c r="S36" s="99">
        <f t="shared" si="60"/>
        <v>0.1</v>
      </c>
      <c r="T36" s="1">
        <v>0.4</v>
      </c>
      <c r="U36" s="1">
        <f t="shared" si="56"/>
        <v>2.1</v>
      </c>
      <c r="V36" s="1">
        <f t="shared" si="35"/>
        <v>1.7</v>
      </c>
      <c r="W36" s="272">
        <f t="shared" si="48"/>
        <v>13.2317682317682</v>
      </c>
      <c r="Y36" s="276"/>
      <c r="Z36" s="1">
        <v>1001</v>
      </c>
      <c r="AA36" s="274">
        <f t="shared" si="36"/>
        <v>0.1</v>
      </c>
      <c r="AB36" s="1">
        <v>0.4</v>
      </c>
      <c r="AC36" s="1">
        <f t="shared" si="57"/>
        <v>2.2</v>
      </c>
      <c r="AD36" s="1">
        <f t="shared" si="37"/>
        <v>1.8</v>
      </c>
      <c r="AE36" s="272">
        <f t="shared" si="49"/>
        <v>14.6013986013986</v>
      </c>
      <c r="AG36" s="276"/>
      <c r="AH36" s="1">
        <v>1001</v>
      </c>
      <c r="AI36" s="274">
        <f t="shared" si="38"/>
        <v>0.1</v>
      </c>
      <c r="AJ36" s="1">
        <v>0.4</v>
      </c>
      <c r="AK36" s="1">
        <f t="shared" si="58"/>
        <v>2.3</v>
      </c>
      <c r="AL36" s="1">
        <f t="shared" si="39"/>
        <v>1.9</v>
      </c>
      <c r="AM36" s="272">
        <f t="shared" si="50"/>
        <v>15.971028971029</v>
      </c>
      <c r="AO36" s="276"/>
      <c r="AP36" s="1">
        <v>1001</v>
      </c>
      <c r="AQ36" s="274">
        <f t="shared" si="40"/>
        <v>0.1</v>
      </c>
      <c r="AR36" s="1">
        <v>0.4</v>
      </c>
      <c r="AS36" s="1">
        <f t="shared" si="51"/>
        <v>2.4</v>
      </c>
      <c r="AT36" s="1">
        <f t="shared" si="41"/>
        <v>2</v>
      </c>
      <c r="AU36" s="272">
        <f t="shared" si="52"/>
        <v>17.3406593406593</v>
      </c>
      <c r="AV36" s="1"/>
      <c r="AW36" s="276"/>
      <c r="AX36" s="1">
        <v>1001</v>
      </c>
      <c r="AY36" s="274">
        <f t="shared" si="42"/>
        <v>0.1</v>
      </c>
      <c r="AZ36" s="1">
        <v>0.4</v>
      </c>
      <c r="BA36" s="1">
        <f t="shared" si="59"/>
        <v>2.5</v>
      </c>
      <c r="BB36" s="1">
        <f t="shared" si="53"/>
        <v>2.1</v>
      </c>
      <c r="BC36" s="272">
        <f t="shared" si="54"/>
        <v>18.7102897102897</v>
      </c>
    </row>
    <row r="37" spans="1:55">
      <c r="A37" s="1" t="s">
        <v>114</v>
      </c>
      <c r="B37" s="1">
        <v>1201</v>
      </c>
      <c r="C37" s="99">
        <f t="shared" si="44"/>
        <v>0.1</v>
      </c>
      <c r="D37" s="1">
        <v>0.5</v>
      </c>
      <c r="E37" s="1">
        <f t="shared" si="55"/>
        <v>2</v>
      </c>
      <c r="F37" s="1">
        <f t="shared" si="32"/>
        <v>1.7</v>
      </c>
      <c r="G37" s="272">
        <f t="shared" si="45"/>
        <v>9.57785179017485</v>
      </c>
      <c r="I37" s="276"/>
      <c r="J37" s="1">
        <v>1201</v>
      </c>
      <c r="K37" s="99">
        <f t="shared" si="33"/>
        <v>0.1</v>
      </c>
      <c r="L37" s="1">
        <v>0.5</v>
      </c>
      <c r="M37" s="1">
        <f t="shared" si="46"/>
        <v>2.1</v>
      </c>
      <c r="N37" s="1">
        <f t="shared" si="34"/>
        <v>1.8</v>
      </c>
      <c r="O37" s="272">
        <f t="shared" si="47"/>
        <v>10.8859283930058</v>
      </c>
      <c r="Q37" s="276"/>
      <c r="R37" s="1">
        <v>1201</v>
      </c>
      <c r="S37" s="99">
        <f t="shared" si="60"/>
        <v>0.1</v>
      </c>
      <c r="T37" s="1">
        <v>0.5</v>
      </c>
      <c r="U37" s="1">
        <f t="shared" si="56"/>
        <v>2.2</v>
      </c>
      <c r="V37" s="1">
        <f t="shared" si="35"/>
        <v>1.9</v>
      </c>
      <c r="W37" s="272">
        <f t="shared" si="48"/>
        <v>12.1940049958368</v>
      </c>
      <c r="Y37" s="276"/>
      <c r="Z37" s="1">
        <v>1201</v>
      </c>
      <c r="AA37" s="274">
        <f t="shared" si="36"/>
        <v>0.1</v>
      </c>
      <c r="AB37" s="1">
        <v>0.5</v>
      </c>
      <c r="AC37" s="1">
        <f t="shared" si="57"/>
        <v>2.3</v>
      </c>
      <c r="AD37" s="1">
        <f t="shared" si="37"/>
        <v>2</v>
      </c>
      <c r="AE37" s="272">
        <f t="shared" si="49"/>
        <v>13.5020815986678</v>
      </c>
      <c r="AG37" s="276"/>
      <c r="AH37" s="1">
        <v>1201</v>
      </c>
      <c r="AI37" s="274">
        <f t="shared" si="38"/>
        <v>0.1</v>
      </c>
      <c r="AJ37" s="1">
        <v>0.5</v>
      </c>
      <c r="AK37" s="1">
        <f t="shared" si="58"/>
        <v>2.4</v>
      </c>
      <c r="AL37" s="1">
        <f t="shared" si="39"/>
        <v>2.1</v>
      </c>
      <c r="AM37" s="272">
        <f t="shared" si="50"/>
        <v>14.8101582014988</v>
      </c>
      <c r="AO37" s="276"/>
      <c r="AP37" s="1">
        <v>1201</v>
      </c>
      <c r="AQ37" s="274">
        <f t="shared" si="40"/>
        <v>0.1</v>
      </c>
      <c r="AR37" s="1">
        <v>0.5</v>
      </c>
      <c r="AS37" s="1">
        <f t="shared" si="51"/>
        <v>2.5</v>
      </c>
      <c r="AT37" s="1">
        <f t="shared" si="41"/>
        <v>2.2</v>
      </c>
      <c r="AU37" s="272">
        <f t="shared" si="52"/>
        <v>16.1182348043297</v>
      </c>
      <c r="AV37" s="1"/>
      <c r="AW37" s="276"/>
      <c r="AX37" s="1">
        <v>1201</v>
      </c>
      <c r="AY37" s="274">
        <f t="shared" si="42"/>
        <v>0.1</v>
      </c>
      <c r="AZ37" s="1">
        <v>0.5</v>
      </c>
      <c r="BA37" s="1">
        <f t="shared" si="59"/>
        <v>2.6</v>
      </c>
      <c r="BB37" s="1">
        <f t="shared" si="53"/>
        <v>2.3</v>
      </c>
      <c r="BC37" s="272">
        <f t="shared" si="54"/>
        <v>17.4263114071607</v>
      </c>
    </row>
    <row r="38" spans="1:55">
      <c r="A38" s="1" t="s">
        <v>115</v>
      </c>
      <c r="B38" s="1">
        <v>1401</v>
      </c>
      <c r="C38" s="99">
        <f t="shared" si="44"/>
        <v>0.1</v>
      </c>
      <c r="D38" s="1">
        <v>0.5</v>
      </c>
      <c r="E38" s="1">
        <f t="shared" si="55"/>
        <v>2.1</v>
      </c>
      <c r="F38" s="1">
        <f t="shared" si="32"/>
        <v>1.8</v>
      </c>
      <c r="G38" s="272">
        <f t="shared" si="45"/>
        <v>8.90292648108494</v>
      </c>
      <c r="I38" s="276"/>
      <c r="J38" s="1">
        <v>1401</v>
      </c>
      <c r="K38" s="99">
        <f t="shared" si="33"/>
        <v>0.1</v>
      </c>
      <c r="L38" s="1">
        <v>0.5</v>
      </c>
      <c r="M38" s="1">
        <f t="shared" si="46"/>
        <v>2.2</v>
      </c>
      <c r="N38" s="1">
        <f t="shared" si="34"/>
        <v>1.9</v>
      </c>
      <c r="O38" s="272">
        <f t="shared" si="47"/>
        <v>10.1670235546039</v>
      </c>
      <c r="Q38" s="276"/>
      <c r="R38" s="1">
        <v>1401</v>
      </c>
      <c r="S38" s="99">
        <f t="shared" si="60"/>
        <v>0.1</v>
      </c>
      <c r="T38" s="1">
        <v>0.5</v>
      </c>
      <c r="U38" s="1">
        <f t="shared" si="56"/>
        <v>2.3</v>
      </c>
      <c r="V38" s="1">
        <f t="shared" si="35"/>
        <v>2</v>
      </c>
      <c r="W38" s="272">
        <f t="shared" si="48"/>
        <v>11.4311206281228</v>
      </c>
      <c r="Y38" s="276"/>
      <c r="Z38" s="1">
        <v>1401</v>
      </c>
      <c r="AA38" s="274">
        <f t="shared" si="36"/>
        <v>0.1</v>
      </c>
      <c r="AB38" s="1">
        <v>0.5</v>
      </c>
      <c r="AC38" s="1">
        <f t="shared" si="57"/>
        <v>2.4</v>
      </c>
      <c r="AD38" s="1">
        <f t="shared" si="37"/>
        <v>2.1</v>
      </c>
      <c r="AE38" s="272">
        <f t="shared" si="49"/>
        <v>12.6952177016417</v>
      </c>
      <c r="AG38" s="276"/>
      <c r="AH38" s="1">
        <v>1401</v>
      </c>
      <c r="AI38" s="274">
        <f t="shared" si="38"/>
        <v>0.1</v>
      </c>
      <c r="AJ38" s="1">
        <v>0.5</v>
      </c>
      <c r="AK38" s="1">
        <f t="shared" si="58"/>
        <v>2.5</v>
      </c>
      <c r="AL38" s="1">
        <f t="shared" si="39"/>
        <v>2.2</v>
      </c>
      <c r="AM38" s="272">
        <f t="shared" si="50"/>
        <v>13.9593147751606</v>
      </c>
      <c r="AO38" s="276"/>
      <c r="AP38" s="1">
        <v>1401</v>
      </c>
      <c r="AQ38" s="274">
        <f t="shared" si="40"/>
        <v>0.1</v>
      </c>
      <c r="AR38" s="1">
        <v>0.5</v>
      </c>
      <c r="AS38" s="1">
        <f t="shared" si="51"/>
        <v>2.6</v>
      </c>
      <c r="AT38" s="1">
        <f t="shared" si="41"/>
        <v>2.3</v>
      </c>
      <c r="AU38" s="272">
        <f t="shared" si="52"/>
        <v>15.2234118486795</v>
      </c>
      <c r="AV38" s="1"/>
      <c r="AW38" s="276"/>
      <c r="AX38" s="1">
        <v>1401</v>
      </c>
      <c r="AY38" s="274">
        <f t="shared" si="42"/>
        <v>0.1</v>
      </c>
      <c r="AZ38" s="1">
        <v>0.5</v>
      </c>
      <c r="BA38" s="1">
        <f t="shared" si="59"/>
        <v>2.7</v>
      </c>
      <c r="BB38" s="1">
        <f t="shared" si="53"/>
        <v>2.4</v>
      </c>
      <c r="BC38" s="272">
        <f t="shared" si="54"/>
        <v>16.4875089221984</v>
      </c>
    </row>
    <row r="39" spans="1:55">
      <c r="A39" s="1" t="s">
        <v>116</v>
      </c>
      <c r="B39" s="1">
        <v>1601</v>
      </c>
      <c r="C39" s="99">
        <f t="shared" si="44"/>
        <v>0.1</v>
      </c>
      <c r="D39" s="1">
        <v>0.6</v>
      </c>
      <c r="E39" s="1">
        <f t="shared" si="55"/>
        <v>2.3</v>
      </c>
      <c r="F39" s="1">
        <f t="shared" si="32"/>
        <v>1.8</v>
      </c>
      <c r="G39" s="272">
        <f t="shared" si="45"/>
        <v>8.59025608994379</v>
      </c>
      <c r="I39" s="276"/>
      <c r="J39" s="1">
        <v>1601</v>
      </c>
      <c r="K39" s="99">
        <f t="shared" si="33"/>
        <v>0.1</v>
      </c>
      <c r="L39" s="1">
        <v>0.6</v>
      </c>
      <c r="M39" s="1">
        <f t="shared" si="46"/>
        <v>2.4</v>
      </c>
      <c r="N39" s="1">
        <f t="shared" si="34"/>
        <v>1.9</v>
      </c>
      <c r="O39" s="272">
        <f t="shared" si="47"/>
        <v>9.82136164896939</v>
      </c>
      <c r="Q39" s="276"/>
      <c r="R39" s="1">
        <v>1601</v>
      </c>
      <c r="S39" s="99">
        <f t="shared" si="60"/>
        <v>0.1</v>
      </c>
      <c r="T39" s="1">
        <v>0.6</v>
      </c>
      <c r="U39" s="1">
        <f t="shared" si="56"/>
        <v>2.5</v>
      </c>
      <c r="V39" s="1">
        <f t="shared" si="35"/>
        <v>2</v>
      </c>
      <c r="W39" s="272">
        <f t="shared" si="48"/>
        <v>11.052467207995</v>
      </c>
      <c r="Y39" s="276"/>
      <c r="Z39" s="1">
        <v>1601</v>
      </c>
      <c r="AA39" s="274">
        <f t="shared" si="36"/>
        <v>0.1</v>
      </c>
      <c r="AB39" s="1">
        <v>0.6</v>
      </c>
      <c r="AC39" s="1">
        <f t="shared" si="57"/>
        <v>2.6</v>
      </c>
      <c r="AD39" s="1">
        <f t="shared" si="37"/>
        <v>2.1</v>
      </c>
      <c r="AE39" s="272">
        <f t="shared" si="49"/>
        <v>12.2835727670206</v>
      </c>
      <c r="AG39" s="276"/>
      <c r="AH39" s="1">
        <v>1601</v>
      </c>
      <c r="AI39" s="274">
        <f t="shared" si="38"/>
        <v>0.1</v>
      </c>
      <c r="AJ39" s="1">
        <v>0.6</v>
      </c>
      <c r="AK39" s="1">
        <f t="shared" si="58"/>
        <v>2.7</v>
      </c>
      <c r="AL39" s="1">
        <f t="shared" si="39"/>
        <v>2.2</v>
      </c>
      <c r="AM39" s="272">
        <f t="shared" si="50"/>
        <v>13.5146783260462</v>
      </c>
      <c r="AO39" s="276"/>
      <c r="AP39" s="1">
        <v>1601</v>
      </c>
      <c r="AQ39" s="274">
        <f t="shared" si="40"/>
        <v>0.1</v>
      </c>
      <c r="AR39" s="1">
        <v>0.6</v>
      </c>
      <c r="AS39" s="1">
        <f t="shared" si="51"/>
        <v>2.8</v>
      </c>
      <c r="AT39" s="1">
        <f t="shared" si="41"/>
        <v>2.3</v>
      </c>
      <c r="AU39" s="272">
        <f t="shared" si="52"/>
        <v>14.7457838850718</v>
      </c>
      <c r="AV39" s="1"/>
      <c r="AW39" s="276"/>
      <c r="AX39" s="1">
        <v>1601</v>
      </c>
      <c r="AY39" s="274">
        <f t="shared" si="42"/>
        <v>0.1</v>
      </c>
      <c r="AZ39" s="1">
        <v>0.6</v>
      </c>
      <c r="BA39" s="1">
        <f t="shared" si="59"/>
        <v>2.9</v>
      </c>
      <c r="BB39" s="1">
        <f t="shared" si="53"/>
        <v>2.4</v>
      </c>
      <c r="BC39" s="272">
        <f t="shared" si="54"/>
        <v>15.9768894440974</v>
      </c>
    </row>
    <row r="40" spans="1:55">
      <c r="A40" s="1" t="s">
        <v>117</v>
      </c>
      <c r="B40" s="1">
        <v>1801</v>
      </c>
      <c r="C40" s="99">
        <f t="shared" si="44"/>
        <v>0.1</v>
      </c>
      <c r="D40" s="1">
        <v>0.6</v>
      </c>
      <c r="E40" s="1">
        <f t="shared" si="55"/>
        <v>2.5</v>
      </c>
      <c r="F40" s="1">
        <f t="shared" si="32"/>
        <v>1.8</v>
      </c>
      <c r="G40" s="272">
        <f t="shared" si="45"/>
        <v>8.3470294280955</v>
      </c>
      <c r="I40" s="276"/>
      <c r="J40" s="1">
        <v>1801</v>
      </c>
      <c r="K40" s="99">
        <f t="shared" si="33"/>
        <v>0.1</v>
      </c>
      <c r="L40" s="1">
        <v>0.6</v>
      </c>
      <c r="M40" s="1">
        <f t="shared" si="46"/>
        <v>2.6</v>
      </c>
      <c r="N40" s="1">
        <f t="shared" si="34"/>
        <v>1.9</v>
      </c>
      <c r="O40" s="272">
        <f t="shared" si="47"/>
        <v>9.55247084952804</v>
      </c>
      <c r="Q40" s="276"/>
      <c r="R40" s="1">
        <v>1801</v>
      </c>
      <c r="S40" s="99">
        <f t="shared" si="60"/>
        <v>0.1</v>
      </c>
      <c r="T40" s="1">
        <v>0.6</v>
      </c>
      <c r="U40" s="1">
        <f t="shared" si="56"/>
        <v>2.7</v>
      </c>
      <c r="V40" s="1">
        <f t="shared" si="35"/>
        <v>2</v>
      </c>
      <c r="W40" s="272">
        <f t="shared" si="48"/>
        <v>10.7579122709606</v>
      </c>
      <c r="Y40" s="276"/>
      <c r="Z40" s="1">
        <v>1801</v>
      </c>
      <c r="AA40" s="274">
        <f t="shared" si="36"/>
        <v>0.1</v>
      </c>
      <c r="AB40" s="1">
        <v>0.6</v>
      </c>
      <c r="AC40" s="1">
        <f t="shared" si="57"/>
        <v>2.8</v>
      </c>
      <c r="AD40" s="1">
        <f t="shared" si="37"/>
        <v>2.1</v>
      </c>
      <c r="AE40" s="272">
        <f t="shared" si="49"/>
        <v>11.9633536923931</v>
      </c>
      <c r="AG40" s="276"/>
      <c r="AH40" s="1">
        <v>1801</v>
      </c>
      <c r="AI40" s="274">
        <f t="shared" si="38"/>
        <v>0.1</v>
      </c>
      <c r="AJ40" s="1">
        <v>0.6</v>
      </c>
      <c r="AK40" s="1">
        <f t="shared" si="58"/>
        <v>2.9</v>
      </c>
      <c r="AL40" s="1">
        <f t="shared" si="39"/>
        <v>2.2</v>
      </c>
      <c r="AM40" s="272">
        <f t="shared" si="50"/>
        <v>13.1687951138257</v>
      </c>
      <c r="AO40" s="276"/>
      <c r="AP40" s="1">
        <v>1801</v>
      </c>
      <c r="AQ40" s="274">
        <f t="shared" si="40"/>
        <v>0.1</v>
      </c>
      <c r="AR40" s="1">
        <v>0.6</v>
      </c>
      <c r="AS40" s="1">
        <f t="shared" si="51"/>
        <v>3</v>
      </c>
      <c r="AT40" s="1">
        <f t="shared" si="41"/>
        <v>2.3</v>
      </c>
      <c r="AU40" s="272">
        <f t="shared" si="52"/>
        <v>14.3742365352582</v>
      </c>
      <c r="AV40" s="1"/>
      <c r="AW40" s="276"/>
      <c r="AX40" s="1">
        <v>1801</v>
      </c>
      <c r="AY40" s="274">
        <f t="shared" si="42"/>
        <v>0.1</v>
      </c>
      <c r="AZ40" s="1">
        <v>0.6</v>
      </c>
      <c r="BA40" s="1">
        <f t="shared" si="59"/>
        <v>3.1</v>
      </c>
      <c r="BB40" s="1">
        <f t="shared" si="53"/>
        <v>2.4</v>
      </c>
      <c r="BC40" s="272">
        <f t="shared" si="54"/>
        <v>15.5796779566907</v>
      </c>
    </row>
    <row r="41" spans="1:55">
      <c r="A41" s="1" t="s">
        <v>118</v>
      </c>
      <c r="B41" s="1">
        <v>2001</v>
      </c>
      <c r="C41" s="99">
        <f t="shared" si="44"/>
        <v>0.2</v>
      </c>
      <c r="D41" s="1">
        <v>0.7</v>
      </c>
      <c r="E41" s="1">
        <f t="shared" si="55"/>
        <v>2.7</v>
      </c>
      <c r="F41" s="1">
        <f t="shared" si="32"/>
        <v>2</v>
      </c>
      <c r="G41" s="272">
        <f t="shared" si="45"/>
        <v>8.47726136931534</v>
      </c>
      <c r="I41" s="276"/>
      <c r="J41" s="1">
        <v>2001</v>
      </c>
      <c r="K41" s="99">
        <f t="shared" si="33"/>
        <v>0.2</v>
      </c>
      <c r="L41" s="1">
        <v>0.7</v>
      </c>
      <c r="M41" s="1">
        <f t="shared" si="46"/>
        <v>2.8</v>
      </c>
      <c r="N41" s="1">
        <f t="shared" si="34"/>
        <v>2.1</v>
      </c>
      <c r="O41" s="272">
        <f t="shared" si="47"/>
        <v>9.66216891554223</v>
      </c>
      <c r="Q41" s="276"/>
      <c r="R41" s="1">
        <v>2001</v>
      </c>
      <c r="S41" s="99">
        <f t="shared" si="60"/>
        <v>0.2</v>
      </c>
      <c r="T41" s="1">
        <v>0.7</v>
      </c>
      <c r="U41" s="1">
        <f t="shared" si="56"/>
        <v>2.9</v>
      </c>
      <c r="V41" s="1">
        <f t="shared" si="35"/>
        <v>2.2</v>
      </c>
      <c r="W41" s="272">
        <f t="shared" si="48"/>
        <v>10.8470764617691</v>
      </c>
      <c r="Y41" s="276"/>
      <c r="Z41" s="1">
        <v>2001</v>
      </c>
      <c r="AA41" s="274">
        <f t="shared" si="36"/>
        <v>0.2</v>
      </c>
      <c r="AB41" s="1">
        <v>0.7</v>
      </c>
      <c r="AC41" s="1">
        <f t="shared" si="57"/>
        <v>3</v>
      </c>
      <c r="AD41" s="1">
        <f t="shared" si="37"/>
        <v>2.3</v>
      </c>
      <c r="AE41" s="272">
        <f t="shared" si="49"/>
        <v>12.031984007996</v>
      </c>
      <c r="AG41" s="276"/>
      <c r="AH41" s="1">
        <v>2001</v>
      </c>
      <c r="AI41" s="274">
        <f t="shared" si="38"/>
        <v>0.2</v>
      </c>
      <c r="AJ41" s="1">
        <v>0.7</v>
      </c>
      <c r="AK41" s="1">
        <f t="shared" si="58"/>
        <v>3.1</v>
      </c>
      <c r="AL41" s="1">
        <f t="shared" si="39"/>
        <v>2.4</v>
      </c>
      <c r="AM41" s="272">
        <f t="shared" si="50"/>
        <v>13.2168915542229</v>
      </c>
      <c r="AO41" s="276"/>
      <c r="AP41" s="1">
        <v>2001</v>
      </c>
      <c r="AQ41" s="274">
        <f t="shared" si="40"/>
        <v>0.2</v>
      </c>
      <c r="AR41" s="1">
        <v>0.7</v>
      </c>
      <c r="AS41" s="1">
        <f t="shared" si="51"/>
        <v>3.2</v>
      </c>
      <c r="AT41" s="1">
        <f t="shared" si="41"/>
        <v>2.5</v>
      </c>
      <c r="AU41" s="272">
        <f t="shared" si="52"/>
        <v>14.4017991004498</v>
      </c>
      <c r="AV41" s="1"/>
      <c r="AW41" s="276"/>
      <c r="AX41" s="1">
        <v>2001</v>
      </c>
      <c r="AY41" s="274">
        <f t="shared" si="42"/>
        <v>0.2</v>
      </c>
      <c r="AZ41" s="1">
        <v>0.7</v>
      </c>
      <c r="BA41" s="1">
        <f t="shared" si="59"/>
        <v>3.3</v>
      </c>
      <c r="BB41" s="1">
        <f t="shared" si="53"/>
        <v>2.6</v>
      </c>
      <c r="BC41" s="272">
        <f t="shared" si="54"/>
        <v>15.5867066466767</v>
      </c>
    </row>
    <row r="42" spans="1:55">
      <c r="A42" s="1" t="s">
        <v>119</v>
      </c>
      <c r="B42" s="1">
        <v>2201</v>
      </c>
      <c r="C42" s="99">
        <f t="shared" si="44"/>
        <v>0.2</v>
      </c>
      <c r="D42" s="1">
        <v>0.7</v>
      </c>
      <c r="E42" s="1">
        <f t="shared" si="55"/>
        <v>2.9</v>
      </c>
      <c r="F42" s="1">
        <f t="shared" si="32"/>
        <v>2</v>
      </c>
      <c r="G42" s="272">
        <f t="shared" si="45"/>
        <v>8.28850522489777</v>
      </c>
      <c r="I42" s="276"/>
      <c r="J42" s="1">
        <v>2201</v>
      </c>
      <c r="K42" s="99">
        <f t="shared" si="33"/>
        <v>0.2</v>
      </c>
      <c r="L42" s="1">
        <v>0.7</v>
      </c>
      <c r="M42" s="1">
        <f t="shared" si="46"/>
        <v>3</v>
      </c>
      <c r="N42" s="1">
        <f t="shared" si="34"/>
        <v>2.1</v>
      </c>
      <c r="O42" s="272">
        <f t="shared" si="47"/>
        <v>9.45661063153112</v>
      </c>
      <c r="Q42" s="276"/>
      <c r="R42" s="1">
        <v>2201</v>
      </c>
      <c r="S42" s="99">
        <f t="shared" si="60"/>
        <v>0.2</v>
      </c>
      <c r="T42" s="1">
        <v>0.7</v>
      </c>
      <c r="U42" s="1">
        <f t="shared" si="56"/>
        <v>3.1</v>
      </c>
      <c r="V42" s="1">
        <f t="shared" si="35"/>
        <v>2.2</v>
      </c>
      <c r="W42" s="272">
        <f t="shared" si="48"/>
        <v>10.6247160381645</v>
      </c>
      <c r="Y42" s="276"/>
      <c r="Z42" s="1">
        <v>2201</v>
      </c>
      <c r="AA42" s="274">
        <f t="shared" si="36"/>
        <v>0.2</v>
      </c>
      <c r="AB42" s="1">
        <v>0.7</v>
      </c>
      <c r="AC42" s="1">
        <f t="shared" si="57"/>
        <v>3.2</v>
      </c>
      <c r="AD42" s="1">
        <f t="shared" si="37"/>
        <v>2.3</v>
      </c>
      <c r="AE42" s="272">
        <f t="shared" si="49"/>
        <v>11.7928214447978</v>
      </c>
      <c r="AG42" s="276"/>
      <c r="AH42" s="1">
        <v>2201</v>
      </c>
      <c r="AI42" s="274">
        <f t="shared" si="38"/>
        <v>0.2</v>
      </c>
      <c r="AJ42" s="1">
        <v>0.7</v>
      </c>
      <c r="AK42" s="1">
        <f t="shared" si="58"/>
        <v>3.3</v>
      </c>
      <c r="AL42" s="1">
        <f t="shared" si="39"/>
        <v>2.4</v>
      </c>
      <c r="AM42" s="272">
        <f t="shared" si="50"/>
        <v>12.9609268514312</v>
      </c>
      <c r="AO42" s="276"/>
      <c r="AP42" s="1">
        <v>2201</v>
      </c>
      <c r="AQ42" s="274">
        <f t="shared" si="40"/>
        <v>0.2</v>
      </c>
      <c r="AR42" s="1">
        <v>0.7</v>
      </c>
      <c r="AS42" s="1">
        <f t="shared" si="51"/>
        <v>3.4</v>
      </c>
      <c r="AT42" s="1">
        <f t="shared" si="41"/>
        <v>2.5</v>
      </c>
      <c r="AU42" s="272">
        <f t="shared" si="52"/>
        <v>14.1290322580645</v>
      </c>
      <c r="AV42" s="1"/>
      <c r="AW42" s="276"/>
      <c r="AX42" s="1">
        <v>2201</v>
      </c>
      <c r="AY42" s="274">
        <f t="shared" si="42"/>
        <v>0.2</v>
      </c>
      <c r="AZ42" s="1">
        <v>0.7</v>
      </c>
      <c r="BA42" s="1">
        <f t="shared" si="59"/>
        <v>3.5</v>
      </c>
      <c r="BB42" s="1">
        <f t="shared" si="53"/>
        <v>2.6</v>
      </c>
      <c r="BC42" s="272">
        <f t="shared" si="54"/>
        <v>15.2971376646979</v>
      </c>
    </row>
    <row r="43" spans="1:55">
      <c r="A43" s="1" t="s">
        <v>120</v>
      </c>
      <c r="B43" s="1">
        <v>2401</v>
      </c>
      <c r="C43" s="99">
        <f t="shared" si="44"/>
        <v>0.2</v>
      </c>
      <c r="D43" s="1">
        <v>0.8</v>
      </c>
      <c r="E43" s="1">
        <f t="shared" si="55"/>
        <v>3</v>
      </c>
      <c r="F43" s="1">
        <f t="shared" si="32"/>
        <v>2</v>
      </c>
      <c r="G43" s="272">
        <f t="shared" si="45"/>
        <v>7.98958767180341</v>
      </c>
      <c r="I43" s="276"/>
      <c r="J43" s="1">
        <v>2401</v>
      </c>
      <c r="K43" s="99">
        <f t="shared" si="33"/>
        <v>0.2</v>
      </c>
      <c r="L43" s="1">
        <v>0.8</v>
      </c>
      <c r="M43" s="1">
        <f t="shared" si="46"/>
        <v>3.1</v>
      </c>
      <c r="N43" s="1">
        <f t="shared" si="34"/>
        <v>2.1</v>
      </c>
      <c r="O43" s="272">
        <f t="shared" si="47"/>
        <v>9.14369012911287</v>
      </c>
      <c r="Q43" s="276"/>
      <c r="R43" s="1">
        <v>2401</v>
      </c>
      <c r="S43" s="99">
        <f t="shared" si="60"/>
        <v>0.2</v>
      </c>
      <c r="T43" s="1">
        <v>0.8</v>
      </c>
      <c r="U43" s="1">
        <f t="shared" si="56"/>
        <v>3.2</v>
      </c>
      <c r="V43" s="1">
        <f t="shared" si="35"/>
        <v>2.2</v>
      </c>
      <c r="W43" s="272">
        <f t="shared" si="48"/>
        <v>10.2977925864223</v>
      </c>
      <c r="Y43" s="276"/>
      <c r="Z43" s="1">
        <v>2401</v>
      </c>
      <c r="AA43" s="274">
        <f t="shared" si="36"/>
        <v>0.2</v>
      </c>
      <c r="AB43" s="1">
        <v>0.8</v>
      </c>
      <c r="AC43" s="1">
        <f t="shared" si="57"/>
        <v>3.3</v>
      </c>
      <c r="AD43" s="1">
        <f t="shared" si="37"/>
        <v>2.3</v>
      </c>
      <c r="AE43" s="272">
        <f t="shared" si="49"/>
        <v>11.4518950437318</v>
      </c>
      <c r="AG43" s="276"/>
      <c r="AH43" s="1">
        <v>2401</v>
      </c>
      <c r="AI43" s="274">
        <f t="shared" si="38"/>
        <v>0.2</v>
      </c>
      <c r="AJ43" s="1">
        <v>0.8</v>
      </c>
      <c r="AK43" s="1">
        <f t="shared" si="58"/>
        <v>3.4</v>
      </c>
      <c r="AL43" s="1">
        <f t="shared" si="39"/>
        <v>2.4</v>
      </c>
      <c r="AM43" s="272">
        <f t="shared" si="50"/>
        <v>12.6059975010412</v>
      </c>
      <c r="AO43" s="276"/>
      <c r="AP43" s="1">
        <v>2401</v>
      </c>
      <c r="AQ43" s="274">
        <f t="shared" si="40"/>
        <v>0.2</v>
      </c>
      <c r="AR43" s="1">
        <v>0.8</v>
      </c>
      <c r="AS43" s="1">
        <f t="shared" si="51"/>
        <v>3.5</v>
      </c>
      <c r="AT43" s="1">
        <f t="shared" si="41"/>
        <v>2.5</v>
      </c>
      <c r="AU43" s="272">
        <f t="shared" si="52"/>
        <v>13.7600999583507</v>
      </c>
      <c r="AV43" s="1"/>
      <c r="AW43" s="276"/>
      <c r="AX43" s="1">
        <v>2401</v>
      </c>
      <c r="AY43" s="274">
        <f t="shared" si="42"/>
        <v>0.2</v>
      </c>
      <c r="AZ43" s="1">
        <v>0.8</v>
      </c>
      <c r="BA43" s="1">
        <f t="shared" si="59"/>
        <v>3.6</v>
      </c>
      <c r="BB43" s="1">
        <f t="shared" si="53"/>
        <v>2.6</v>
      </c>
      <c r="BC43" s="272">
        <f t="shared" si="54"/>
        <v>14.9142024156601</v>
      </c>
    </row>
    <row r="44" spans="1:55">
      <c r="A44" s="1" t="s">
        <v>121</v>
      </c>
      <c r="B44" s="1">
        <v>2601</v>
      </c>
      <c r="C44" s="99">
        <f t="shared" si="44"/>
        <v>0.3</v>
      </c>
      <c r="D44" s="1">
        <v>0.8</v>
      </c>
      <c r="E44" s="1">
        <f t="shared" si="55"/>
        <v>3.1</v>
      </c>
      <c r="F44" s="1">
        <f t="shared" si="32"/>
        <v>2</v>
      </c>
      <c r="G44" s="272">
        <f t="shared" si="45"/>
        <v>7.96347558631296</v>
      </c>
      <c r="I44" s="276"/>
      <c r="J44" s="1">
        <v>2601</v>
      </c>
      <c r="K44" s="99">
        <f t="shared" si="33"/>
        <v>0.3</v>
      </c>
      <c r="L44" s="1">
        <v>0.8</v>
      </c>
      <c r="M44" s="1">
        <f t="shared" si="46"/>
        <v>3.2</v>
      </c>
      <c r="N44" s="1">
        <f t="shared" si="34"/>
        <v>2.1</v>
      </c>
      <c r="O44" s="272">
        <f t="shared" si="47"/>
        <v>9.10572856593618</v>
      </c>
      <c r="Q44" s="276"/>
      <c r="R44" s="1">
        <v>2601</v>
      </c>
      <c r="S44" s="99">
        <f t="shared" si="60"/>
        <v>0.3</v>
      </c>
      <c r="T44" s="1">
        <v>0.8</v>
      </c>
      <c r="U44" s="1">
        <f t="shared" si="56"/>
        <v>3.3</v>
      </c>
      <c r="V44" s="1">
        <f t="shared" si="35"/>
        <v>2.2</v>
      </c>
      <c r="W44" s="272">
        <f t="shared" si="48"/>
        <v>10.2479815455594</v>
      </c>
      <c r="Y44" s="276"/>
      <c r="Z44" s="1">
        <v>2601</v>
      </c>
      <c r="AA44" s="274">
        <f t="shared" si="36"/>
        <v>0.3</v>
      </c>
      <c r="AB44" s="1">
        <v>0.8</v>
      </c>
      <c r="AC44" s="1">
        <f t="shared" si="57"/>
        <v>3.4</v>
      </c>
      <c r="AD44" s="1">
        <f t="shared" si="37"/>
        <v>2.3</v>
      </c>
      <c r="AE44" s="272">
        <f t="shared" si="49"/>
        <v>11.3902345251826</v>
      </c>
      <c r="AG44" s="276"/>
      <c r="AH44" s="1">
        <v>2601</v>
      </c>
      <c r="AI44" s="274">
        <f t="shared" si="38"/>
        <v>0.3</v>
      </c>
      <c r="AJ44" s="1">
        <v>0.8</v>
      </c>
      <c r="AK44" s="1">
        <f t="shared" si="58"/>
        <v>3.5</v>
      </c>
      <c r="AL44" s="1">
        <f t="shared" si="39"/>
        <v>2.4</v>
      </c>
      <c r="AM44" s="272">
        <f t="shared" si="50"/>
        <v>12.5324875048058</v>
      </c>
      <c r="AO44" s="276"/>
      <c r="AP44" s="1">
        <v>2601</v>
      </c>
      <c r="AQ44" s="274">
        <f t="shared" si="40"/>
        <v>0.3</v>
      </c>
      <c r="AR44" s="1">
        <v>0.8</v>
      </c>
      <c r="AS44" s="1">
        <f t="shared" si="51"/>
        <v>3.6</v>
      </c>
      <c r="AT44" s="1">
        <f t="shared" si="41"/>
        <v>2.5</v>
      </c>
      <c r="AU44" s="272">
        <f t="shared" si="52"/>
        <v>13.6747404844291</v>
      </c>
      <c r="AV44" s="1"/>
      <c r="AW44" s="276"/>
      <c r="AX44" s="1">
        <v>2601</v>
      </c>
      <c r="AY44" s="274">
        <f t="shared" si="42"/>
        <v>0.3</v>
      </c>
      <c r="AZ44" s="1">
        <v>0.8</v>
      </c>
      <c r="BA44" s="1">
        <f t="shared" si="59"/>
        <v>3.7</v>
      </c>
      <c r="BB44" s="1">
        <f t="shared" si="53"/>
        <v>2.6</v>
      </c>
      <c r="BC44" s="272">
        <f t="shared" si="54"/>
        <v>14.8169934640523</v>
      </c>
    </row>
    <row r="45" spans="1:55">
      <c r="A45" s="1" t="s">
        <v>122</v>
      </c>
      <c r="B45" s="1">
        <v>2801</v>
      </c>
      <c r="C45" s="99">
        <f t="shared" si="44"/>
        <v>0.3</v>
      </c>
      <c r="D45" s="1">
        <v>0.8</v>
      </c>
      <c r="E45" s="1">
        <f t="shared" si="55"/>
        <v>3.5</v>
      </c>
      <c r="F45" s="1">
        <f t="shared" si="32"/>
        <v>2</v>
      </c>
      <c r="G45" s="272">
        <f t="shared" si="45"/>
        <v>8.09460906818993</v>
      </c>
      <c r="I45" s="276"/>
      <c r="J45" s="1">
        <v>2801</v>
      </c>
      <c r="K45" s="99">
        <f t="shared" si="33"/>
        <v>0.3</v>
      </c>
      <c r="L45" s="1">
        <v>0.8</v>
      </c>
      <c r="M45" s="1">
        <f t="shared" si="46"/>
        <v>3.6</v>
      </c>
      <c r="N45" s="1">
        <f t="shared" si="34"/>
        <v>2.1</v>
      </c>
      <c r="O45" s="272">
        <f t="shared" si="47"/>
        <v>9.22670474830418</v>
      </c>
      <c r="Q45" s="276"/>
      <c r="R45" s="1">
        <v>2801</v>
      </c>
      <c r="S45" s="99">
        <v>0.3</v>
      </c>
      <c r="T45" s="1">
        <v>0.8</v>
      </c>
      <c r="U45" s="1">
        <f t="shared" si="56"/>
        <v>3.7</v>
      </c>
      <c r="V45" s="1">
        <f t="shared" si="35"/>
        <v>2.2</v>
      </c>
      <c r="W45" s="272">
        <f t="shared" si="48"/>
        <v>10.3588004284184</v>
      </c>
      <c r="Y45" s="276"/>
      <c r="Z45" s="1">
        <v>2801</v>
      </c>
      <c r="AA45" s="274">
        <f t="shared" si="36"/>
        <v>0.3</v>
      </c>
      <c r="AB45" s="1">
        <v>0.8</v>
      </c>
      <c r="AC45" s="1">
        <f t="shared" si="57"/>
        <v>3.8</v>
      </c>
      <c r="AD45" s="1">
        <f t="shared" si="37"/>
        <v>2.3</v>
      </c>
      <c r="AE45" s="272">
        <f t="shared" si="49"/>
        <v>11.4908961085327</v>
      </c>
      <c r="AG45" s="276"/>
      <c r="AH45" s="1">
        <v>2801</v>
      </c>
      <c r="AI45" s="274">
        <f t="shared" si="38"/>
        <v>0.3</v>
      </c>
      <c r="AJ45" s="1">
        <v>0.8</v>
      </c>
      <c r="AK45" s="1">
        <f t="shared" si="58"/>
        <v>3.9</v>
      </c>
      <c r="AL45" s="1">
        <f t="shared" si="39"/>
        <v>2.4</v>
      </c>
      <c r="AM45" s="272">
        <f t="shared" si="50"/>
        <v>12.6229917886469</v>
      </c>
      <c r="AO45" s="276"/>
      <c r="AP45" s="1">
        <v>2801</v>
      </c>
      <c r="AQ45" s="274">
        <f t="shared" si="40"/>
        <v>0.3</v>
      </c>
      <c r="AR45" s="1">
        <v>0.8</v>
      </c>
      <c r="AS45" s="1">
        <f t="shared" si="51"/>
        <v>4</v>
      </c>
      <c r="AT45" s="1">
        <f t="shared" si="41"/>
        <v>2.5</v>
      </c>
      <c r="AU45" s="272">
        <f t="shared" si="52"/>
        <v>13.7550874687612</v>
      </c>
      <c r="AV45" s="1"/>
      <c r="AW45" s="276"/>
      <c r="AX45" s="1">
        <v>2801</v>
      </c>
      <c r="AY45" s="274">
        <f t="shared" si="42"/>
        <v>0.3</v>
      </c>
      <c r="AZ45" s="1">
        <v>0.8</v>
      </c>
      <c r="BA45" s="1">
        <f t="shared" si="59"/>
        <v>4.1</v>
      </c>
      <c r="BB45" s="1">
        <f t="shared" si="53"/>
        <v>2.6</v>
      </c>
      <c r="BC45" s="272">
        <f t="shared" si="54"/>
        <v>14.8871831488754</v>
      </c>
    </row>
    <row r="46" spans="1:55">
      <c r="I46" s="269"/>
      <c r="Q46" s="269"/>
      <c r="Y46" s="269"/>
      <c r="AG46" s="269"/>
      <c r="AO46" s="269"/>
      <c r="AW46" s="269"/>
    </row>
    <row r="47" s="266" customFormat="1" spans="1:55">
      <c r="B47" s="172" t="s">
        <v>91</v>
      </c>
      <c r="C47" s="172" t="s">
        <v>4</v>
      </c>
      <c r="D47" s="172"/>
      <c r="E47" s="172"/>
      <c r="F47" s="172"/>
      <c r="G47" s="172"/>
      <c r="H47" s="172"/>
      <c r="I47" s="172"/>
      <c r="J47" s="172" t="s">
        <v>91</v>
      </c>
      <c r="K47" s="172"/>
      <c r="L47" s="172" t="s">
        <v>4</v>
      </c>
      <c r="M47" s="172"/>
      <c r="N47" s="172"/>
      <c r="O47" s="172"/>
      <c r="P47" s="172"/>
      <c r="Q47" s="172"/>
      <c r="R47" s="172" t="s">
        <v>91</v>
      </c>
      <c r="S47" s="172"/>
      <c r="T47" s="172" t="s">
        <v>4</v>
      </c>
      <c r="U47" s="172"/>
      <c r="V47" s="172"/>
      <c r="W47" s="172"/>
      <c r="X47" s="172"/>
      <c r="Y47" s="172"/>
      <c r="Z47" s="172" t="s">
        <v>91</v>
      </c>
      <c r="AA47" s="172"/>
      <c r="AB47" s="172" t="s">
        <v>4</v>
      </c>
      <c r="AC47" s="172"/>
      <c r="AD47" s="172"/>
      <c r="AE47" s="172"/>
      <c r="AF47" s="172"/>
      <c r="AG47" s="172"/>
      <c r="AH47" s="172" t="s">
        <v>91</v>
      </c>
      <c r="AI47" s="172"/>
      <c r="AJ47" s="172" t="s">
        <v>4</v>
      </c>
      <c r="AK47" s="172"/>
      <c r="AL47" s="172"/>
      <c r="AM47" s="172"/>
      <c r="AN47" s="172"/>
      <c r="AO47" s="172"/>
      <c r="AP47" s="172" t="s">
        <v>91</v>
      </c>
      <c r="AQ47" s="172"/>
      <c r="AR47" s="172" t="s">
        <v>4</v>
      </c>
      <c r="AS47" s="172"/>
      <c r="AT47" s="274"/>
      <c r="AU47" s="274"/>
      <c r="AV47" s="274"/>
      <c r="AW47" s="172"/>
      <c r="AX47" s="172" t="s">
        <v>91</v>
      </c>
      <c r="AY47" s="172"/>
      <c r="AZ47" s="172" t="s">
        <v>4</v>
      </c>
      <c r="BA47" s="172"/>
      <c r="BB47" s="274"/>
    </row>
    <row r="48" s="266" customFormat="1" spans="1:55">
      <c r="B48" s="172" t="s">
        <v>92</v>
      </c>
      <c r="C48" s="172" t="s">
        <v>93</v>
      </c>
      <c r="D48" s="172"/>
      <c r="E48" s="172"/>
      <c r="F48" s="172"/>
      <c r="G48" s="172"/>
      <c r="H48" s="172"/>
      <c r="I48" s="172"/>
      <c r="J48" s="172" t="s">
        <v>92</v>
      </c>
      <c r="K48" s="172"/>
      <c r="L48" s="172" t="s">
        <v>94</v>
      </c>
      <c r="M48" s="172"/>
      <c r="N48" s="172"/>
      <c r="O48" s="172"/>
      <c r="P48" s="172"/>
      <c r="Q48" s="172"/>
      <c r="R48" s="172" t="s">
        <v>92</v>
      </c>
      <c r="S48" s="172"/>
      <c r="T48" s="172" t="s">
        <v>95</v>
      </c>
      <c r="U48" s="172"/>
      <c r="V48" s="172"/>
      <c r="W48" s="277">
        <v>13</v>
      </c>
      <c r="X48" s="172"/>
      <c r="Y48" s="172"/>
      <c r="Z48" s="172" t="s">
        <v>92</v>
      </c>
      <c r="AA48" s="172"/>
      <c r="AB48" s="172" t="s">
        <v>96</v>
      </c>
      <c r="AC48" s="172"/>
      <c r="AD48" s="172"/>
      <c r="AE48" s="172"/>
      <c r="AF48" s="172"/>
      <c r="AG48" s="172"/>
      <c r="AH48" s="172" t="s">
        <v>92</v>
      </c>
      <c r="AI48" s="172"/>
      <c r="AJ48" s="172" t="s">
        <v>97</v>
      </c>
      <c r="AK48" s="172"/>
      <c r="AL48" s="172"/>
      <c r="AM48" s="172"/>
      <c r="AN48" s="172"/>
      <c r="AO48" s="172"/>
      <c r="AP48" s="172" t="s">
        <v>92</v>
      </c>
      <c r="AQ48" s="172"/>
      <c r="AR48" s="172" t="s">
        <v>98</v>
      </c>
      <c r="AS48" s="172"/>
      <c r="AT48" s="274"/>
      <c r="AU48" s="274"/>
      <c r="AV48" s="274"/>
      <c r="AW48" s="172"/>
      <c r="AX48" s="172" t="s">
        <v>92</v>
      </c>
      <c r="AY48" s="172"/>
      <c r="AZ48" s="172" t="s">
        <v>99</v>
      </c>
      <c r="BA48" s="172"/>
      <c r="BB48" s="274"/>
    </row>
    <row r="49" s="266" customFormat="1" spans="1:58">
      <c r="B49" s="172" t="s">
        <v>100</v>
      </c>
      <c r="C49" s="172"/>
      <c r="D49" s="172">
        <v>5</v>
      </c>
      <c r="E49" s="172"/>
      <c r="F49" s="278"/>
      <c r="G49" s="278">
        <f>AVERAGE(G53:G68)</f>
        <v>13.4659698814059</v>
      </c>
      <c r="H49" s="278"/>
      <c r="I49" s="172"/>
      <c r="J49" s="172" t="s">
        <v>100</v>
      </c>
      <c r="K49" s="172"/>
      <c r="L49" s="172">
        <v>6</v>
      </c>
      <c r="M49" s="172"/>
      <c r="N49" s="278"/>
      <c r="O49" s="278">
        <f>AVERAGE(O53:O68)</f>
        <v>15.1737777251672</v>
      </c>
      <c r="P49" s="278"/>
      <c r="Q49" s="172"/>
      <c r="R49" s="172" t="s">
        <v>100</v>
      </c>
      <c r="S49" s="172"/>
      <c r="T49" s="172">
        <v>7</v>
      </c>
      <c r="U49" s="172"/>
      <c r="V49" s="278"/>
      <c r="W49" s="275">
        <f>AVERAGE(W53:W68)</f>
        <v>16.8344157576077</v>
      </c>
      <c r="X49" s="275">
        <f>AVERAGE(X53:X68)</f>
        <v>11.8888362797033</v>
      </c>
      <c r="Y49" s="172"/>
      <c r="Z49" s="172" t="s">
        <v>100</v>
      </c>
      <c r="AA49" s="172"/>
      <c r="AB49" s="172">
        <v>8</v>
      </c>
      <c r="AC49" s="172"/>
      <c r="AD49" s="278"/>
      <c r="AE49" s="275">
        <f>AVERAGE(AE53:AE68)</f>
        <v>18.4950537900482</v>
      </c>
      <c r="AF49" s="278"/>
      <c r="AG49" s="172"/>
      <c r="AH49" s="172" t="s">
        <v>100</v>
      </c>
      <c r="AI49" s="172"/>
      <c r="AJ49" s="172">
        <v>9</v>
      </c>
      <c r="AK49" s="172"/>
      <c r="AL49" s="278"/>
      <c r="AM49" s="275">
        <f>AVERAGE(AM53:AM68)</f>
        <v>20.1556918224887</v>
      </c>
      <c r="AN49" s="278"/>
      <c r="AO49" s="172"/>
      <c r="AP49" s="172" t="s">
        <v>100</v>
      </c>
      <c r="AQ49" s="172"/>
      <c r="AR49" s="172">
        <v>10</v>
      </c>
      <c r="AS49" s="172"/>
      <c r="AT49" s="279"/>
      <c r="AU49" s="275">
        <f>AVERAGE(AU53:AU68)</f>
        <v>21.8163298549292</v>
      </c>
      <c r="AV49" s="279"/>
      <c r="AW49" s="172"/>
      <c r="AX49" s="172" t="s">
        <v>100</v>
      </c>
      <c r="AY49" s="172"/>
      <c r="AZ49" s="172">
        <v>11</v>
      </c>
      <c r="BA49" s="172"/>
      <c r="BB49" s="279"/>
      <c r="BC49" s="275">
        <f>AVERAGE(BC53:BC68)</f>
        <v>23.4769678873697</v>
      </c>
      <c r="BE49" s="267">
        <f>AVERAGE(BC49,AU49,AM49,AE49,W49,O49,G49)</f>
        <v>18.4883152455738</v>
      </c>
      <c r="BF49" s="267">
        <f>BE49-AVERAGE(AZ49,AR49,AJ49,AB49,T49,L49,D49)</f>
        <v>10.4883152455738</v>
      </c>
    </row>
    <row r="50" s="266" customFormat="1" spans="1:58">
      <c r="B50" s="172" t="s">
        <v>101</v>
      </c>
      <c r="C50" s="172" t="s">
        <v>8</v>
      </c>
      <c r="D50" s="172" t="s">
        <v>102</v>
      </c>
      <c r="E50" s="172" t="s">
        <v>9</v>
      </c>
      <c r="F50" s="172" t="s">
        <v>103</v>
      </c>
      <c r="G50" s="172" t="s">
        <v>104</v>
      </c>
      <c r="H50" s="172" t="s">
        <v>105</v>
      </c>
      <c r="I50" s="172"/>
      <c r="J50" s="172" t="s">
        <v>101</v>
      </c>
      <c r="K50" s="172" t="s">
        <v>8</v>
      </c>
      <c r="L50" s="172" t="s">
        <v>102</v>
      </c>
      <c r="M50" s="172" t="s">
        <v>9</v>
      </c>
      <c r="N50" s="172" t="s">
        <v>103</v>
      </c>
      <c r="O50" s="172"/>
      <c r="P50" s="172"/>
      <c r="Q50" s="172"/>
      <c r="R50" s="172" t="s">
        <v>101</v>
      </c>
      <c r="S50" s="172" t="s">
        <v>8</v>
      </c>
      <c r="T50" s="172" t="s">
        <v>102</v>
      </c>
      <c r="U50" s="172" t="s">
        <v>9</v>
      </c>
      <c r="V50" s="172" t="s">
        <v>103</v>
      </c>
      <c r="W50" s="172" t="s">
        <v>104</v>
      </c>
      <c r="X50" s="172"/>
      <c r="Y50" s="172"/>
      <c r="Z50" s="172" t="s">
        <v>101</v>
      </c>
      <c r="AA50" s="172" t="s">
        <v>8</v>
      </c>
      <c r="AB50" s="172" t="s">
        <v>102</v>
      </c>
      <c r="AC50" s="172" t="s">
        <v>9</v>
      </c>
      <c r="AD50" s="172" t="s">
        <v>103</v>
      </c>
      <c r="AE50" s="172"/>
      <c r="AF50" s="172"/>
      <c r="AG50" s="172"/>
      <c r="AH50" s="172" t="s">
        <v>101</v>
      </c>
      <c r="AI50" s="172" t="s">
        <v>8</v>
      </c>
      <c r="AJ50" s="172" t="s">
        <v>102</v>
      </c>
      <c r="AK50" s="172" t="s">
        <v>9</v>
      </c>
      <c r="AL50" s="172" t="s">
        <v>103</v>
      </c>
      <c r="AM50" s="172"/>
      <c r="AN50" s="172"/>
      <c r="AO50" s="172"/>
      <c r="AP50" s="172" t="s">
        <v>101</v>
      </c>
      <c r="AQ50" s="172" t="s">
        <v>8</v>
      </c>
      <c r="AR50" s="172" t="s">
        <v>102</v>
      </c>
      <c r="AS50" s="172" t="s">
        <v>9</v>
      </c>
      <c r="AT50" s="274" t="s">
        <v>103</v>
      </c>
      <c r="AU50" s="274"/>
      <c r="AV50" s="274"/>
      <c r="AW50" s="172"/>
      <c r="AX50" s="172" t="s">
        <v>101</v>
      </c>
      <c r="AY50" s="172" t="s">
        <v>8</v>
      </c>
      <c r="AZ50" s="172" t="s">
        <v>102</v>
      </c>
      <c r="BA50" s="172" t="s">
        <v>9</v>
      </c>
      <c r="BB50" s="274" t="s">
        <v>103</v>
      </c>
    </row>
    <row r="51" s="266" customFormat="1" spans="1:58">
      <c r="B51" s="172">
        <v>0</v>
      </c>
      <c r="C51" s="274">
        <f>K51</f>
        <v>0</v>
      </c>
      <c r="D51" s="172">
        <v>0</v>
      </c>
      <c r="E51" s="1">
        <v>0</v>
      </c>
      <c r="F51" s="172">
        <v>0</v>
      </c>
      <c r="G51" s="275" t="e">
        <f>(C51*7200+E51*3100+F51*300+B51*$D$49)/B51</f>
        <v>#DIV/0!</v>
      </c>
      <c r="H51" s="172"/>
      <c r="I51" s="172"/>
      <c r="J51" s="172">
        <v>0</v>
      </c>
      <c r="K51" s="274">
        <f>S51</f>
        <v>0</v>
      </c>
      <c r="L51" s="172">
        <v>0</v>
      </c>
      <c r="M51" s="99">
        <v>0</v>
      </c>
      <c r="N51" s="172">
        <v>0</v>
      </c>
      <c r="O51" s="275" t="e">
        <f>(K51*7200+M51*3100+N51*300+J51*$L$49)/J51</f>
        <v>#DIV/0!</v>
      </c>
      <c r="P51" s="172"/>
      <c r="Q51" s="172"/>
      <c r="R51" s="172">
        <v>0</v>
      </c>
      <c r="S51" s="274">
        <v>0</v>
      </c>
      <c r="T51" s="99">
        <v>0</v>
      </c>
      <c r="U51" s="99">
        <v>0</v>
      </c>
      <c r="V51" s="172">
        <v>0</v>
      </c>
      <c r="W51" s="275"/>
      <c r="X51" s="172"/>
      <c r="Y51" s="172"/>
      <c r="Z51" s="172">
        <v>0</v>
      </c>
      <c r="AA51" s="274">
        <f>S51</f>
        <v>0</v>
      </c>
      <c r="AB51" s="274">
        <f>T51*1.02</f>
        <v>0</v>
      </c>
      <c r="AC51" s="1">
        <f>U51+0.1</f>
        <v>0.1</v>
      </c>
      <c r="AD51" s="172">
        <f>V51+0.1</f>
        <v>0.1</v>
      </c>
      <c r="AE51" s="275"/>
      <c r="AF51" s="172"/>
      <c r="AG51" s="172"/>
      <c r="AH51" s="172">
        <v>0</v>
      </c>
      <c r="AI51" s="274">
        <f>S51</f>
        <v>0</v>
      </c>
      <c r="AJ51" s="172">
        <v>0</v>
      </c>
      <c r="AK51" s="1">
        <f>AC51+0.1</f>
        <v>0.2</v>
      </c>
      <c r="AL51" s="172">
        <f>AD51+0.1</f>
        <v>0.2</v>
      </c>
      <c r="AM51" s="275" t="e">
        <f>(AI51*7200+AK51*3100+AL51*300+AH51*$AJ$49)/AH51</f>
        <v>#DIV/0!</v>
      </c>
      <c r="AN51" s="172"/>
      <c r="AO51" s="172"/>
      <c r="AP51" s="172">
        <v>0</v>
      </c>
      <c r="AQ51" s="274">
        <f>S51</f>
        <v>0</v>
      </c>
      <c r="AR51" s="172">
        <v>0</v>
      </c>
      <c r="AS51" s="1">
        <f>AK51+0.1</f>
        <v>0.3</v>
      </c>
      <c r="AT51" s="172">
        <f>AL51+0.1</f>
        <v>0.3</v>
      </c>
      <c r="AU51" s="275" t="e">
        <f>(AQ51*7200+AS51*3100+AT51*300+AP51*$AR$49)/AP51</f>
        <v>#DIV/0!</v>
      </c>
      <c r="AV51" s="172"/>
      <c r="AW51" s="172"/>
      <c r="AX51" s="172">
        <v>0</v>
      </c>
      <c r="AY51" s="274">
        <f>S51</f>
        <v>0</v>
      </c>
      <c r="AZ51" s="172">
        <v>0</v>
      </c>
      <c r="BA51" s="1">
        <f>AS51+0.1</f>
        <v>0.4</v>
      </c>
      <c r="BB51" s="172">
        <f>AT51+0.1</f>
        <v>0.4</v>
      </c>
      <c r="BC51" s="275" t="e">
        <f>(AY51*5900+BA51*3400+BB51*300+AX51*$AZ$49)/AX51</f>
        <v>#DIV/0!</v>
      </c>
    </row>
    <row r="52" s="266" customFormat="1" spans="1:58">
      <c r="A52" s="172" t="s">
        <v>106</v>
      </c>
      <c r="B52" s="172">
        <v>1</v>
      </c>
      <c r="C52" s="274">
        <v>0</v>
      </c>
      <c r="D52" s="172">
        <v>0.2</v>
      </c>
      <c r="E52" s="1">
        <v>0.5</v>
      </c>
      <c r="F52" s="172">
        <v>0.6</v>
      </c>
      <c r="G52" s="275">
        <f>(C52*5900+E52*3400+F52*300+$D$49*B52)/B52</f>
        <v>1885</v>
      </c>
      <c r="H52" s="172"/>
      <c r="I52" s="275"/>
      <c r="J52" s="172">
        <v>1</v>
      </c>
      <c r="K52" s="274">
        <f t="shared" ref="K52:M52" si="61">K53</f>
        <v>0</v>
      </c>
      <c r="L52" s="274">
        <f t="shared" si="61"/>
        <v>0.2</v>
      </c>
      <c r="M52" s="274">
        <f t="shared" si="61"/>
        <v>0.6</v>
      </c>
      <c r="N52" s="172">
        <v>0.7</v>
      </c>
      <c r="O52" s="275">
        <f>(K52*5900+M52*3400+N52*300+J52*$L$49)/J52</f>
        <v>2256</v>
      </c>
      <c r="P52" s="172"/>
      <c r="Q52" s="275"/>
      <c r="R52" s="172">
        <v>1</v>
      </c>
      <c r="S52" s="274">
        <f t="shared" ref="S52:U52" si="62">S53</f>
        <v>0</v>
      </c>
      <c r="T52" s="274">
        <f t="shared" si="62"/>
        <v>1</v>
      </c>
      <c r="U52" s="274">
        <f t="shared" si="62"/>
        <v>0.7</v>
      </c>
      <c r="V52" s="172">
        <v>0.8</v>
      </c>
      <c r="W52" s="275">
        <f>(S52*5900+U52*3400+V52*300+$T$49*R52)/R52</f>
        <v>2627</v>
      </c>
      <c r="X52" s="172"/>
      <c r="Y52" s="275"/>
      <c r="Z52" s="172">
        <v>1</v>
      </c>
      <c r="AA52" s="274">
        <f t="shared" ref="AA52:AA68" si="63">S52</f>
        <v>0</v>
      </c>
      <c r="AB52" s="274">
        <f t="shared" ref="AB52:AB68" si="64">T52*1.02</f>
        <v>1.02</v>
      </c>
      <c r="AC52" s="1">
        <f t="shared" ref="AC52:AC68" si="65">U52+0.1</f>
        <v>0.8</v>
      </c>
      <c r="AD52" s="172">
        <f t="shared" ref="AD52:AD68" si="66">V52+0.1</f>
        <v>0.9</v>
      </c>
      <c r="AE52" s="275">
        <f>(AA52*5900+AC52*3400+AD52*300+Z52*$AB$49)/Z52</f>
        <v>2998</v>
      </c>
      <c r="AF52" s="172"/>
      <c r="AG52" s="275"/>
      <c r="AH52" s="172">
        <v>1</v>
      </c>
      <c r="AI52" s="274">
        <f t="shared" ref="AI52:AI68" si="67">S52</f>
        <v>0</v>
      </c>
      <c r="AJ52" s="172">
        <v>1.222</v>
      </c>
      <c r="AK52" s="1">
        <v>0.9</v>
      </c>
      <c r="AL52" s="172">
        <v>1</v>
      </c>
      <c r="AM52" s="275">
        <f>(AI52*5900+AK52*3400+AL52*300+$AJ$49*AH52)/AH52</f>
        <v>3369</v>
      </c>
      <c r="AN52" s="172"/>
      <c r="AO52" s="275"/>
      <c r="AP52" s="172">
        <v>1</v>
      </c>
      <c r="AQ52" s="274">
        <f t="shared" ref="AQ52:AQ68" si="68">S52</f>
        <v>0</v>
      </c>
      <c r="AR52" s="172">
        <v>1.322</v>
      </c>
      <c r="AS52" s="1">
        <v>1</v>
      </c>
      <c r="AT52" s="172">
        <v>1.1</v>
      </c>
      <c r="AU52" s="275">
        <f>(AQ52*5900+AS52*3400+AT52*300+$AR$49*AP52)/AP52</f>
        <v>3740</v>
      </c>
      <c r="AV52" s="172"/>
      <c r="AW52" s="275"/>
      <c r="AX52" s="172">
        <v>1</v>
      </c>
      <c r="AY52" s="274">
        <f t="shared" ref="AY52:AY68" si="69">S52</f>
        <v>0</v>
      </c>
      <c r="AZ52" s="172">
        <v>1.322</v>
      </c>
      <c r="BA52" s="1">
        <v>1.1</v>
      </c>
      <c r="BB52" s="172">
        <v>1.2</v>
      </c>
      <c r="BC52" s="275">
        <f>(AY52*5900+BA52*3400+BB52*300+$AZ$49*AX52)/AX52</f>
        <v>4111</v>
      </c>
    </row>
    <row r="53" s="266" customFormat="1" spans="1:58">
      <c r="A53" s="172" t="s">
        <v>107</v>
      </c>
      <c r="B53" s="172">
        <v>101</v>
      </c>
      <c r="C53" s="274">
        <f t="shared" ref="C53:C68" si="70">K53</f>
        <v>0</v>
      </c>
      <c r="D53" s="172">
        <v>0.2</v>
      </c>
      <c r="E53" s="1">
        <f>U53-0.2</f>
        <v>0.5</v>
      </c>
      <c r="F53" s="172">
        <f>N53-0.1</f>
        <v>0.6</v>
      </c>
      <c r="G53" s="275">
        <f t="shared" ref="G53:G68" si="71">(C53*5900+E53*3400+F53*300+$D$49*B53)/B53</f>
        <v>23.6138613861386</v>
      </c>
      <c r="H53" s="172"/>
      <c r="I53" s="275"/>
      <c r="J53" s="172">
        <v>101</v>
      </c>
      <c r="K53" s="274">
        <f>S53</f>
        <v>0</v>
      </c>
      <c r="L53" s="172">
        <v>0.2</v>
      </c>
      <c r="M53" s="99">
        <f>U53-0.1</f>
        <v>0.6</v>
      </c>
      <c r="N53" s="172">
        <f>V53-0.1</f>
        <v>0.7</v>
      </c>
      <c r="O53" s="275">
        <f t="shared" ref="O53:O68" si="72">(K53*5900+M53*3400+N53*300+J53*$L$49)/J53</f>
        <v>28.2772277227723</v>
      </c>
      <c r="P53" s="172"/>
      <c r="Q53" s="275"/>
      <c r="R53" s="172">
        <v>101</v>
      </c>
      <c r="S53" s="274">
        <v>0</v>
      </c>
      <c r="T53" s="99">
        <v>1</v>
      </c>
      <c r="U53" s="99">
        <v>0.7</v>
      </c>
      <c r="V53" s="172">
        <v>0.8</v>
      </c>
      <c r="W53" s="275">
        <f t="shared" ref="W53:W68" si="73">(S53*5900+U53*3400+V53*300+$T$49*R53)/R53</f>
        <v>32.9405940594059</v>
      </c>
      <c r="X53" s="172">
        <f>(S53*5900+U53*3400+V53*1200)/R53</f>
        <v>33.0693069306931</v>
      </c>
      <c r="Y53" s="275"/>
      <c r="Z53" s="172">
        <v>101</v>
      </c>
      <c r="AA53" s="274">
        <f t="shared" si="63"/>
        <v>0</v>
      </c>
      <c r="AB53" s="274">
        <f t="shared" si="64"/>
        <v>1.02</v>
      </c>
      <c r="AC53" s="1">
        <f t="shared" si="65"/>
        <v>0.8</v>
      </c>
      <c r="AD53" s="172">
        <f t="shared" si="66"/>
        <v>0.9</v>
      </c>
      <c r="AE53" s="275">
        <f t="shared" ref="AE53:AE68" si="74">(AA53*5900+AC53*3400+AD53*300+Z53*$AB$49)/Z53</f>
        <v>37.6039603960396</v>
      </c>
      <c r="AF53" s="172"/>
      <c r="AG53" s="275"/>
      <c r="AH53" s="172">
        <v>101</v>
      </c>
      <c r="AI53" s="274">
        <f t="shared" si="67"/>
        <v>0</v>
      </c>
      <c r="AJ53" s="172">
        <f t="shared" ref="AJ53:AJ68" si="75">AB53+0.1</f>
        <v>1.12</v>
      </c>
      <c r="AK53" s="1">
        <f t="shared" ref="AK53:AK68" si="76">AC53+0.1</f>
        <v>0.9</v>
      </c>
      <c r="AL53" s="172">
        <f t="shared" ref="AL53:AL68" si="77">AD53+0.1</f>
        <v>1</v>
      </c>
      <c r="AM53" s="275">
        <f t="shared" ref="AM53:AM68" si="78">(AI53*5900+AK53*3400+AL53*300+$AJ$49*AH53)/AH53</f>
        <v>42.2673267326733</v>
      </c>
      <c r="AN53" s="172"/>
      <c r="AO53" s="275"/>
      <c r="AP53" s="172">
        <v>101</v>
      </c>
      <c r="AQ53" s="274">
        <f t="shared" si="68"/>
        <v>0</v>
      </c>
      <c r="AR53" s="172">
        <f t="shared" ref="AR53:AR68" si="79">AJ53+0.1</f>
        <v>1.22</v>
      </c>
      <c r="AS53" s="1">
        <f>AK53+0.1</f>
        <v>1</v>
      </c>
      <c r="AT53" s="172">
        <f t="shared" ref="AT53:AT68" si="80">AL53+0.1</f>
        <v>1.1</v>
      </c>
      <c r="AU53" s="275">
        <f t="shared" ref="AU53:AU68" si="81">(AQ53*5900+AS53*3400+AT53*300+$AR$49*AP53)/AP53</f>
        <v>46.9306930693069</v>
      </c>
      <c r="AV53" s="172"/>
      <c r="AW53" s="275"/>
      <c r="AX53" s="172">
        <v>101</v>
      </c>
      <c r="AY53" s="274">
        <f t="shared" si="69"/>
        <v>0</v>
      </c>
      <c r="AZ53" s="172">
        <f t="shared" ref="AZ53:AZ68" si="82">AR53</f>
        <v>1.22</v>
      </c>
      <c r="BA53" s="1">
        <f t="shared" ref="BA53:BA68" si="83">AS53+0.1</f>
        <v>1.1</v>
      </c>
      <c r="BB53" s="172">
        <f t="shared" ref="BB53:BB68" si="84">AT53+0.1</f>
        <v>1.2</v>
      </c>
      <c r="BC53" s="275">
        <f t="shared" ref="BC53:BC68" si="85">(AY53*5900+BA53*3400+BB53*300+$AZ$49*AX53)/AX53</f>
        <v>51.5940594059406</v>
      </c>
    </row>
    <row r="54" s="266" customFormat="1" spans="1:58">
      <c r="A54" s="172" t="s">
        <v>108</v>
      </c>
      <c r="B54" s="172">
        <v>201</v>
      </c>
      <c r="C54" s="274">
        <f t="shared" si="70"/>
        <v>0</v>
      </c>
      <c r="D54" s="172">
        <v>0.2</v>
      </c>
      <c r="E54" s="1">
        <f t="shared" ref="E54:E68" si="86">U54-0.2</f>
        <v>0.8</v>
      </c>
      <c r="F54" s="172">
        <f t="shared" ref="F54:F68" si="87">N54-0.1</f>
        <v>1</v>
      </c>
      <c r="G54" s="275">
        <f t="shared" si="71"/>
        <v>20.0248756218905</v>
      </c>
      <c r="H54" s="172"/>
      <c r="I54" s="275"/>
      <c r="J54" s="172">
        <v>201</v>
      </c>
      <c r="K54" s="274">
        <f t="shared" ref="K54:K68" si="88">S54</f>
        <v>0</v>
      </c>
      <c r="L54" s="172">
        <v>0.2</v>
      </c>
      <c r="M54" s="99">
        <f>U54-0.1</f>
        <v>0.9</v>
      </c>
      <c r="N54" s="172">
        <f t="shared" ref="N54:N68" si="89">V54-0.1</f>
        <v>1.1</v>
      </c>
      <c r="O54" s="275">
        <f t="shared" si="72"/>
        <v>22.865671641791</v>
      </c>
      <c r="P54" s="172"/>
      <c r="Q54" s="275"/>
      <c r="R54" s="172">
        <v>201</v>
      </c>
      <c r="S54" s="274">
        <v>0</v>
      </c>
      <c r="T54" s="99">
        <v>1.3</v>
      </c>
      <c r="U54" s="99">
        <v>1</v>
      </c>
      <c r="V54" s="172">
        <v>1.2</v>
      </c>
      <c r="W54" s="275">
        <f t="shared" si="73"/>
        <v>25.7064676616915</v>
      </c>
      <c r="X54" s="172">
        <f t="shared" ref="X54:X68" si="90">(S54*5900+U54*3400+V54*1200)/R54</f>
        <v>24.0796019900498</v>
      </c>
      <c r="Y54" s="275"/>
      <c r="Z54" s="172">
        <v>201</v>
      </c>
      <c r="AA54" s="274">
        <f t="shared" si="63"/>
        <v>0</v>
      </c>
      <c r="AB54" s="274">
        <f t="shared" si="64"/>
        <v>1.326</v>
      </c>
      <c r="AC54" s="1">
        <f t="shared" si="65"/>
        <v>1.1</v>
      </c>
      <c r="AD54" s="172">
        <f t="shared" si="66"/>
        <v>1.3</v>
      </c>
      <c r="AE54" s="275">
        <f t="shared" si="74"/>
        <v>28.547263681592</v>
      </c>
      <c r="AF54" s="172"/>
      <c r="AG54" s="275"/>
      <c r="AH54" s="172">
        <v>201</v>
      </c>
      <c r="AI54" s="274">
        <f t="shared" si="67"/>
        <v>0</v>
      </c>
      <c r="AJ54" s="172">
        <f t="shared" si="75"/>
        <v>1.426</v>
      </c>
      <c r="AK54" s="1">
        <f t="shared" si="76"/>
        <v>1.2</v>
      </c>
      <c r="AL54" s="172">
        <f t="shared" si="77"/>
        <v>1.4</v>
      </c>
      <c r="AM54" s="275">
        <f t="shared" si="78"/>
        <v>31.3880597014925</v>
      </c>
      <c r="AN54" s="172"/>
      <c r="AO54" s="275"/>
      <c r="AP54" s="172">
        <v>201</v>
      </c>
      <c r="AQ54" s="274">
        <f t="shared" si="68"/>
        <v>0</v>
      </c>
      <c r="AR54" s="172">
        <f t="shared" si="79"/>
        <v>1.526</v>
      </c>
      <c r="AS54" s="1">
        <f>AK54+0.1</f>
        <v>1.3</v>
      </c>
      <c r="AT54" s="172">
        <f t="shared" si="80"/>
        <v>1.5</v>
      </c>
      <c r="AU54" s="275">
        <f t="shared" si="81"/>
        <v>34.228855721393</v>
      </c>
      <c r="AV54" s="172"/>
      <c r="AW54" s="275"/>
      <c r="AX54" s="172">
        <v>201</v>
      </c>
      <c r="AY54" s="274">
        <f t="shared" si="69"/>
        <v>0</v>
      </c>
      <c r="AZ54" s="172">
        <f t="shared" si="82"/>
        <v>1.526</v>
      </c>
      <c r="BA54" s="1">
        <f t="shared" si="83"/>
        <v>1.4</v>
      </c>
      <c r="BB54" s="172">
        <f t="shared" si="84"/>
        <v>1.6</v>
      </c>
      <c r="BC54" s="275">
        <f t="shared" si="85"/>
        <v>37.0696517412935</v>
      </c>
    </row>
    <row r="55" s="266" customFormat="1" spans="1:58">
      <c r="A55" s="172" t="s">
        <v>109</v>
      </c>
      <c r="B55" s="172">
        <v>301</v>
      </c>
      <c r="C55" s="274">
        <f t="shared" si="70"/>
        <v>0</v>
      </c>
      <c r="D55" s="172">
        <v>0.2</v>
      </c>
      <c r="E55" s="1">
        <f t="shared" si="86"/>
        <v>1</v>
      </c>
      <c r="F55" s="172">
        <f t="shared" si="87"/>
        <v>1.1</v>
      </c>
      <c r="G55" s="275">
        <f t="shared" si="71"/>
        <v>17.3920265780731</v>
      </c>
      <c r="H55" s="172"/>
      <c r="I55" s="275"/>
      <c r="J55" s="172">
        <v>301</v>
      </c>
      <c r="K55" s="274">
        <f t="shared" si="88"/>
        <v>0</v>
      </c>
      <c r="L55" s="172">
        <v>0.2</v>
      </c>
      <c r="M55" s="99">
        <f t="shared" ref="M55:M68" si="91">U55-0.1</f>
        <v>1.1</v>
      </c>
      <c r="N55" s="172">
        <f t="shared" si="89"/>
        <v>1.2</v>
      </c>
      <c r="O55" s="275">
        <f t="shared" si="72"/>
        <v>19.6212624584718</v>
      </c>
      <c r="P55" s="172"/>
      <c r="Q55" s="275"/>
      <c r="R55" s="172">
        <v>301</v>
      </c>
      <c r="S55" s="274">
        <v>0</v>
      </c>
      <c r="T55" s="99">
        <v>1.5</v>
      </c>
      <c r="U55" s="99">
        <v>1.2</v>
      </c>
      <c r="V55" s="172">
        <v>1.3</v>
      </c>
      <c r="W55" s="275">
        <f t="shared" si="73"/>
        <v>21.8504983388704</v>
      </c>
      <c r="X55" s="172">
        <f t="shared" si="90"/>
        <v>18.7375415282392</v>
      </c>
      <c r="Y55" s="275"/>
      <c r="Z55" s="172">
        <v>301</v>
      </c>
      <c r="AA55" s="274">
        <f t="shared" si="63"/>
        <v>0</v>
      </c>
      <c r="AB55" s="274">
        <f t="shared" si="64"/>
        <v>1.53</v>
      </c>
      <c r="AC55" s="1">
        <f t="shared" si="65"/>
        <v>1.3</v>
      </c>
      <c r="AD55" s="172">
        <f t="shared" si="66"/>
        <v>1.4</v>
      </c>
      <c r="AE55" s="275">
        <f t="shared" si="74"/>
        <v>24.0797342192691</v>
      </c>
      <c r="AF55" s="172"/>
      <c r="AG55" s="275"/>
      <c r="AH55" s="172">
        <v>301</v>
      </c>
      <c r="AI55" s="274">
        <f t="shared" si="67"/>
        <v>0</v>
      </c>
      <c r="AJ55" s="172">
        <f t="shared" si="75"/>
        <v>1.63</v>
      </c>
      <c r="AK55" s="1">
        <f t="shared" si="76"/>
        <v>1.4</v>
      </c>
      <c r="AL55" s="172">
        <f t="shared" si="77"/>
        <v>1.5</v>
      </c>
      <c r="AM55" s="275">
        <f t="shared" si="78"/>
        <v>26.3089700996678</v>
      </c>
      <c r="AN55" s="172"/>
      <c r="AO55" s="275"/>
      <c r="AP55" s="172">
        <v>301</v>
      </c>
      <c r="AQ55" s="274">
        <f t="shared" si="68"/>
        <v>0</v>
      </c>
      <c r="AR55" s="172">
        <f t="shared" si="79"/>
        <v>1.73</v>
      </c>
      <c r="AS55" s="1">
        <f t="shared" ref="AS55:AS68" si="92">AK55+0.1</f>
        <v>1.5</v>
      </c>
      <c r="AT55" s="172">
        <f t="shared" si="80"/>
        <v>1.6</v>
      </c>
      <c r="AU55" s="275">
        <f t="shared" si="81"/>
        <v>28.5382059800664</v>
      </c>
      <c r="AV55" s="172"/>
      <c r="AW55" s="275"/>
      <c r="AX55" s="172">
        <v>301</v>
      </c>
      <c r="AY55" s="274">
        <f t="shared" si="69"/>
        <v>0</v>
      </c>
      <c r="AZ55" s="172">
        <f t="shared" si="82"/>
        <v>1.73</v>
      </c>
      <c r="BA55" s="1">
        <f t="shared" si="83"/>
        <v>1.6</v>
      </c>
      <c r="BB55" s="172">
        <f t="shared" si="84"/>
        <v>1.7</v>
      </c>
      <c r="BC55" s="275">
        <f t="shared" si="85"/>
        <v>30.7674418604651</v>
      </c>
    </row>
    <row r="56" s="266" customFormat="1" spans="1:58">
      <c r="A56" s="172" t="s">
        <v>110</v>
      </c>
      <c r="B56" s="172">
        <v>501</v>
      </c>
      <c r="C56" s="274">
        <f t="shared" si="70"/>
        <v>0.1</v>
      </c>
      <c r="D56" s="172">
        <v>0.3</v>
      </c>
      <c r="E56" s="1">
        <f t="shared" si="86"/>
        <v>1.3</v>
      </c>
      <c r="F56" s="172">
        <f t="shared" si="87"/>
        <v>1.2</v>
      </c>
      <c r="G56" s="275">
        <f t="shared" si="71"/>
        <v>15.7185628742515</v>
      </c>
      <c r="H56" s="172"/>
      <c r="I56" s="275"/>
      <c r="J56" s="172">
        <v>501</v>
      </c>
      <c r="K56" s="274">
        <f t="shared" si="88"/>
        <v>0.1</v>
      </c>
      <c r="L56" s="172">
        <v>0.3</v>
      </c>
      <c r="M56" s="99">
        <f t="shared" si="91"/>
        <v>1.4</v>
      </c>
      <c r="N56" s="172">
        <f t="shared" si="89"/>
        <v>1.3</v>
      </c>
      <c r="O56" s="275">
        <f t="shared" si="72"/>
        <v>17.4570858283433</v>
      </c>
      <c r="P56" s="172"/>
      <c r="Q56" s="275"/>
      <c r="R56" s="172">
        <v>501</v>
      </c>
      <c r="S56" s="274">
        <v>0.1</v>
      </c>
      <c r="T56" s="99">
        <v>1.8</v>
      </c>
      <c r="U56" s="99">
        <v>1.5</v>
      </c>
      <c r="V56" s="172">
        <v>1.4</v>
      </c>
      <c r="W56" s="275">
        <f t="shared" si="73"/>
        <v>19.1956087824351</v>
      </c>
      <c r="X56" s="172">
        <f t="shared" si="90"/>
        <v>14.7105788423154</v>
      </c>
      <c r="Y56" s="275"/>
      <c r="Z56" s="172">
        <v>501</v>
      </c>
      <c r="AA56" s="274">
        <f t="shared" si="63"/>
        <v>0.1</v>
      </c>
      <c r="AB56" s="274">
        <f t="shared" si="64"/>
        <v>1.836</v>
      </c>
      <c r="AC56" s="1">
        <f t="shared" si="65"/>
        <v>1.6</v>
      </c>
      <c r="AD56" s="172">
        <f t="shared" si="66"/>
        <v>1.5</v>
      </c>
      <c r="AE56" s="275">
        <f t="shared" si="74"/>
        <v>20.9341317365269</v>
      </c>
      <c r="AF56" s="172"/>
      <c r="AG56" s="275"/>
      <c r="AH56" s="172">
        <v>501</v>
      </c>
      <c r="AI56" s="274">
        <f t="shared" si="67"/>
        <v>0.1</v>
      </c>
      <c r="AJ56" s="172">
        <f t="shared" si="75"/>
        <v>1.936</v>
      </c>
      <c r="AK56" s="1">
        <f t="shared" si="76"/>
        <v>1.7</v>
      </c>
      <c r="AL56" s="172">
        <f t="shared" si="77"/>
        <v>1.6</v>
      </c>
      <c r="AM56" s="275">
        <f t="shared" si="78"/>
        <v>22.6726546906188</v>
      </c>
      <c r="AN56" s="172"/>
      <c r="AO56" s="275"/>
      <c r="AP56" s="172">
        <v>501</v>
      </c>
      <c r="AQ56" s="274">
        <f t="shared" si="68"/>
        <v>0.1</v>
      </c>
      <c r="AR56" s="172">
        <f t="shared" si="79"/>
        <v>2.036</v>
      </c>
      <c r="AS56" s="1">
        <f t="shared" si="92"/>
        <v>1.8</v>
      </c>
      <c r="AT56" s="172">
        <f t="shared" si="80"/>
        <v>1.7</v>
      </c>
      <c r="AU56" s="275">
        <f t="shared" si="81"/>
        <v>24.4111776447106</v>
      </c>
      <c r="AV56" s="172"/>
      <c r="AW56" s="275"/>
      <c r="AX56" s="172">
        <v>501</v>
      </c>
      <c r="AY56" s="274">
        <f t="shared" si="69"/>
        <v>0.1</v>
      </c>
      <c r="AZ56" s="172">
        <f t="shared" si="82"/>
        <v>2.036</v>
      </c>
      <c r="BA56" s="1">
        <f t="shared" si="83"/>
        <v>1.9</v>
      </c>
      <c r="BB56" s="172">
        <f t="shared" si="84"/>
        <v>1.8</v>
      </c>
      <c r="BC56" s="275">
        <f t="shared" si="85"/>
        <v>26.1497005988024</v>
      </c>
    </row>
    <row r="57" s="266" customFormat="1" spans="1:58">
      <c r="A57" s="172" t="s">
        <v>111</v>
      </c>
      <c r="B57" s="172">
        <v>701</v>
      </c>
      <c r="C57" s="274">
        <f t="shared" si="70"/>
        <v>0.1</v>
      </c>
      <c r="D57" s="172">
        <v>0.3</v>
      </c>
      <c r="E57" s="1">
        <f t="shared" si="86"/>
        <v>1.5</v>
      </c>
      <c r="F57" s="172">
        <f t="shared" si="87"/>
        <v>1.3</v>
      </c>
      <c r="G57" s="275">
        <f t="shared" si="71"/>
        <v>13.6733238231098</v>
      </c>
      <c r="H57" s="172"/>
      <c r="I57" s="275"/>
      <c r="J57" s="172">
        <v>701</v>
      </c>
      <c r="K57" s="274">
        <f t="shared" si="88"/>
        <v>0.1</v>
      </c>
      <c r="L57" s="172">
        <v>0.3</v>
      </c>
      <c r="M57" s="99">
        <f t="shared" si="91"/>
        <v>1.6</v>
      </c>
      <c r="N57" s="172">
        <f t="shared" si="89"/>
        <v>1.4</v>
      </c>
      <c r="O57" s="275">
        <f t="shared" si="72"/>
        <v>15.2011412268188</v>
      </c>
      <c r="P57" s="172"/>
      <c r="Q57" s="275"/>
      <c r="R57" s="172">
        <v>701</v>
      </c>
      <c r="S57" s="274">
        <v>0.1</v>
      </c>
      <c r="T57" s="99">
        <v>2</v>
      </c>
      <c r="U57" s="99">
        <v>1.7</v>
      </c>
      <c r="V57" s="172">
        <v>1.5</v>
      </c>
      <c r="W57" s="275">
        <f t="shared" si="73"/>
        <v>16.7289586305278</v>
      </c>
      <c r="X57" s="172">
        <f t="shared" si="90"/>
        <v>11.6547788873039</v>
      </c>
      <c r="Y57" s="275"/>
      <c r="Z57" s="172">
        <v>701</v>
      </c>
      <c r="AA57" s="274">
        <f t="shared" si="63"/>
        <v>0.1</v>
      </c>
      <c r="AB57" s="274">
        <f t="shared" si="64"/>
        <v>2.04</v>
      </c>
      <c r="AC57" s="1">
        <f t="shared" si="65"/>
        <v>1.8</v>
      </c>
      <c r="AD57" s="172">
        <f t="shared" si="66"/>
        <v>1.6</v>
      </c>
      <c r="AE57" s="275">
        <f t="shared" si="74"/>
        <v>18.2567760342368</v>
      </c>
      <c r="AF57" s="172"/>
      <c r="AG57" s="275"/>
      <c r="AH57" s="172">
        <v>701</v>
      </c>
      <c r="AI57" s="274">
        <f t="shared" si="67"/>
        <v>0.1</v>
      </c>
      <c r="AJ57" s="172">
        <f t="shared" si="75"/>
        <v>2.14</v>
      </c>
      <c r="AK57" s="1">
        <f t="shared" si="76"/>
        <v>1.9</v>
      </c>
      <c r="AL57" s="172">
        <f t="shared" si="77"/>
        <v>1.7</v>
      </c>
      <c r="AM57" s="275">
        <f t="shared" si="78"/>
        <v>19.7845934379458</v>
      </c>
      <c r="AN57" s="172"/>
      <c r="AO57" s="275"/>
      <c r="AP57" s="172">
        <v>701</v>
      </c>
      <c r="AQ57" s="274">
        <f t="shared" si="68"/>
        <v>0.1</v>
      </c>
      <c r="AR57" s="172">
        <f t="shared" si="79"/>
        <v>2.24</v>
      </c>
      <c r="AS57" s="1">
        <f t="shared" si="92"/>
        <v>2</v>
      </c>
      <c r="AT57" s="172">
        <f t="shared" si="80"/>
        <v>1.8</v>
      </c>
      <c r="AU57" s="275">
        <f t="shared" si="81"/>
        <v>21.3124108416548</v>
      </c>
      <c r="AV57" s="172"/>
      <c r="AW57" s="275"/>
      <c r="AX57" s="172">
        <v>701</v>
      </c>
      <c r="AY57" s="274">
        <f t="shared" si="69"/>
        <v>0.1</v>
      </c>
      <c r="AZ57" s="172">
        <f t="shared" si="82"/>
        <v>2.24</v>
      </c>
      <c r="BA57" s="1">
        <f t="shared" si="83"/>
        <v>2.1</v>
      </c>
      <c r="BB57" s="172">
        <f t="shared" si="84"/>
        <v>1.9</v>
      </c>
      <c r="BC57" s="275">
        <f t="shared" si="85"/>
        <v>22.8402282453638</v>
      </c>
    </row>
    <row r="58" s="266" customFormat="1" spans="1:58">
      <c r="A58" s="172" t="s">
        <v>112</v>
      </c>
      <c r="B58" s="172">
        <v>901</v>
      </c>
      <c r="C58" s="274">
        <f t="shared" si="70"/>
        <v>0.1</v>
      </c>
      <c r="D58" s="172">
        <v>0.4</v>
      </c>
      <c r="E58" s="99">
        <v>1.8</v>
      </c>
      <c r="F58" s="172">
        <f t="shared" si="87"/>
        <v>1.3</v>
      </c>
      <c r="G58" s="275">
        <f t="shared" si="71"/>
        <v>12.8801331853496</v>
      </c>
      <c r="H58" s="172"/>
      <c r="I58" s="275"/>
      <c r="J58" s="172">
        <v>901</v>
      </c>
      <c r="K58" s="274">
        <f t="shared" si="88"/>
        <v>0.1</v>
      </c>
      <c r="L58" s="172">
        <v>0.4</v>
      </c>
      <c r="M58" s="99">
        <v>2.1</v>
      </c>
      <c r="N58" s="172">
        <f t="shared" si="89"/>
        <v>1.4</v>
      </c>
      <c r="O58" s="275">
        <f t="shared" si="72"/>
        <v>15.0455049944506</v>
      </c>
      <c r="P58" s="172"/>
      <c r="Q58" s="275"/>
      <c r="R58" s="172">
        <v>901</v>
      </c>
      <c r="S58" s="274">
        <v>0.1</v>
      </c>
      <c r="T58" s="99">
        <v>2.1</v>
      </c>
      <c r="U58" s="99">
        <v>2.2</v>
      </c>
      <c r="V58" s="172">
        <v>1.5</v>
      </c>
      <c r="W58" s="275">
        <f t="shared" si="73"/>
        <v>16.4561598224195</v>
      </c>
      <c r="X58" s="172">
        <f t="shared" si="90"/>
        <v>10.9544950055494</v>
      </c>
      <c r="Y58" s="275"/>
      <c r="Z58" s="172">
        <v>901</v>
      </c>
      <c r="AA58" s="274">
        <f t="shared" si="63"/>
        <v>0.1</v>
      </c>
      <c r="AB58" s="274">
        <f t="shared" si="64"/>
        <v>2.142</v>
      </c>
      <c r="AC58" s="1">
        <f t="shared" si="65"/>
        <v>2.3</v>
      </c>
      <c r="AD58" s="172">
        <f t="shared" si="66"/>
        <v>1.6</v>
      </c>
      <c r="AE58" s="275">
        <f t="shared" si="74"/>
        <v>17.8668146503885</v>
      </c>
      <c r="AF58" s="172"/>
      <c r="AG58" s="275"/>
      <c r="AH58" s="172">
        <v>901</v>
      </c>
      <c r="AI58" s="274">
        <f t="shared" si="67"/>
        <v>0.1</v>
      </c>
      <c r="AJ58" s="172">
        <f t="shared" si="75"/>
        <v>2.242</v>
      </c>
      <c r="AK58" s="1">
        <f t="shared" si="76"/>
        <v>2.4</v>
      </c>
      <c r="AL58" s="172">
        <f t="shared" si="77"/>
        <v>1.7</v>
      </c>
      <c r="AM58" s="275">
        <f t="shared" si="78"/>
        <v>19.2774694783574</v>
      </c>
      <c r="AN58" s="172"/>
      <c r="AO58" s="275"/>
      <c r="AP58" s="172">
        <v>901</v>
      </c>
      <c r="AQ58" s="274">
        <f t="shared" si="68"/>
        <v>0.1</v>
      </c>
      <c r="AR58" s="172">
        <f t="shared" si="79"/>
        <v>2.342</v>
      </c>
      <c r="AS58" s="1">
        <f t="shared" si="92"/>
        <v>2.5</v>
      </c>
      <c r="AT58" s="172">
        <f t="shared" si="80"/>
        <v>1.8</v>
      </c>
      <c r="AU58" s="275">
        <f t="shared" si="81"/>
        <v>20.6881243063263</v>
      </c>
      <c r="AV58" s="172"/>
      <c r="AW58" s="275"/>
      <c r="AX58" s="172">
        <v>901</v>
      </c>
      <c r="AY58" s="274">
        <f t="shared" si="69"/>
        <v>0.1</v>
      </c>
      <c r="AZ58" s="172">
        <f t="shared" si="82"/>
        <v>2.342</v>
      </c>
      <c r="BA58" s="1">
        <f t="shared" si="83"/>
        <v>2.6</v>
      </c>
      <c r="BB58" s="172">
        <f t="shared" si="84"/>
        <v>1.9</v>
      </c>
      <c r="BC58" s="275">
        <f t="shared" si="85"/>
        <v>22.0987791342952</v>
      </c>
    </row>
    <row r="59" s="266" customFormat="1" spans="1:58">
      <c r="A59" s="172" t="s">
        <v>113</v>
      </c>
      <c r="B59" s="172">
        <v>1001</v>
      </c>
      <c r="C59" s="274">
        <f t="shared" si="70"/>
        <v>0.2</v>
      </c>
      <c r="D59" s="172">
        <v>0.4</v>
      </c>
      <c r="E59" s="99">
        <v>2</v>
      </c>
      <c r="F59" s="172">
        <f t="shared" si="87"/>
        <v>1.5</v>
      </c>
      <c r="G59" s="275">
        <f t="shared" si="71"/>
        <v>13.4215784215784</v>
      </c>
      <c r="H59" s="172"/>
      <c r="I59" s="275"/>
      <c r="J59" s="172">
        <v>1001</v>
      </c>
      <c r="K59" s="274">
        <f t="shared" si="88"/>
        <v>0.2</v>
      </c>
      <c r="L59" s="172">
        <v>0.4</v>
      </c>
      <c r="M59" s="99">
        <f t="shared" si="91"/>
        <v>2.1</v>
      </c>
      <c r="N59" s="172">
        <f t="shared" si="89"/>
        <v>1.6</v>
      </c>
      <c r="O59" s="275">
        <f t="shared" si="72"/>
        <v>14.7912087912088</v>
      </c>
      <c r="P59" s="172"/>
      <c r="Q59" s="275"/>
      <c r="R59" s="172">
        <v>1001</v>
      </c>
      <c r="S59" s="274">
        <v>0.2</v>
      </c>
      <c r="T59" s="99">
        <v>2.3</v>
      </c>
      <c r="U59" s="99">
        <v>2.2</v>
      </c>
      <c r="V59" s="172">
        <v>1.7</v>
      </c>
      <c r="W59" s="275">
        <f t="shared" si="73"/>
        <v>16.1608391608392</v>
      </c>
      <c r="X59" s="172">
        <f t="shared" si="90"/>
        <v>10.6893106893107</v>
      </c>
      <c r="Y59" s="275"/>
      <c r="Z59" s="172">
        <v>1001</v>
      </c>
      <c r="AA59" s="274">
        <f t="shared" si="63"/>
        <v>0.2</v>
      </c>
      <c r="AB59" s="274">
        <f t="shared" si="64"/>
        <v>2.346</v>
      </c>
      <c r="AC59" s="1">
        <f t="shared" si="65"/>
        <v>2.3</v>
      </c>
      <c r="AD59" s="172">
        <f t="shared" si="66"/>
        <v>1.8</v>
      </c>
      <c r="AE59" s="275">
        <f t="shared" si="74"/>
        <v>17.5304695304695</v>
      </c>
      <c r="AF59" s="172"/>
      <c r="AG59" s="275"/>
      <c r="AH59" s="172">
        <v>1001</v>
      </c>
      <c r="AI59" s="274">
        <f t="shared" si="67"/>
        <v>0.2</v>
      </c>
      <c r="AJ59" s="172">
        <f t="shared" si="75"/>
        <v>2.446</v>
      </c>
      <c r="AK59" s="1">
        <f t="shared" si="76"/>
        <v>2.4</v>
      </c>
      <c r="AL59" s="172">
        <f t="shared" si="77"/>
        <v>1.9</v>
      </c>
      <c r="AM59" s="275">
        <f t="shared" si="78"/>
        <v>18.9000999000999</v>
      </c>
      <c r="AN59" s="172"/>
      <c r="AO59" s="275"/>
      <c r="AP59" s="172">
        <v>1001</v>
      </c>
      <c r="AQ59" s="274">
        <f t="shared" si="68"/>
        <v>0.2</v>
      </c>
      <c r="AR59" s="172">
        <f t="shared" si="79"/>
        <v>2.546</v>
      </c>
      <c r="AS59" s="1">
        <f t="shared" si="92"/>
        <v>2.5</v>
      </c>
      <c r="AT59" s="172">
        <f t="shared" si="80"/>
        <v>2</v>
      </c>
      <c r="AU59" s="275">
        <f t="shared" si="81"/>
        <v>20.2697302697303</v>
      </c>
      <c r="AV59" s="172"/>
      <c r="AW59" s="275"/>
      <c r="AX59" s="172">
        <v>1001</v>
      </c>
      <c r="AY59" s="274">
        <f t="shared" si="69"/>
        <v>0.2</v>
      </c>
      <c r="AZ59" s="172">
        <f t="shared" si="82"/>
        <v>2.546</v>
      </c>
      <c r="BA59" s="1">
        <f t="shared" si="83"/>
        <v>2.6</v>
      </c>
      <c r="BB59" s="172">
        <f t="shared" si="84"/>
        <v>2.1</v>
      </c>
      <c r="BC59" s="275">
        <f t="shared" si="85"/>
        <v>21.6393606393606</v>
      </c>
    </row>
    <row r="60" s="266" customFormat="1" spans="1:58">
      <c r="A60" s="172" t="s">
        <v>114</v>
      </c>
      <c r="B60" s="172">
        <v>1201</v>
      </c>
      <c r="C60" s="274">
        <f t="shared" si="70"/>
        <v>0.2</v>
      </c>
      <c r="D60" s="172">
        <v>0.5</v>
      </c>
      <c r="E60" s="1">
        <f t="shared" si="86"/>
        <v>2.1</v>
      </c>
      <c r="F60" s="172">
        <f t="shared" si="87"/>
        <v>1.7</v>
      </c>
      <c r="G60" s="275">
        <f t="shared" si="71"/>
        <v>12.3522064945878</v>
      </c>
      <c r="H60" s="172"/>
      <c r="I60" s="275"/>
      <c r="J60" s="172">
        <v>1201</v>
      </c>
      <c r="K60" s="274">
        <f t="shared" si="88"/>
        <v>0.2</v>
      </c>
      <c r="L60" s="172">
        <v>0.5</v>
      </c>
      <c r="M60" s="99">
        <f t="shared" si="91"/>
        <v>2.2</v>
      </c>
      <c r="N60" s="172">
        <f t="shared" si="89"/>
        <v>1.8</v>
      </c>
      <c r="O60" s="275">
        <f t="shared" si="72"/>
        <v>13.6602830974188</v>
      </c>
      <c r="P60" s="172"/>
      <c r="Q60" s="275"/>
      <c r="R60" s="172">
        <v>1201</v>
      </c>
      <c r="S60" s="274">
        <v>0.2</v>
      </c>
      <c r="T60" s="99">
        <v>2.4</v>
      </c>
      <c r="U60" s="99">
        <v>2.3</v>
      </c>
      <c r="V60" s="172">
        <v>1.9</v>
      </c>
      <c r="W60" s="275">
        <f t="shared" si="73"/>
        <v>14.9683597002498</v>
      </c>
      <c r="X60" s="172">
        <f t="shared" si="90"/>
        <v>9.39217318900916</v>
      </c>
      <c r="Y60" s="275"/>
      <c r="Z60" s="172">
        <v>1201</v>
      </c>
      <c r="AA60" s="274">
        <f t="shared" si="63"/>
        <v>0.2</v>
      </c>
      <c r="AB60" s="274">
        <f t="shared" si="64"/>
        <v>2.448</v>
      </c>
      <c r="AC60" s="1">
        <f t="shared" si="65"/>
        <v>2.4</v>
      </c>
      <c r="AD60" s="172">
        <f t="shared" si="66"/>
        <v>2</v>
      </c>
      <c r="AE60" s="275">
        <f t="shared" si="74"/>
        <v>16.2764363030808</v>
      </c>
      <c r="AF60" s="172"/>
      <c r="AG60" s="275"/>
      <c r="AH60" s="172">
        <v>1201</v>
      </c>
      <c r="AI60" s="274">
        <f t="shared" si="67"/>
        <v>0.2</v>
      </c>
      <c r="AJ60" s="172">
        <f t="shared" si="75"/>
        <v>2.548</v>
      </c>
      <c r="AK60" s="1">
        <f t="shared" si="76"/>
        <v>2.5</v>
      </c>
      <c r="AL60" s="172">
        <f t="shared" si="77"/>
        <v>2.1</v>
      </c>
      <c r="AM60" s="275">
        <f t="shared" si="78"/>
        <v>17.5845129059117</v>
      </c>
      <c r="AN60" s="172"/>
      <c r="AO60" s="275"/>
      <c r="AP60" s="172">
        <v>1201</v>
      </c>
      <c r="AQ60" s="274">
        <f t="shared" si="68"/>
        <v>0.2</v>
      </c>
      <c r="AR60" s="172">
        <f t="shared" si="79"/>
        <v>2.648</v>
      </c>
      <c r="AS60" s="1">
        <f t="shared" si="92"/>
        <v>2.6</v>
      </c>
      <c r="AT60" s="172">
        <f t="shared" si="80"/>
        <v>2.2</v>
      </c>
      <c r="AU60" s="275">
        <f t="shared" si="81"/>
        <v>18.8925895087427</v>
      </c>
      <c r="AV60" s="172"/>
      <c r="AW60" s="275"/>
      <c r="AX60" s="172">
        <v>1201</v>
      </c>
      <c r="AY60" s="274">
        <f t="shared" si="69"/>
        <v>0.2</v>
      </c>
      <c r="AZ60" s="172">
        <f t="shared" si="82"/>
        <v>2.648</v>
      </c>
      <c r="BA60" s="1">
        <f t="shared" si="83"/>
        <v>2.7</v>
      </c>
      <c r="BB60" s="172">
        <f t="shared" si="84"/>
        <v>2.3</v>
      </c>
      <c r="BC60" s="275">
        <f t="shared" si="85"/>
        <v>20.2006661115737</v>
      </c>
    </row>
    <row r="61" s="266" customFormat="1" spans="1:58">
      <c r="A61" s="172" t="s">
        <v>115</v>
      </c>
      <c r="B61" s="172">
        <v>1401</v>
      </c>
      <c r="C61" s="274">
        <f t="shared" si="70"/>
        <v>0.2</v>
      </c>
      <c r="D61" s="172">
        <v>0.5</v>
      </c>
      <c r="E61" s="1">
        <f t="shared" si="86"/>
        <v>2.2</v>
      </c>
      <c r="F61" s="172">
        <f t="shared" si="87"/>
        <v>1.8</v>
      </c>
      <c r="G61" s="275">
        <f t="shared" si="71"/>
        <v>11.5667380442541</v>
      </c>
      <c r="H61" s="172"/>
      <c r="I61" s="275"/>
      <c r="J61" s="172">
        <v>1401</v>
      </c>
      <c r="K61" s="274">
        <f t="shared" si="88"/>
        <v>0.2</v>
      </c>
      <c r="L61" s="172">
        <v>0.5</v>
      </c>
      <c r="M61" s="99">
        <f t="shared" si="91"/>
        <v>2.3</v>
      </c>
      <c r="N61" s="172">
        <f t="shared" si="89"/>
        <v>1.9</v>
      </c>
      <c r="O61" s="275">
        <f t="shared" si="72"/>
        <v>12.830835117773</v>
      </c>
      <c r="P61" s="172"/>
      <c r="Q61" s="275"/>
      <c r="R61" s="172">
        <v>1401</v>
      </c>
      <c r="S61" s="274">
        <v>0.2</v>
      </c>
      <c r="T61" s="99">
        <v>3</v>
      </c>
      <c r="U61" s="99">
        <v>2.4</v>
      </c>
      <c r="V61" s="172">
        <v>2</v>
      </c>
      <c r="W61" s="275">
        <f t="shared" si="73"/>
        <v>14.0949321912919</v>
      </c>
      <c r="X61" s="172">
        <f t="shared" si="90"/>
        <v>8.37972876516774</v>
      </c>
      <c r="Y61" s="275"/>
      <c r="Z61" s="172">
        <v>1401</v>
      </c>
      <c r="AA61" s="274">
        <f t="shared" si="63"/>
        <v>0.2</v>
      </c>
      <c r="AB61" s="274">
        <f t="shared" si="64"/>
        <v>3.06</v>
      </c>
      <c r="AC61" s="1">
        <f t="shared" si="65"/>
        <v>2.5</v>
      </c>
      <c r="AD61" s="172">
        <f t="shared" si="66"/>
        <v>2.1</v>
      </c>
      <c r="AE61" s="275">
        <f t="shared" si="74"/>
        <v>15.3590292648109</v>
      </c>
      <c r="AF61" s="172"/>
      <c r="AG61" s="275"/>
      <c r="AH61" s="172">
        <v>1401</v>
      </c>
      <c r="AI61" s="274">
        <f t="shared" si="67"/>
        <v>0.2</v>
      </c>
      <c r="AJ61" s="172">
        <f t="shared" si="75"/>
        <v>3.16</v>
      </c>
      <c r="AK61" s="1">
        <f t="shared" si="76"/>
        <v>2.6</v>
      </c>
      <c r="AL61" s="172">
        <f t="shared" si="77"/>
        <v>2.2</v>
      </c>
      <c r="AM61" s="275">
        <f t="shared" si="78"/>
        <v>16.6231263383298</v>
      </c>
      <c r="AN61" s="172"/>
      <c r="AO61" s="275"/>
      <c r="AP61" s="172">
        <v>1401</v>
      </c>
      <c r="AQ61" s="274">
        <f t="shared" si="68"/>
        <v>0.2</v>
      </c>
      <c r="AR61" s="172">
        <f t="shared" si="79"/>
        <v>3.26</v>
      </c>
      <c r="AS61" s="1">
        <f t="shared" si="92"/>
        <v>2.7</v>
      </c>
      <c r="AT61" s="172">
        <f t="shared" si="80"/>
        <v>2.3</v>
      </c>
      <c r="AU61" s="275">
        <f t="shared" si="81"/>
        <v>17.8872234118487</v>
      </c>
      <c r="AV61" s="172"/>
      <c r="AW61" s="275"/>
      <c r="AX61" s="172">
        <v>1401</v>
      </c>
      <c r="AY61" s="274">
        <f t="shared" si="69"/>
        <v>0.2</v>
      </c>
      <c r="AZ61" s="172">
        <f t="shared" si="82"/>
        <v>3.26</v>
      </c>
      <c r="BA61" s="1">
        <f t="shared" si="83"/>
        <v>2.8</v>
      </c>
      <c r="BB61" s="172">
        <f t="shared" si="84"/>
        <v>2.4</v>
      </c>
      <c r="BC61" s="275">
        <f t="shared" si="85"/>
        <v>19.1513204853676</v>
      </c>
    </row>
    <row r="62" s="266" customFormat="1" spans="1:58">
      <c r="A62" s="172" t="s">
        <v>116</v>
      </c>
      <c r="B62" s="172">
        <v>1601</v>
      </c>
      <c r="C62" s="274">
        <f t="shared" si="70"/>
        <v>0.2</v>
      </c>
      <c r="D62" s="172">
        <v>0.6</v>
      </c>
      <c r="E62" s="1">
        <f t="shared" si="86"/>
        <v>2.4</v>
      </c>
      <c r="F62" s="172">
        <f t="shared" si="87"/>
        <v>1.8</v>
      </c>
      <c r="G62" s="275">
        <f t="shared" si="71"/>
        <v>11.1711430356027</v>
      </c>
      <c r="H62" s="172"/>
      <c r="I62" s="275"/>
      <c r="J62" s="172">
        <v>1601</v>
      </c>
      <c r="K62" s="274">
        <f t="shared" si="88"/>
        <v>0.2</v>
      </c>
      <c r="L62" s="172">
        <v>0.6</v>
      </c>
      <c r="M62" s="99">
        <f t="shared" si="91"/>
        <v>2.5</v>
      </c>
      <c r="N62" s="172">
        <f t="shared" si="89"/>
        <v>1.9</v>
      </c>
      <c r="O62" s="275">
        <f t="shared" si="72"/>
        <v>12.4022485946284</v>
      </c>
      <c r="P62" s="172"/>
      <c r="Q62" s="275"/>
      <c r="R62" s="172">
        <v>1601</v>
      </c>
      <c r="S62" s="274">
        <v>0.2</v>
      </c>
      <c r="T62" s="99">
        <v>3.19</v>
      </c>
      <c r="U62" s="99">
        <v>2.6</v>
      </c>
      <c r="V62" s="172">
        <v>2</v>
      </c>
      <c r="W62" s="275">
        <f t="shared" si="73"/>
        <v>13.633354153654</v>
      </c>
      <c r="X62" s="172">
        <f t="shared" si="90"/>
        <v>7.7576514678326</v>
      </c>
      <c r="Y62" s="275"/>
      <c r="Z62" s="172">
        <v>1601</v>
      </c>
      <c r="AA62" s="274">
        <f t="shared" si="63"/>
        <v>0.2</v>
      </c>
      <c r="AB62" s="274">
        <f t="shared" si="64"/>
        <v>3.2538</v>
      </c>
      <c r="AC62" s="1">
        <f t="shared" si="65"/>
        <v>2.7</v>
      </c>
      <c r="AD62" s="172">
        <f t="shared" si="66"/>
        <v>2.1</v>
      </c>
      <c r="AE62" s="275">
        <f t="shared" si="74"/>
        <v>14.8644597126796</v>
      </c>
      <c r="AF62" s="172"/>
      <c r="AG62" s="275"/>
      <c r="AH62" s="172">
        <v>1601</v>
      </c>
      <c r="AI62" s="274">
        <f t="shared" si="67"/>
        <v>0.2</v>
      </c>
      <c r="AJ62" s="172">
        <f t="shared" si="75"/>
        <v>3.3538</v>
      </c>
      <c r="AK62" s="1">
        <f t="shared" si="76"/>
        <v>2.8</v>
      </c>
      <c r="AL62" s="172">
        <f t="shared" si="77"/>
        <v>2.2</v>
      </c>
      <c r="AM62" s="275">
        <f t="shared" si="78"/>
        <v>16.0955652717052</v>
      </c>
      <c r="AN62" s="172"/>
      <c r="AO62" s="275"/>
      <c r="AP62" s="172">
        <v>1601</v>
      </c>
      <c r="AQ62" s="274">
        <f t="shared" si="68"/>
        <v>0.2</v>
      </c>
      <c r="AR62" s="172">
        <f t="shared" si="79"/>
        <v>3.4538</v>
      </c>
      <c r="AS62" s="1">
        <f t="shared" si="92"/>
        <v>2.9</v>
      </c>
      <c r="AT62" s="172">
        <f t="shared" si="80"/>
        <v>2.3</v>
      </c>
      <c r="AU62" s="275">
        <f t="shared" si="81"/>
        <v>17.3266708307308</v>
      </c>
      <c r="AV62" s="172"/>
      <c r="AW62" s="275"/>
      <c r="AX62" s="172">
        <v>1601</v>
      </c>
      <c r="AY62" s="274">
        <f t="shared" si="69"/>
        <v>0.2</v>
      </c>
      <c r="AZ62" s="172">
        <f t="shared" si="82"/>
        <v>3.4538</v>
      </c>
      <c r="BA62" s="1">
        <f t="shared" si="83"/>
        <v>3</v>
      </c>
      <c r="BB62" s="172">
        <f t="shared" si="84"/>
        <v>2.4</v>
      </c>
      <c r="BC62" s="275">
        <f t="shared" si="85"/>
        <v>18.5577763897564</v>
      </c>
    </row>
    <row r="63" s="266" customFormat="1" spans="1:58">
      <c r="A63" s="172" t="s">
        <v>117</v>
      </c>
      <c r="B63" s="172">
        <v>1801</v>
      </c>
      <c r="C63" s="274">
        <f t="shared" si="70"/>
        <v>0.2</v>
      </c>
      <c r="D63" s="172">
        <v>0.6</v>
      </c>
      <c r="E63" s="1">
        <f t="shared" si="86"/>
        <v>2.6</v>
      </c>
      <c r="F63" s="172">
        <f t="shared" si="87"/>
        <v>1.8</v>
      </c>
      <c r="G63" s="275">
        <f t="shared" si="71"/>
        <v>10.8634092171016</v>
      </c>
      <c r="H63" s="172"/>
      <c r="I63" s="275"/>
      <c r="J63" s="172">
        <v>1801</v>
      </c>
      <c r="K63" s="274">
        <f t="shared" si="88"/>
        <v>0.2</v>
      </c>
      <c r="L63" s="172">
        <v>0.6</v>
      </c>
      <c r="M63" s="99">
        <f t="shared" si="91"/>
        <v>2.7</v>
      </c>
      <c r="N63" s="172">
        <f t="shared" si="89"/>
        <v>1.9</v>
      </c>
      <c r="O63" s="275">
        <f t="shared" si="72"/>
        <v>12.0688506385341</v>
      </c>
      <c r="P63" s="172"/>
      <c r="Q63" s="275"/>
      <c r="R63" s="172">
        <v>1801</v>
      </c>
      <c r="S63" s="274">
        <v>0.2</v>
      </c>
      <c r="T63" s="99">
        <v>3.52</v>
      </c>
      <c r="U63" s="99">
        <v>2.8</v>
      </c>
      <c r="V63" s="172">
        <v>2</v>
      </c>
      <c r="W63" s="275">
        <f t="shared" si="73"/>
        <v>13.2742920599667</v>
      </c>
      <c r="X63" s="172">
        <f t="shared" si="90"/>
        <v>7.27373681288173</v>
      </c>
      <c r="Y63" s="275"/>
      <c r="Z63" s="172">
        <v>1801</v>
      </c>
      <c r="AA63" s="274">
        <f t="shared" si="63"/>
        <v>0.2</v>
      </c>
      <c r="AB63" s="274">
        <f t="shared" si="64"/>
        <v>3.5904</v>
      </c>
      <c r="AC63" s="1">
        <f t="shared" si="65"/>
        <v>2.9</v>
      </c>
      <c r="AD63" s="172">
        <f t="shared" si="66"/>
        <v>2.1</v>
      </c>
      <c r="AE63" s="275">
        <f t="shared" si="74"/>
        <v>14.4797334813992</v>
      </c>
      <c r="AF63" s="172"/>
      <c r="AG63" s="275"/>
      <c r="AH63" s="172">
        <v>1801</v>
      </c>
      <c r="AI63" s="274">
        <f t="shared" si="67"/>
        <v>0.2</v>
      </c>
      <c r="AJ63" s="172">
        <f t="shared" si="75"/>
        <v>3.6904</v>
      </c>
      <c r="AK63" s="1">
        <f t="shared" si="76"/>
        <v>3</v>
      </c>
      <c r="AL63" s="172">
        <f t="shared" si="77"/>
        <v>2.2</v>
      </c>
      <c r="AM63" s="275">
        <f t="shared" si="78"/>
        <v>15.6851749028318</v>
      </c>
      <c r="AN63" s="172"/>
      <c r="AO63" s="275"/>
      <c r="AP63" s="172">
        <v>1801</v>
      </c>
      <c r="AQ63" s="274">
        <f t="shared" si="68"/>
        <v>0.2</v>
      </c>
      <c r="AR63" s="172">
        <f t="shared" si="79"/>
        <v>3.7904</v>
      </c>
      <c r="AS63" s="1">
        <f t="shared" si="92"/>
        <v>3.1</v>
      </c>
      <c r="AT63" s="172">
        <f t="shared" si="80"/>
        <v>2.3</v>
      </c>
      <c r="AU63" s="275">
        <f t="shared" si="81"/>
        <v>16.8906163242643</v>
      </c>
      <c r="AV63" s="172"/>
      <c r="AW63" s="275"/>
      <c r="AX63" s="172">
        <v>1801</v>
      </c>
      <c r="AY63" s="274">
        <f t="shared" si="69"/>
        <v>0.2</v>
      </c>
      <c r="AZ63" s="172">
        <f t="shared" si="82"/>
        <v>3.7904</v>
      </c>
      <c r="BA63" s="1">
        <f t="shared" si="83"/>
        <v>3.2</v>
      </c>
      <c r="BB63" s="172">
        <f t="shared" si="84"/>
        <v>2.4</v>
      </c>
      <c r="BC63" s="275">
        <f t="shared" si="85"/>
        <v>18.0960577456968</v>
      </c>
    </row>
    <row r="64" s="266" customFormat="1" spans="1:58">
      <c r="A64" s="172" t="s">
        <v>118</v>
      </c>
      <c r="B64" s="172">
        <v>2001</v>
      </c>
      <c r="C64" s="274">
        <f t="shared" si="70"/>
        <v>0.3</v>
      </c>
      <c r="D64" s="172">
        <v>0.7</v>
      </c>
      <c r="E64" s="1">
        <f t="shared" si="86"/>
        <v>2.8</v>
      </c>
      <c r="F64" s="172">
        <f t="shared" si="87"/>
        <v>2</v>
      </c>
      <c r="G64" s="275">
        <f t="shared" si="71"/>
        <v>10.9420289855072</v>
      </c>
      <c r="H64" s="172"/>
      <c r="I64" s="275"/>
      <c r="J64" s="172">
        <v>2001</v>
      </c>
      <c r="K64" s="274">
        <f t="shared" si="88"/>
        <v>0.3</v>
      </c>
      <c r="L64" s="172">
        <v>0.7</v>
      </c>
      <c r="M64" s="99">
        <f t="shared" si="91"/>
        <v>2.9</v>
      </c>
      <c r="N64" s="172">
        <f t="shared" si="89"/>
        <v>2.1</v>
      </c>
      <c r="O64" s="275">
        <f t="shared" si="72"/>
        <v>12.1269365317341</v>
      </c>
      <c r="P64" s="172"/>
      <c r="Q64" s="275"/>
      <c r="R64" s="172">
        <v>2001</v>
      </c>
      <c r="S64" s="274">
        <v>0.3</v>
      </c>
      <c r="T64" s="99">
        <v>3.74</v>
      </c>
      <c r="U64" s="99">
        <v>3</v>
      </c>
      <c r="V64" s="172">
        <v>2.2</v>
      </c>
      <c r="W64" s="275">
        <f t="shared" si="73"/>
        <v>13.311844077961</v>
      </c>
      <c r="X64" s="172">
        <f t="shared" si="90"/>
        <v>7.30134932533733</v>
      </c>
      <c r="Y64" s="275"/>
      <c r="Z64" s="172">
        <v>2001</v>
      </c>
      <c r="AA64" s="274">
        <f t="shared" si="63"/>
        <v>0.3</v>
      </c>
      <c r="AB64" s="274">
        <f t="shared" si="64"/>
        <v>3.8148</v>
      </c>
      <c r="AC64" s="1">
        <f t="shared" si="65"/>
        <v>3.1</v>
      </c>
      <c r="AD64" s="172">
        <f t="shared" si="66"/>
        <v>2.3</v>
      </c>
      <c r="AE64" s="275">
        <f t="shared" si="74"/>
        <v>14.4967516241879</v>
      </c>
      <c r="AF64" s="172"/>
      <c r="AG64" s="275"/>
      <c r="AH64" s="172">
        <v>2001</v>
      </c>
      <c r="AI64" s="274">
        <f t="shared" si="67"/>
        <v>0.3</v>
      </c>
      <c r="AJ64" s="172">
        <f t="shared" si="75"/>
        <v>3.9148</v>
      </c>
      <c r="AK64" s="1">
        <f t="shared" si="76"/>
        <v>3.2</v>
      </c>
      <c r="AL64" s="172">
        <f t="shared" si="77"/>
        <v>2.4</v>
      </c>
      <c r="AM64" s="275">
        <f t="shared" si="78"/>
        <v>15.6816591704148</v>
      </c>
      <c r="AN64" s="172"/>
      <c r="AO64" s="275"/>
      <c r="AP64" s="172">
        <v>2001</v>
      </c>
      <c r="AQ64" s="274">
        <f t="shared" si="68"/>
        <v>0.3</v>
      </c>
      <c r="AR64" s="172">
        <f t="shared" si="79"/>
        <v>4.0148</v>
      </c>
      <c r="AS64" s="1">
        <f t="shared" si="92"/>
        <v>3.3</v>
      </c>
      <c r="AT64" s="172">
        <f t="shared" si="80"/>
        <v>2.5</v>
      </c>
      <c r="AU64" s="275">
        <f t="shared" si="81"/>
        <v>16.8665667166417</v>
      </c>
      <c r="AV64" s="172"/>
      <c r="AW64" s="275"/>
      <c r="AX64" s="172">
        <v>2001</v>
      </c>
      <c r="AY64" s="274">
        <f t="shared" si="69"/>
        <v>0.3</v>
      </c>
      <c r="AZ64" s="172">
        <f t="shared" si="82"/>
        <v>4.0148</v>
      </c>
      <c r="BA64" s="1">
        <f t="shared" si="83"/>
        <v>3.4</v>
      </c>
      <c r="BB64" s="172">
        <f t="shared" si="84"/>
        <v>2.6</v>
      </c>
      <c r="BC64" s="275">
        <f t="shared" si="85"/>
        <v>18.0514742628686</v>
      </c>
    </row>
    <row r="65" s="266" customFormat="1" spans="1:58">
      <c r="A65" s="172" t="s">
        <v>119</v>
      </c>
      <c r="B65" s="172">
        <v>2201</v>
      </c>
      <c r="C65" s="274">
        <f t="shared" si="70"/>
        <v>0.3</v>
      </c>
      <c r="D65" s="172">
        <v>0.7</v>
      </c>
      <c r="E65" s="1">
        <f t="shared" si="86"/>
        <v>3</v>
      </c>
      <c r="F65" s="172">
        <f t="shared" si="87"/>
        <v>2</v>
      </c>
      <c r="G65" s="275">
        <f t="shared" si="71"/>
        <v>10.7110404361654</v>
      </c>
      <c r="H65" s="172"/>
      <c r="I65" s="275"/>
      <c r="J65" s="172">
        <v>2201</v>
      </c>
      <c r="K65" s="274">
        <f t="shared" si="88"/>
        <v>0.3</v>
      </c>
      <c r="L65" s="172">
        <v>0.7</v>
      </c>
      <c r="M65" s="99">
        <f t="shared" si="91"/>
        <v>3.1</v>
      </c>
      <c r="N65" s="172">
        <f t="shared" si="89"/>
        <v>2.1</v>
      </c>
      <c r="O65" s="275">
        <f t="shared" si="72"/>
        <v>11.8791458427987</v>
      </c>
      <c r="P65" s="172"/>
      <c r="Q65" s="275"/>
      <c r="R65" s="172">
        <v>2201</v>
      </c>
      <c r="S65" s="274">
        <v>0.3</v>
      </c>
      <c r="T65" s="99">
        <v>4.07</v>
      </c>
      <c r="U65" s="99">
        <v>3.2</v>
      </c>
      <c r="V65" s="172">
        <v>2.2</v>
      </c>
      <c r="W65" s="275">
        <f t="shared" si="73"/>
        <v>13.0472512494321</v>
      </c>
      <c r="X65" s="172">
        <f t="shared" si="90"/>
        <v>6.94684234438891</v>
      </c>
      <c r="Y65" s="275"/>
      <c r="Z65" s="172">
        <v>2201</v>
      </c>
      <c r="AA65" s="274">
        <f t="shared" si="63"/>
        <v>0.3</v>
      </c>
      <c r="AB65" s="274">
        <f t="shared" si="64"/>
        <v>4.1514</v>
      </c>
      <c r="AC65" s="1">
        <f t="shared" si="65"/>
        <v>3.3</v>
      </c>
      <c r="AD65" s="172">
        <f t="shared" si="66"/>
        <v>2.3</v>
      </c>
      <c r="AE65" s="275">
        <f t="shared" si="74"/>
        <v>14.2153566560654</v>
      </c>
      <c r="AF65" s="172"/>
      <c r="AG65" s="275"/>
      <c r="AH65" s="172">
        <v>2201</v>
      </c>
      <c r="AI65" s="274">
        <f t="shared" si="67"/>
        <v>0.3</v>
      </c>
      <c r="AJ65" s="172">
        <f t="shared" si="75"/>
        <v>4.2514</v>
      </c>
      <c r="AK65" s="1">
        <f t="shared" si="76"/>
        <v>3.4</v>
      </c>
      <c r="AL65" s="172">
        <f t="shared" si="77"/>
        <v>2.4</v>
      </c>
      <c r="AM65" s="275">
        <f t="shared" si="78"/>
        <v>15.3834620626988</v>
      </c>
      <c r="AN65" s="172"/>
      <c r="AO65" s="275"/>
      <c r="AP65" s="172">
        <v>2201</v>
      </c>
      <c r="AQ65" s="274">
        <f t="shared" si="68"/>
        <v>0.3</v>
      </c>
      <c r="AR65" s="172">
        <f t="shared" si="79"/>
        <v>4.3514</v>
      </c>
      <c r="AS65" s="1">
        <f t="shared" si="92"/>
        <v>3.5</v>
      </c>
      <c r="AT65" s="172">
        <f t="shared" si="80"/>
        <v>2.5</v>
      </c>
      <c r="AU65" s="275">
        <f t="shared" si="81"/>
        <v>16.5515674693321</v>
      </c>
      <c r="AV65" s="172"/>
      <c r="AW65" s="275"/>
      <c r="AX65" s="172">
        <v>2201</v>
      </c>
      <c r="AY65" s="274">
        <f t="shared" si="69"/>
        <v>0.3</v>
      </c>
      <c r="AZ65" s="172">
        <f t="shared" si="82"/>
        <v>4.3514</v>
      </c>
      <c r="BA65" s="1">
        <f t="shared" si="83"/>
        <v>3.6</v>
      </c>
      <c r="BB65" s="172">
        <f t="shared" si="84"/>
        <v>2.6</v>
      </c>
      <c r="BC65" s="275">
        <f t="shared" si="85"/>
        <v>17.7196728759655</v>
      </c>
    </row>
    <row r="66" s="266" customFormat="1" spans="1:58">
      <c r="A66" s="172" t="s">
        <v>120</v>
      </c>
      <c r="B66" s="172">
        <v>2401</v>
      </c>
      <c r="C66" s="274">
        <f t="shared" si="70"/>
        <v>0.3</v>
      </c>
      <c r="D66" s="172">
        <v>0.8</v>
      </c>
      <c r="E66" s="1">
        <f t="shared" si="86"/>
        <v>3.1</v>
      </c>
      <c r="F66" s="172">
        <f t="shared" si="87"/>
        <v>2</v>
      </c>
      <c r="G66" s="275">
        <f t="shared" si="71"/>
        <v>10.3769262807164</v>
      </c>
      <c r="H66" s="172"/>
      <c r="I66" s="275"/>
      <c r="J66" s="172">
        <v>2401</v>
      </c>
      <c r="K66" s="274">
        <f t="shared" si="88"/>
        <v>0.3</v>
      </c>
      <c r="L66" s="172">
        <v>0.8</v>
      </c>
      <c r="M66" s="99">
        <f t="shared" si="91"/>
        <v>3.2</v>
      </c>
      <c r="N66" s="172">
        <f t="shared" si="89"/>
        <v>2.1</v>
      </c>
      <c r="O66" s="275">
        <f t="shared" si="72"/>
        <v>11.5310287380258</v>
      </c>
      <c r="P66" s="172"/>
      <c r="Q66" s="275"/>
      <c r="R66" s="172">
        <v>2401</v>
      </c>
      <c r="S66" s="274">
        <v>0.3</v>
      </c>
      <c r="T66" s="99">
        <v>4.29</v>
      </c>
      <c r="U66" s="99">
        <v>3.3</v>
      </c>
      <c r="V66" s="172">
        <v>2.2</v>
      </c>
      <c r="W66" s="275">
        <f t="shared" si="73"/>
        <v>12.6851311953353</v>
      </c>
      <c r="X66" s="172">
        <f t="shared" si="90"/>
        <v>6.50978758850479</v>
      </c>
      <c r="Y66" s="275"/>
      <c r="Z66" s="172">
        <v>2401</v>
      </c>
      <c r="AA66" s="274">
        <f t="shared" si="63"/>
        <v>0.3</v>
      </c>
      <c r="AB66" s="274">
        <f t="shared" si="64"/>
        <v>4.3758</v>
      </c>
      <c r="AC66" s="1">
        <f t="shared" si="65"/>
        <v>3.4</v>
      </c>
      <c r="AD66" s="172">
        <f t="shared" si="66"/>
        <v>2.3</v>
      </c>
      <c r="AE66" s="275">
        <f t="shared" si="74"/>
        <v>13.8392336526447</v>
      </c>
      <c r="AF66" s="172"/>
      <c r="AG66" s="275"/>
      <c r="AH66" s="172">
        <v>2401</v>
      </c>
      <c r="AI66" s="274">
        <f t="shared" si="67"/>
        <v>0.3</v>
      </c>
      <c r="AJ66" s="172">
        <f t="shared" si="75"/>
        <v>4.4758</v>
      </c>
      <c r="AK66" s="1">
        <f t="shared" si="76"/>
        <v>3.5</v>
      </c>
      <c r="AL66" s="172">
        <f t="shared" si="77"/>
        <v>2.4</v>
      </c>
      <c r="AM66" s="275">
        <f t="shared" si="78"/>
        <v>14.9933361099542</v>
      </c>
      <c r="AN66" s="172"/>
      <c r="AO66" s="275"/>
      <c r="AP66" s="172">
        <v>2401</v>
      </c>
      <c r="AQ66" s="274">
        <f t="shared" si="68"/>
        <v>0.3</v>
      </c>
      <c r="AR66" s="172">
        <f t="shared" si="79"/>
        <v>4.5758</v>
      </c>
      <c r="AS66" s="1">
        <f t="shared" si="92"/>
        <v>3.6</v>
      </c>
      <c r="AT66" s="172">
        <f t="shared" si="80"/>
        <v>2.5</v>
      </c>
      <c r="AU66" s="275">
        <f t="shared" si="81"/>
        <v>16.1474385672636</v>
      </c>
      <c r="AV66" s="172"/>
      <c r="AW66" s="275"/>
      <c r="AX66" s="172">
        <v>2401</v>
      </c>
      <c r="AY66" s="274">
        <f t="shared" si="69"/>
        <v>0.3</v>
      </c>
      <c r="AZ66" s="172">
        <f t="shared" si="82"/>
        <v>4.5758</v>
      </c>
      <c r="BA66" s="1">
        <f t="shared" si="83"/>
        <v>3.7</v>
      </c>
      <c r="BB66" s="172">
        <f t="shared" si="84"/>
        <v>2.6</v>
      </c>
      <c r="BC66" s="275">
        <f t="shared" si="85"/>
        <v>17.3015410245731</v>
      </c>
    </row>
    <row r="67" s="266" customFormat="1" spans="1:58">
      <c r="A67" s="172" t="s">
        <v>121</v>
      </c>
      <c r="B67" s="172">
        <v>2601</v>
      </c>
      <c r="C67" s="274">
        <f t="shared" si="70"/>
        <v>0.4</v>
      </c>
      <c r="D67" s="172">
        <v>0.8</v>
      </c>
      <c r="E67" s="1">
        <f t="shared" si="86"/>
        <v>3.2</v>
      </c>
      <c r="F67" s="172">
        <f t="shared" si="87"/>
        <v>2</v>
      </c>
      <c r="G67" s="275">
        <f t="shared" si="71"/>
        <v>10.3210303729335</v>
      </c>
      <c r="H67" s="172"/>
      <c r="I67" s="275"/>
      <c r="J67" s="172">
        <v>2601</v>
      </c>
      <c r="K67" s="274">
        <f t="shared" si="88"/>
        <v>0.4</v>
      </c>
      <c r="L67" s="172">
        <v>0.8</v>
      </c>
      <c r="M67" s="99">
        <f t="shared" si="91"/>
        <v>3.3</v>
      </c>
      <c r="N67" s="172">
        <f t="shared" si="89"/>
        <v>2.1</v>
      </c>
      <c r="O67" s="275">
        <f t="shared" si="72"/>
        <v>11.4632833525567</v>
      </c>
      <c r="P67" s="172"/>
      <c r="Q67" s="275"/>
      <c r="R67" s="172">
        <v>2601</v>
      </c>
      <c r="S67" s="274">
        <v>0.4</v>
      </c>
      <c r="T67" s="99">
        <v>4.51</v>
      </c>
      <c r="U67" s="99">
        <v>3.4</v>
      </c>
      <c r="V67" s="172">
        <v>2.2</v>
      </c>
      <c r="W67" s="275">
        <f t="shared" si="73"/>
        <v>12.6055363321799</v>
      </c>
      <c r="X67" s="172">
        <f t="shared" si="90"/>
        <v>6.36678200692042</v>
      </c>
      <c r="Y67" s="275"/>
      <c r="Z67" s="172">
        <v>2601</v>
      </c>
      <c r="AA67" s="274">
        <f t="shared" si="63"/>
        <v>0.4</v>
      </c>
      <c r="AB67" s="274">
        <f t="shared" si="64"/>
        <v>4.6002</v>
      </c>
      <c r="AC67" s="1">
        <f t="shared" si="65"/>
        <v>3.5</v>
      </c>
      <c r="AD67" s="172">
        <f t="shared" si="66"/>
        <v>2.3</v>
      </c>
      <c r="AE67" s="275">
        <f t="shared" si="74"/>
        <v>13.7477893118032</v>
      </c>
      <c r="AF67" s="172"/>
      <c r="AG67" s="275"/>
      <c r="AH67" s="172">
        <v>2601</v>
      </c>
      <c r="AI67" s="274">
        <f t="shared" si="67"/>
        <v>0.4</v>
      </c>
      <c r="AJ67" s="172">
        <f t="shared" si="75"/>
        <v>4.7002</v>
      </c>
      <c r="AK67" s="1">
        <f t="shared" si="76"/>
        <v>3.6</v>
      </c>
      <c r="AL67" s="172">
        <f t="shared" si="77"/>
        <v>2.4</v>
      </c>
      <c r="AM67" s="275">
        <f t="shared" si="78"/>
        <v>14.8900422914264</v>
      </c>
      <c r="AN67" s="172"/>
      <c r="AO67" s="275"/>
      <c r="AP67" s="172">
        <v>2601</v>
      </c>
      <c r="AQ67" s="274">
        <f t="shared" si="68"/>
        <v>0.4</v>
      </c>
      <c r="AR67" s="172">
        <f t="shared" si="79"/>
        <v>4.8002</v>
      </c>
      <c r="AS67" s="1">
        <f t="shared" si="92"/>
        <v>3.7</v>
      </c>
      <c r="AT67" s="172">
        <f t="shared" si="80"/>
        <v>2.5</v>
      </c>
      <c r="AU67" s="275">
        <f t="shared" si="81"/>
        <v>16.0322952710496</v>
      </c>
      <c r="AV67" s="172"/>
      <c r="AW67" s="275"/>
      <c r="AX67" s="172">
        <v>2601</v>
      </c>
      <c r="AY67" s="274">
        <f t="shared" si="69"/>
        <v>0.4</v>
      </c>
      <c r="AZ67" s="172">
        <f t="shared" si="82"/>
        <v>4.8002</v>
      </c>
      <c r="BA67" s="1">
        <f t="shared" si="83"/>
        <v>3.8</v>
      </c>
      <c r="BB67" s="172">
        <f t="shared" si="84"/>
        <v>2.6</v>
      </c>
      <c r="BC67" s="275">
        <f t="shared" si="85"/>
        <v>17.1745482506728</v>
      </c>
    </row>
    <row r="68" s="266" customFormat="1" spans="1:58">
      <c r="A68" s="172" t="s">
        <v>122</v>
      </c>
      <c r="B68" s="172">
        <v>2801</v>
      </c>
      <c r="C68" s="274">
        <f t="shared" si="70"/>
        <v>0.4</v>
      </c>
      <c r="D68" s="172">
        <v>0.8</v>
      </c>
      <c r="E68" s="1">
        <f t="shared" si="86"/>
        <v>3.6</v>
      </c>
      <c r="F68" s="172">
        <f t="shared" si="87"/>
        <v>2</v>
      </c>
      <c r="G68" s="275">
        <f t="shared" si="71"/>
        <v>10.4266333452338</v>
      </c>
      <c r="H68" s="172"/>
      <c r="I68" s="275"/>
      <c r="J68" s="172">
        <v>2801</v>
      </c>
      <c r="K68" s="274">
        <f t="shared" si="88"/>
        <v>0.4</v>
      </c>
      <c r="L68" s="172">
        <v>0.8</v>
      </c>
      <c r="M68" s="99">
        <f t="shared" si="91"/>
        <v>3.7</v>
      </c>
      <c r="N68" s="172">
        <f t="shared" si="89"/>
        <v>2.1</v>
      </c>
      <c r="O68" s="275">
        <f t="shared" si="72"/>
        <v>11.5587290253481</v>
      </c>
      <c r="P68" s="172"/>
      <c r="Q68" s="275"/>
      <c r="R68" s="172">
        <v>2801</v>
      </c>
      <c r="S68" s="274">
        <v>0.4</v>
      </c>
      <c r="T68" s="99">
        <v>4.62</v>
      </c>
      <c r="U68" s="99">
        <v>3.8</v>
      </c>
      <c r="V68" s="172">
        <v>2.2</v>
      </c>
      <c r="W68" s="275">
        <f t="shared" si="73"/>
        <v>12.6908247054623</v>
      </c>
      <c r="X68" s="172">
        <f t="shared" si="90"/>
        <v>6.39771510174937</v>
      </c>
      <c r="Y68" s="275"/>
      <c r="Z68" s="172">
        <v>2801</v>
      </c>
      <c r="AA68" s="274">
        <f t="shared" si="63"/>
        <v>0.4</v>
      </c>
      <c r="AB68" s="274">
        <f t="shared" si="64"/>
        <v>4.7124</v>
      </c>
      <c r="AC68" s="1">
        <f t="shared" si="65"/>
        <v>3.9</v>
      </c>
      <c r="AD68" s="172">
        <f t="shared" si="66"/>
        <v>2.3</v>
      </c>
      <c r="AE68" s="275">
        <f t="shared" si="74"/>
        <v>13.8229203855766</v>
      </c>
      <c r="AF68" s="172"/>
      <c r="AG68" s="275"/>
      <c r="AH68" s="172">
        <v>2801</v>
      </c>
      <c r="AI68" s="274">
        <f t="shared" si="67"/>
        <v>0.4</v>
      </c>
      <c r="AJ68" s="172">
        <f t="shared" si="75"/>
        <v>4.8124</v>
      </c>
      <c r="AK68" s="1">
        <f t="shared" si="76"/>
        <v>4</v>
      </c>
      <c r="AL68" s="172">
        <f t="shared" si="77"/>
        <v>2.4</v>
      </c>
      <c r="AM68" s="275">
        <f t="shared" si="78"/>
        <v>14.9550160656908</v>
      </c>
      <c r="AN68" s="172"/>
      <c r="AO68" s="275"/>
      <c r="AP68" s="172">
        <v>2801</v>
      </c>
      <c r="AQ68" s="274">
        <f t="shared" si="68"/>
        <v>0.4</v>
      </c>
      <c r="AR68" s="172">
        <f t="shared" si="79"/>
        <v>4.9124</v>
      </c>
      <c r="AS68" s="1">
        <f t="shared" si="92"/>
        <v>4.1</v>
      </c>
      <c r="AT68" s="172">
        <f t="shared" si="80"/>
        <v>2.5</v>
      </c>
      <c r="AU68" s="275">
        <f t="shared" si="81"/>
        <v>16.0871117458051</v>
      </c>
      <c r="AV68" s="172"/>
      <c r="AW68" s="275"/>
      <c r="AX68" s="172">
        <v>2801</v>
      </c>
      <c r="AY68" s="274">
        <f t="shared" si="69"/>
        <v>0.4</v>
      </c>
      <c r="AZ68" s="172">
        <f t="shared" si="82"/>
        <v>4.9124</v>
      </c>
      <c r="BA68" s="1">
        <f t="shared" si="83"/>
        <v>4.2</v>
      </c>
      <c r="BB68" s="172">
        <f t="shared" si="84"/>
        <v>2.6</v>
      </c>
      <c r="BC68" s="275">
        <f t="shared" si="85"/>
        <v>17.2192074259193</v>
      </c>
    </row>
    <row r="69" spans="1:58">
      <c r="I69" s="269"/>
      <c r="Q69" s="269"/>
      <c r="Y69" s="269"/>
      <c r="AG69" s="269"/>
      <c r="AO69" s="269"/>
      <c r="AW69" s="269"/>
    </row>
    <row r="70" spans="1:58">
      <c r="B70" s="268" t="s">
        <v>91</v>
      </c>
      <c r="C70" s="268" t="s">
        <v>5</v>
      </c>
      <c r="I70" s="269"/>
      <c r="J70" s="268" t="s">
        <v>91</v>
      </c>
      <c r="K70" s="268"/>
      <c r="L70" s="268" t="s">
        <v>5</v>
      </c>
      <c r="Q70" s="269"/>
      <c r="R70" s="268" t="s">
        <v>91</v>
      </c>
      <c r="S70" s="268"/>
      <c r="T70" s="268" t="s">
        <v>5</v>
      </c>
      <c r="Y70" s="269"/>
      <c r="Z70" s="268" t="s">
        <v>91</v>
      </c>
      <c r="AA70" s="268"/>
      <c r="AB70" s="268" t="s">
        <v>5</v>
      </c>
      <c r="AG70" s="269"/>
      <c r="AH70" s="268" t="s">
        <v>91</v>
      </c>
      <c r="AI70" s="268"/>
      <c r="AJ70" s="268" t="s">
        <v>5</v>
      </c>
      <c r="AO70" s="269"/>
      <c r="AP70" s="268" t="s">
        <v>91</v>
      </c>
      <c r="AQ70" s="268"/>
      <c r="AR70" s="268" t="s">
        <v>5</v>
      </c>
      <c r="AW70" s="269"/>
      <c r="AX70" s="268" t="s">
        <v>91</v>
      </c>
      <c r="AY70" s="268"/>
      <c r="AZ70" s="268" t="s">
        <v>5</v>
      </c>
    </row>
    <row r="71" spans="1:58">
      <c r="B71" s="270" t="s">
        <v>92</v>
      </c>
      <c r="C71" s="270" t="s">
        <v>93</v>
      </c>
      <c r="I71" s="269"/>
      <c r="J71" s="270" t="s">
        <v>92</v>
      </c>
      <c r="K71" s="270"/>
      <c r="L71" s="270" t="s">
        <v>94</v>
      </c>
      <c r="Q71" s="269"/>
      <c r="R71" s="270" t="s">
        <v>92</v>
      </c>
      <c r="S71" s="270"/>
      <c r="T71" s="270" t="s">
        <v>95</v>
      </c>
      <c r="Y71" s="269"/>
      <c r="Z71" s="270" t="s">
        <v>92</v>
      </c>
      <c r="AA71" s="270"/>
      <c r="AB71" s="270" t="s">
        <v>96</v>
      </c>
      <c r="AG71" s="269"/>
      <c r="AH71" s="270" t="s">
        <v>92</v>
      </c>
      <c r="AI71" s="270"/>
      <c r="AJ71" s="270" t="s">
        <v>97</v>
      </c>
      <c r="AO71" s="269"/>
      <c r="AP71" s="270" t="s">
        <v>92</v>
      </c>
      <c r="AQ71" s="270"/>
      <c r="AR71" s="270" t="s">
        <v>98</v>
      </c>
      <c r="AW71" s="269"/>
      <c r="AX71" s="270" t="s">
        <v>92</v>
      </c>
      <c r="AY71" s="270"/>
      <c r="AZ71" s="270" t="s">
        <v>99</v>
      </c>
    </row>
    <row r="72" spans="1:58">
      <c r="B72" s="271" t="s">
        <v>100</v>
      </c>
      <c r="C72" s="271"/>
      <c r="D72" s="271">
        <v>7</v>
      </c>
      <c r="F72" s="59"/>
      <c r="G72" s="282">
        <f>AVERAGE(G76:G91)</f>
        <v>16.4353522494033</v>
      </c>
      <c r="H72" s="59"/>
      <c r="I72" s="269"/>
      <c r="J72" s="271" t="s">
        <v>100</v>
      </c>
      <c r="K72" s="271"/>
      <c r="L72" s="271">
        <v>8.5</v>
      </c>
      <c r="N72" s="59"/>
      <c r="O72" s="282">
        <f>AVERAGE(O76:O91)</f>
        <v>18.7392247280123</v>
      </c>
      <c r="P72" s="59"/>
      <c r="Q72" s="269"/>
      <c r="R72" s="271" t="s">
        <v>100</v>
      </c>
      <c r="S72" s="271"/>
      <c r="T72" s="271">
        <v>10</v>
      </c>
      <c r="V72" s="59"/>
      <c r="W72" s="283">
        <f>AVERAGE(W76:W91)</f>
        <v>20.8998627604528</v>
      </c>
      <c r="X72" s="59"/>
      <c r="Y72" s="269"/>
      <c r="Z72" s="271" t="s">
        <v>100</v>
      </c>
      <c r="AA72" s="271"/>
      <c r="AB72" s="271">
        <v>11.5</v>
      </c>
      <c r="AD72" s="59"/>
      <c r="AE72" s="283">
        <f>AVERAGE(AE76:AE91)</f>
        <v>23.4343233092136</v>
      </c>
      <c r="AF72" s="59"/>
      <c r="AG72" s="269"/>
      <c r="AH72" s="271" t="s">
        <v>100</v>
      </c>
      <c r="AI72" s="271"/>
      <c r="AJ72" s="271">
        <v>13</v>
      </c>
      <c r="AL72" s="59"/>
      <c r="AM72" s="272">
        <f>AVERAGE(AM76:AM91)</f>
        <v>25.5949613416541</v>
      </c>
      <c r="AN72" s="59"/>
      <c r="AO72" s="269"/>
      <c r="AP72" s="271" t="s">
        <v>100</v>
      </c>
      <c r="AQ72" s="271"/>
      <c r="AR72" s="271">
        <v>14.5</v>
      </c>
      <c r="AT72" s="273"/>
      <c r="AU72" s="272">
        <f>AVERAGE(AU76:AU91)</f>
        <v>27.7555993740947</v>
      </c>
      <c r="AV72" s="273"/>
      <c r="AW72" s="269"/>
      <c r="AX72" s="271" t="s">
        <v>100</v>
      </c>
      <c r="AY72" s="271"/>
      <c r="AZ72" s="271">
        <v>16</v>
      </c>
      <c r="BB72" s="273"/>
      <c r="BC72" s="272">
        <f>AVERAGE(BC76:BC91)</f>
        <v>30.0941795841581</v>
      </c>
      <c r="BE72" s="267">
        <f>AVERAGE(BC72,AU72,AM72,AE72,W72,O72,G72)</f>
        <v>23.2790719067127</v>
      </c>
      <c r="BF72" s="267">
        <f>BE72-AVERAGE(AZ72,AR72,AJ72,AB72,T72,L72,D72)</f>
        <v>11.7790719067127</v>
      </c>
    </row>
    <row r="73" spans="1:58">
      <c r="B73" s="1" t="s">
        <v>101</v>
      </c>
      <c r="C73" s="1" t="s">
        <v>8</v>
      </c>
      <c r="D73" s="1" t="s">
        <v>102</v>
      </c>
      <c r="E73" s="1" t="s">
        <v>9</v>
      </c>
      <c r="F73" s="1" t="s">
        <v>103</v>
      </c>
      <c r="G73" s="1" t="s">
        <v>104</v>
      </c>
      <c r="H73" s="269" t="s">
        <v>105</v>
      </c>
      <c r="I73" s="269"/>
      <c r="J73" s="1" t="s">
        <v>101</v>
      </c>
      <c r="K73" s="1" t="s">
        <v>8</v>
      </c>
      <c r="L73" s="1" t="s">
        <v>102</v>
      </c>
      <c r="M73" s="1" t="s">
        <v>9</v>
      </c>
      <c r="N73" s="1" t="s">
        <v>103</v>
      </c>
      <c r="Q73" s="269"/>
      <c r="R73" s="1" t="s">
        <v>101</v>
      </c>
      <c r="S73" s="1" t="s">
        <v>8</v>
      </c>
      <c r="T73" s="1" t="s">
        <v>102</v>
      </c>
      <c r="U73" s="1" t="s">
        <v>9</v>
      </c>
      <c r="V73" s="1" t="s">
        <v>103</v>
      </c>
      <c r="W73" s="1" t="s">
        <v>104</v>
      </c>
      <c r="Y73" s="269"/>
      <c r="Z73" s="1" t="s">
        <v>101</v>
      </c>
      <c r="AA73" s="1"/>
      <c r="AB73" s="1" t="s">
        <v>102</v>
      </c>
      <c r="AC73" s="1" t="s">
        <v>9</v>
      </c>
      <c r="AD73" s="1" t="s">
        <v>103</v>
      </c>
      <c r="AG73" s="269"/>
      <c r="AH73" s="1" t="s">
        <v>101</v>
      </c>
      <c r="AI73" s="1"/>
      <c r="AJ73" s="1" t="s">
        <v>102</v>
      </c>
      <c r="AK73" s="1" t="s">
        <v>9</v>
      </c>
      <c r="AL73" s="1" t="s">
        <v>103</v>
      </c>
      <c r="AO73" s="269"/>
      <c r="AP73" s="1" t="s">
        <v>101</v>
      </c>
      <c r="AQ73" s="172" t="s">
        <v>8</v>
      </c>
      <c r="AR73" s="172" t="s">
        <v>102</v>
      </c>
      <c r="AS73" s="172" t="s">
        <v>9</v>
      </c>
      <c r="AT73" s="274" t="s">
        <v>103</v>
      </c>
      <c r="AW73" s="269"/>
      <c r="AX73" s="1" t="s">
        <v>101</v>
      </c>
      <c r="AY73" s="172" t="s">
        <v>8</v>
      </c>
      <c r="AZ73" s="172" t="s">
        <v>102</v>
      </c>
      <c r="BA73" s="172" t="s">
        <v>9</v>
      </c>
      <c r="BB73" s="274" t="s">
        <v>103</v>
      </c>
    </row>
    <row r="74" spans="1:58">
      <c r="B74" s="1">
        <v>0</v>
      </c>
      <c r="C74" s="99">
        <f>S74</f>
        <v>0</v>
      </c>
      <c r="D74" s="1">
        <v>0</v>
      </c>
      <c r="E74" s="1">
        <v>0</v>
      </c>
      <c r="F74" s="1">
        <v>0</v>
      </c>
      <c r="G74" s="272" t="e">
        <f>(C74*5900+E74*3400+F74*300+B74*$D$72)/B74</f>
        <v>#DIV/0!</v>
      </c>
      <c r="I74" s="269"/>
      <c r="J74" s="1">
        <v>0</v>
      </c>
      <c r="K74" s="99">
        <f>S74</f>
        <v>0</v>
      </c>
      <c r="L74" s="1">
        <v>0</v>
      </c>
      <c r="M74" s="1">
        <v>0</v>
      </c>
      <c r="N74" s="1">
        <f>F74+0.1</f>
        <v>0.1</v>
      </c>
      <c r="O74" s="272" t="e">
        <f>(K74*5900+M74*3400+N74*300+J74*$L$72)/J74</f>
        <v>#DIV/0!</v>
      </c>
      <c r="Q74" s="269"/>
      <c r="R74" s="1">
        <v>0</v>
      </c>
      <c r="S74" s="99">
        <f>S51</f>
        <v>0</v>
      </c>
      <c r="T74" s="1">
        <v>0</v>
      </c>
      <c r="U74" s="1">
        <v>0</v>
      </c>
      <c r="V74" s="1">
        <f>N74+0.1</f>
        <v>0.2</v>
      </c>
      <c r="W74" s="272" t="e">
        <f>(S74*5900+U74*3400+V74*300+R74*$T$72)/R74</f>
        <v>#DIV/0!</v>
      </c>
      <c r="Y74" s="269"/>
      <c r="Z74" s="1">
        <v>0</v>
      </c>
      <c r="AA74" s="99">
        <f>S74*1.1</f>
        <v>0</v>
      </c>
      <c r="AB74" s="1">
        <v>0</v>
      </c>
      <c r="AC74" s="1">
        <v>0</v>
      </c>
      <c r="AD74" s="1">
        <v>0</v>
      </c>
      <c r="AE74" s="272" t="e">
        <f>(AA74*5900+AC74*3400+AD74*300+Z74*$AB$72)/Z74</f>
        <v>#DIV/0!</v>
      </c>
      <c r="AG74" s="269"/>
      <c r="AH74" s="1">
        <v>0</v>
      </c>
      <c r="AI74" s="99">
        <f>AA74</f>
        <v>0</v>
      </c>
      <c r="AJ74" s="1">
        <v>0</v>
      </c>
      <c r="AK74" s="99">
        <v>0</v>
      </c>
      <c r="AL74" s="1">
        <v>0</v>
      </c>
      <c r="AM74" s="272" t="e">
        <f>(AI74*5900+AK74*2300+AL74*300+AH74*$AJ$72)/AH74</f>
        <v>#DIV/0!</v>
      </c>
      <c r="AO74" s="269"/>
      <c r="AP74" s="1">
        <v>0</v>
      </c>
      <c r="AQ74" s="99">
        <f>AI74</f>
        <v>0</v>
      </c>
      <c r="AR74" s="1">
        <v>0</v>
      </c>
      <c r="AS74" s="99">
        <v>0</v>
      </c>
      <c r="AT74" s="1">
        <v>0</v>
      </c>
      <c r="AU74" s="272" t="e">
        <f>(AQ74*5900+AS74*2300+AT74*300+AP74*$AR$72)/AP74</f>
        <v>#DIV/0!</v>
      </c>
      <c r="AV74" s="1"/>
      <c r="AW74" s="269"/>
      <c r="AX74" s="1">
        <v>0</v>
      </c>
      <c r="AY74" s="99">
        <f>AQ74</f>
        <v>0</v>
      </c>
      <c r="AZ74" s="1">
        <v>0</v>
      </c>
      <c r="BA74" s="1">
        <v>0</v>
      </c>
      <c r="BB74" s="1">
        <v>0</v>
      </c>
      <c r="BC74" s="272" t="e">
        <f>(AY74*7200+BA74*3100+BB74*300+AX74*$AZ$72)/AX74</f>
        <v>#DIV/0!</v>
      </c>
    </row>
    <row r="75" spans="1:58">
      <c r="B75" s="1">
        <v>1</v>
      </c>
      <c r="C75" s="99">
        <f t="shared" ref="C75:F75" si="93">C76</f>
        <v>0</v>
      </c>
      <c r="D75" s="1">
        <f t="shared" si="93"/>
        <v>0.2</v>
      </c>
      <c r="E75" s="99">
        <f t="shared" si="93"/>
        <v>0.56</v>
      </c>
      <c r="F75" s="1">
        <f t="shared" si="93"/>
        <v>0.8</v>
      </c>
      <c r="G75" s="272">
        <f>(C75*5900+E75*3400+F75*300+B75*$D$72)/B75</f>
        <v>2151</v>
      </c>
      <c r="I75" s="276"/>
      <c r="J75" s="1">
        <v>1</v>
      </c>
      <c r="K75" s="99">
        <f t="shared" ref="K75:N75" si="94">K76</f>
        <v>0</v>
      </c>
      <c r="L75" s="1">
        <f t="shared" si="94"/>
        <v>0.2</v>
      </c>
      <c r="M75" s="99">
        <f t="shared" si="94"/>
        <v>0.644</v>
      </c>
      <c r="N75" s="1">
        <f t="shared" si="94"/>
        <v>0.9</v>
      </c>
      <c r="O75" s="272">
        <f>(K75*5900+M75*3400+N75*300+$L$72*J75)/J75</f>
        <v>2468.1</v>
      </c>
      <c r="Q75" s="276"/>
      <c r="R75" s="1">
        <v>1</v>
      </c>
      <c r="S75" s="99">
        <f t="shared" ref="S75:V75" si="95">S76</f>
        <v>0</v>
      </c>
      <c r="T75" s="1">
        <f t="shared" si="95"/>
        <v>0.2</v>
      </c>
      <c r="U75" s="99">
        <f t="shared" si="95"/>
        <v>0.744</v>
      </c>
      <c r="V75" s="1">
        <f t="shared" si="95"/>
        <v>1</v>
      </c>
      <c r="W75" s="272">
        <f>(S75*5900+U75*3400+V75*300+$T$72*R75)/R75</f>
        <v>2839.6</v>
      </c>
      <c r="Y75" s="276"/>
      <c r="Z75" s="1">
        <v>1</v>
      </c>
      <c r="AA75" s="99">
        <f t="shared" ref="AA75:AD75" si="96">AA76</f>
        <v>0</v>
      </c>
      <c r="AB75" s="1">
        <f t="shared" si="96"/>
        <v>0.3</v>
      </c>
      <c r="AC75" s="99">
        <f t="shared" si="96"/>
        <v>0.894</v>
      </c>
      <c r="AD75" s="1">
        <f t="shared" si="96"/>
        <v>1.1</v>
      </c>
      <c r="AE75" s="272">
        <f>(AA75*5900+AC75*3400+AD75*300+Z75*$AB$72)/Z75</f>
        <v>3381.1</v>
      </c>
      <c r="AG75" s="276"/>
      <c r="AH75" s="1">
        <v>1</v>
      </c>
      <c r="AI75" s="99">
        <f t="shared" ref="AI75:AI91" si="97">AA75</f>
        <v>0</v>
      </c>
      <c r="AJ75" s="1">
        <f t="shared" ref="AI75:AL75" si="98">AJ76</f>
        <v>0.4</v>
      </c>
      <c r="AK75" s="99">
        <f t="shared" si="98"/>
        <v>0.994</v>
      </c>
      <c r="AL75" s="1">
        <f t="shared" si="98"/>
        <v>1.2</v>
      </c>
      <c r="AM75" s="272">
        <f>(AI75*5900+AK75*3400+AL75*300+AH75*$AJ$72)/AH75</f>
        <v>3752.6</v>
      </c>
      <c r="AO75" s="276"/>
      <c r="AP75" s="1">
        <v>1</v>
      </c>
      <c r="AQ75" s="99">
        <f t="shared" ref="AQ75:AQ91" si="99">AI75</f>
        <v>0</v>
      </c>
      <c r="AR75" s="1">
        <f>AR76</f>
        <v>0.5</v>
      </c>
      <c r="AS75" s="99">
        <f>AS76</f>
        <v>1.094</v>
      </c>
      <c r="AT75" s="1">
        <f>AT76</f>
        <v>1.3</v>
      </c>
      <c r="AU75" s="272">
        <f>(AQ75*5900+AS75*3400+AT75*300+$AR$72*AP75)/AP75</f>
        <v>4124.1</v>
      </c>
      <c r="AV75" s="1"/>
      <c r="AW75" s="276"/>
      <c r="AX75" s="1">
        <v>1</v>
      </c>
      <c r="AY75" s="99">
        <f t="shared" ref="AY75:AY91" si="100">AQ75</f>
        <v>0</v>
      </c>
      <c r="AZ75" s="1">
        <f>AZ76</f>
        <v>0.5</v>
      </c>
      <c r="BA75" s="99">
        <f>AS75+0.1</f>
        <v>1.194</v>
      </c>
      <c r="BB75" s="1">
        <f>AT75+0.1</f>
        <v>1.4</v>
      </c>
      <c r="BC75" s="272">
        <f>(AY75*5900+BA75*3400+BB75*300+$AZ$72*AX75)/AX75</f>
        <v>4495.6</v>
      </c>
    </row>
    <row r="76" spans="1:58">
      <c r="B76" s="1">
        <v>101</v>
      </c>
      <c r="C76" s="99">
        <f t="shared" ref="C76:C91" si="101">S76</f>
        <v>0</v>
      </c>
      <c r="D76" s="1">
        <v>0.2</v>
      </c>
      <c r="E76" s="99">
        <f>E53*1.12</f>
        <v>0.56</v>
      </c>
      <c r="F76" s="1">
        <f t="shared" ref="F76:F91" si="102">F53+0.2</f>
        <v>0.8</v>
      </c>
      <c r="G76" s="272">
        <f t="shared" ref="G76:G91" si="103">(C76*5900+E76*3400+F76*300+B76*$D$72)/B76</f>
        <v>28.2277227722772</v>
      </c>
      <c r="I76" s="276"/>
      <c r="J76" s="1">
        <v>101</v>
      </c>
      <c r="K76" s="99">
        <f t="shared" ref="K76:K91" si="104">S76</f>
        <v>0</v>
      </c>
      <c r="L76" s="1">
        <v>0.2</v>
      </c>
      <c r="M76" s="99">
        <f>E76*1.15</f>
        <v>0.644</v>
      </c>
      <c r="N76" s="1">
        <f t="shared" ref="N76:N91" si="105">F76+0.1</f>
        <v>0.9</v>
      </c>
      <c r="O76" s="272">
        <f t="shared" ref="O76:O91" si="106">(K76*5900+M76*3400+N76*300+$L$72*J76)/J76</f>
        <v>32.8524752475247</v>
      </c>
      <c r="Q76" s="276"/>
      <c r="R76" s="1">
        <v>101</v>
      </c>
      <c r="S76" s="99">
        <f t="shared" ref="S76:S91" si="107">S53</f>
        <v>0</v>
      </c>
      <c r="T76" s="1">
        <v>0.2</v>
      </c>
      <c r="U76" s="99">
        <f>M76+0.1</f>
        <v>0.744</v>
      </c>
      <c r="V76" s="1">
        <f t="shared" ref="V76:V91" si="108">N76+0.1</f>
        <v>1</v>
      </c>
      <c r="W76" s="272">
        <f t="shared" ref="W76:W91" si="109">(S76*5900+U76*3400+V76*300+$T$72*R76)/R76</f>
        <v>38.0158415841584</v>
      </c>
      <c r="Y76" s="276"/>
      <c r="Z76" s="1">
        <v>101</v>
      </c>
      <c r="AA76" s="99">
        <f t="shared" ref="AA76:AA91" si="110">S76*1.1</f>
        <v>0</v>
      </c>
      <c r="AB76" s="1">
        <v>0.3</v>
      </c>
      <c r="AC76" s="99">
        <f>U76+0.15</f>
        <v>0.894</v>
      </c>
      <c r="AD76" s="1">
        <f t="shared" ref="AD76:AD91" si="111">V76+0.1</f>
        <v>1.1</v>
      </c>
      <c r="AE76" s="272">
        <f t="shared" ref="AE76:AE91" si="112">(AA76*5900+AC76*3400+AD76*300+Z76*$AB$72)/Z76</f>
        <v>44.8623762376238</v>
      </c>
      <c r="AG76" s="276"/>
      <c r="AH76" s="1">
        <v>101</v>
      </c>
      <c r="AI76" s="99">
        <f t="shared" si="97"/>
        <v>0</v>
      </c>
      <c r="AJ76" s="1">
        <f t="shared" ref="AJ76:AJ91" si="113">AB76+0.1</f>
        <v>0.4</v>
      </c>
      <c r="AK76" s="99">
        <f>AC76+0.1</f>
        <v>0.994</v>
      </c>
      <c r="AL76" s="1">
        <f t="shared" ref="AL76:AL91" si="114">AD76+0.1</f>
        <v>1.2</v>
      </c>
      <c r="AM76" s="272">
        <f t="shared" ref="AM76:AM91" si="115">(AI76*5900+AK76*3400+AL76*300+AH76*$AJ$72)/AH76</f>
        <v>50.0257425742574</v>
      </c>
      <c r="AO76" s="276"/>
      <c r="AP76" s="1">
        <v>101</v>
      </c>
      <c r="AQ76" s="99">
        <f t="shared" si="99"/>
        <v>0</v>
      </c>
      <c r="AR76" s="1">
        <f t="shared" ref="AR76:AR91" si="116">AJ76+0.1</f>
        <v>0.5</v>
      </c>
      <c r="AS76" s="99">
        <f>AK76+0.1</f>
        <v>1.094</v>
      </c>
      <c r="AT76" s="1">
        <f t="shared" ref="AT76:AT91" si="117">AL76+0.1</f>
        <v>1.3</v>
      </c>
      <c r="AU76" s="272">
        <f t="shared" ref="AU76:AU91" si="118">(AQ76*5900+AS76*3400+AT76*300+$AR$72*AP76)/AP76</f>
        <v>55.1891089108911</v>
      </c>
      <c r="AV76" s="1"/>
      <c r="AW76" s="276"/>
      <c r="AX76" s="1">
        <v>101</v>
      </c>
      <c r="AY76" s="99">
        <f t="shared" si="100"/>
        <v>0</v>
      </c>
      <c r="AZ76" s="1">
        <f t="shared" ref="AZ76:AZ91" si="119">AR76</f>
        <v>0.5</v>
      </c>
      <c r="BA76" s="99">
        <f>AS76+0.1</f>
        <v>1.194</v>
      </c>
      <c r="BB76" s="1">
        <f t="shared" ref="BB76:BB91" si="120">AT76+0.1</f>
        <v>1.4</v>
      </c>
      <c r="BC76" s="272">
        <f t="shared" ref="BC76:BC91" si="121">(AY76*5900+BA76*3400+BB76*300+$AZ$72*AX76)/AX76</f>
        <v>60.3524752475248</v>
      </c>
    </row>
    <row r="77" spans="1:58">
      <c r="B77" s="1">
        <v>201</v>
      </c>
      <c r="C77" s="99">
        <f t="shared" si="101"/>
        <v>0</v>
      </c>
      <c r="D77" s="1">
        <v>0.2</v>
      </c>
      <c r="E77" s="99">
        <f t="shared" ref="E77:E91" si="122">E54*1.12</f>
        <v>0.896</v>
      </c>
      <c r="F77" s="1">
        <f t="shared" si="102"/>
        <v>1.2</v>
      </c>
      <c r="G77" s="272">
        <f t="shared" si="103"/>
        <v>23.947263681592</v>
      </c>
      <c r="I77" s="276"/>
      <c r="J77" s="1">
        <v>201</v>
      </c>
      <c r="K77" s="99">
        <f t="shared" si="104"/>
        <v>0</v>
      </c>
      <c r="L77" s="1">
        <v>0.2</v>
      </c>
      <c r="M77" s="99">
        <f>E77*1.15</f>
        <v>1.0304</v>
      </c>
      <c r="N77" s="1">
        <f t="shared" si="105"/>
        <v>1.3</v>
      </c>
      <c r="O77" s="272">
        <f t="shared" si="106"/>
        <v>27.8699502487562</v>
      </c>
      <c r="Q77" s="276"/>
      <c r="R77" s="1">
        <v>201</v>
      </c>
      <c r="S77" s="99">
        <f t="shared" si="107"/>
        <v>0</v>
      </c>
      <c r="T77" s="1">
        <v>0.2</v>
      </c>
      <c r="U77" s="99">
        <f t="shared" ref="U77:U91" si="123">M77+0.1</f>
        <v>1.1304</v>
      </c>
      <c r="V77" s="1">
        <f t="shared" si="108"/>
        <v>1.4</v>
      </c>
      <c r="W77" s="272">
        <f t="shared" si="109"/>
        <v>31.2107462686567</v>
      </c>
      <c r="Y77" s="276"/>
      <c r="Z77" s="1">
        <v>201</v>
      </c>
      <c r="AA77" s="99">
        <f t="shared" si="110"/>
        <v>0</v>
      </c>
      <c r="AB77" s="1">
        <v>0.3</v>
      </c>
      <c r="AC77" s="99">
        <f t="shared" ref="AC77:AC91" si="124">U77+0.15</f>
        <v>1.2804</v>
      </c>
      <c r="AD77" s="1">
        <f t="shared" si="111"/>
        <v>1.5</v>
      </c>
      <c r="AE77" s="272">
        <f t="shared" si="112"/>
        <v>35.3973134328358</v>
      </c>
      <c r="AG77" s="276"/>
      <c r="AH77" s="1">
        <v>201</v>
      </c>
      <c r="AI77" s="99">
        <f t="shared" si="97"/>
        <v>0</v>
      </c>
      <c r="AJ77" s="1">
        <f t="shared" si="113"/>
        <v>0.4</v>
      </c>
      <c r="AK77" s="99">
        <f t="shared" ref="AK77:AK91" si="125">AC77+0.1</f>
        <v>1.3804</v>
      </c>
      <c r="AL77" s="1">
        <f t="shared" si="114"/>
        <v>1.6</v>
      </c>
      <c r="AM77" s="272">
        <f t="shared" si="115"/>
        <v>38.7381094527363</v>
      </c>
      <c r="AO77" s="276"/>
      <c r="AP77" s="1">
        <v>201</v>
      </c>
      <c r="AQ77" s="99">
        <f t="shared" si="99"/>
        <v>0</v>
      </c>
      <c r="AR77" s="1">
        <f t="shared" si="116"/>
        <v>0.5</v>
      </c>
      <c r="AS77" s="99">
        <f t="shared" ref="AS77:AS91" si="126">AK77+0.1</f>
        <v>1.4804</v>
      </c>
      <c r="AT77" s="1">
        <f t="shared" si="117"/>
        <v>1.7</v>
      </c>
      <c r="AU77" s="272">
        <f t="shared" si="118"/>
        <v>42.0789054726368</v>
      </c>
      <c r="AV77" s="1"/>
      <c r="AW77" s="276"/>
      <c r="AX77" s="1">
        <v>201</v>
      </c>
      <c r="AY77" s="99">
        <f t="shared" si="100"/>
        <v>0</v>
      </c>
      <c r="AZ77" s="1">
        <f t="shared" si="119"/>
        <v>0.5</v>
      </c>
      <c r="BA77" s="99">
        <f t="shared" ref="BA77:BA79" si="127">AS77+0.1</f>
        <v>1.5804</v>
      </c>
      <c r="BB77" s="1">
        <f t="shared" si="120"/>
        <v>1.8</v>
      </c>
      <c r="BC77" s="272">
        <f t="shared" si="121"/>
        <v>45.4197014925373</v>
      </c>
    </row>
    <row r="78" spans="1:58">
      <c r="B78" s="1">
        <v>301</v>
      </c>
      <c r="C78" s="99">
        <f t="shared" si="101"/>
        <v>0</v>
      </c>
      <c r="D78" s="1">
        <v>0.2</v>
      </c>
      <c r="E78" s="99">
        <f t="shared" si="122"/>
        <v>1.12</v>
      </c>
      <c r="F78" s="1">
        <f t="shared" si="102"/>
        <v>1.3</v>
      </c>
      <c r="G78" s="272">
        <f t="shared" si="103"/>
        <v>20.9468438538206</v>
      </c>
      <c r="I78" s="276"/>
      <c r="J78" s="1">
        <v>301</v>
      </c>
      <c r="K78" s="99">
        <f t="shared" si="104"/>
        <v>0</v>
      </c>
      <c r="L78" s="1">
        <v>0.2</v>
      </c>
      <c r="M78" s="99">
        <f>E78*1.15</f>
        <v>1.288</v>
      </c>
      <c r="N78" s="1">
        <f t="shared" si="105"/>
        <v>1.4</v>
      </c>
      <c r="O78" s="272">
        <f t="shared" si="106"/>
        <v>24.4441860465116</v>
      </c>
      <c r="Q78" s="276"/>
      <c r="R78" s="1">
        <v>301</v>
      </c>
      <c r="S78" s="99">
        <f t="shared" si="107"/>
        <v>0</v>
      </c>
      <c r="T78" s="1">
        <v>0.2</v>
      </c>
      <c r="U78" s="99">
        <f t="shared" si="123"/>
        <v>1.388</v>
      </c>
      <c r="V78" s="1">
        <f t="shared" si="108"/>
        <v>1.5</v>
      </c>
      <c r="W78" s="272">
        <f t="shared" si="109"/>
        <v>27.1734219269103</v>
      </c>
      <c r="Y78" s="276"/>
      <c r="Z78" s="1">
        <v>301</v>
      </c>
      <c r="AA78" s="99">
        <f t="shared" si="110"/>
        <v>0</v>
      </c>
      <c r="AB78" s="1">
        <v>0.3</v>
      </c>
      <c r="AC78" s="99">
        <f t="shared" si="124"/>
        <v>1.538</v>
      </c>
      <c r="AD78" s="1">
        <f t="shared" si="111"/>
        <v>1.6</v>
      </c>
      <c r="AE78" s="272">
        <f t="shared" si="112"/>
        <v>30.4674418604651</v>
      </c>
      <c r="AG78" s="276"/>
      <c r="AH78" s="1">
        <v>301</v>
      </c>
      <c r="AI78" s="99">
        <f t="shared" si="97"/>
        <v>0</v>
      </c>
      <c r="AJ78" s="1">
        <f t="shared" si="113"/>
        <v>0.4</v>
      </c>
      <c r="AK78" s="99">
        <f t="shared" si="125"/>
        <v>1.638</v>
      </c>
      <c r="AL78" s="1">
        <f t="shared" si="114"/>
        <v>1.7</v>
      </c>
      <c r="AM78" s="272">
        <f t="shared" si="115"/>
        <v>33.1966777408638</v>
      </c>
      <c r="AO78" s="276"/>
      <c r="AP78" s="1">
        <v>301</v>
      </c>
      <c r="AQ78" s="99">
        <f t="shared" si="99"/>
        <v>0</v>
      </c>
      <c r="AR78" s="1">
        <f t="shared" si="116"/>
        <v>0.5</v>
      </c>
      <c r="AS78" s="99">
        <f t="shared" si="126"/>
        <v>1.738</v>
      </c>
      <c r="AT78" s="1">
        <f t="shared" si="117"/>
        <v>1.8</v>
      </c>
      <c r="AU78" s="272">
        <f t="shared" si="118"/>
        <v>35.9259136212625</v>
      </c>
      <c r="AV78" s="1"/>
      <c r="AW78" s="276"/>
      <c r="AX78" s="1">
        <v>301</v>
      </c>
      <c r="AY78" s="99">
        <f t="shared" si="100"/>
        <v>0</v>
      </c>
      <c r="AZ78" s="1">
        <f t="shared" si="119"/>
        <v>0.5</v>
      </c>
      <c r="BA78" s="99">
        <f t="shared" si="127"/>
        <v>1.838</v>
      </c>
      <c r="BB78" s="1">
        <f t="shared" si="120"/>
        <v>1.9</v>
      </c>
      <c r="BC78" s="272">
        <f t="shared" si="121"/>
        <v>38.6551495016611</v>
      </c>
    </row>
    <row r="79" spans="1:58">
      <c r="B79" s="1">
        <v>501</v>
      </c>
      <c r="C79" s="99">
        <f t="shared" si="101"/>
        <v>0.1</v>
      </c>
      <c r="D79" s="1">
        <v>0.3</v>
      </c>
      <c r="E79" s="99">
        <f t="shared" si="122"/>
        <v>1.456</v>
      </c>
      <c r="F79" s="1">
        <f t="shared" si="102"/>
        <v>1.4</v>
      </c>
      <c r="G79" s="272">
        <f t="shared" si="103"/>
        <v>18.897005988024</v>
      </c>
      <c r="I79" s="276"/>
      <c r="J79" s="1">
        <v>501</v>
      </c>
      <c r="K79" s="99">
        <f t="shared" si="104"/>
        <v>0.1</v>
      </c>
      <c r="L79" s="1">
        <v>0.3</v>
      </c>
      <c r="M79" s="99">
        <f>E79*1.15</f>
        <v>1.6744</v>
      </c>
      <c r="N79" s="1">
        <f t="shared" si="105"/>
        <v>1.5</v>
      </c>
      <c r="O79" s="272">
        <f t="shared" si="106"/>
        <v>21.9390419161677</v>
      </c>
      <c r="Q79" s="276"/>
      <c r="R79" s="1">
        <v>501</v>
      </c>
      <c r="S79" s="99">
        <f t="shared" si="107"/>
        <v>0.1</v>
      </c>
      <c r="T79" s="1">
        <v>0.3</v>
      </c>
      <c r="U79" s="99">
        <f t="shared" si="123"/>
        <v>1.7744</v>
      </c>
      <c r="V79" s="1">
        <f t="shared" si="108"/>
        <v>1.6</v>
      </c>
      <c r="W79" s="272">
        <f t="shared" si="109"/>
        <v>24.1775648702595</v>
      </c>
      <c r="Y79" s="276"/>
      <c r="Z79" s="1">
        <v>501</v>
      </c>
      <c r="AA79" s="99">
        <f t="shared" si="110"/>
        <v>0.11</v>
      </c>
      <c r="AB79" s="1">
        <v>0.3</v>
      </c>
      <c r="AC79" s="99">
        <f t="shared" si="124"/>
        <v>1.9244</v>
      </c>
      <c r="AD79" s="1">
        <f t="shared" si="111"/>
        <v>1.7</v>
      </c>
      <c r="AE79" s="272">
        <f t="shared" si="112"/>
        <v>26.8731736526946</v>
      </c>
      <c r="AG79" s="276"/>
      <c r="AH79" s="1">
        <v>501</v>
      </c>
      <c r="AI79" s="99">
        <f t="shared" si="97"/>
        <v>0.11</v>
      </c>
      <c r="AJ79" s="1">
        <f t="shared" si="113"/>
        <v>0.4</v>
      </c>
      <c r="AK79" s="99">
        <f t="shared" si="125"/>
        <v>2.0244</v>
      </c>
      <c r="AL79" s="1">
        <f t="shared" si="114"/>
        <v>1.8</v>
      </c>
      <c r="AM79" s="272">
        <f t="shared" si="115"/>
        <v>29.1116966067864</v>
      </c>
      <c r="AO79" s="276"/>
      <c r="AP79" s="1">
        <v>501</v>
      </c>
      <c r="AQ79" s="99">
        <f t="shared" si="99"/>
        <v>0.11</v>
      </c>
      <c r="AR79" s="1">
        <f t="shared" si="116"/>
        <v>0.5</v>
      </c>
      <c r="AS79" s="99">
        <f t="shared" si="126"/>
        <v>2.1244</v>
      </c>
      <c r="AT79" s="1">
        <f t="shared" si="117"/>
        <v>1.9</v>
      </c>
      <c r="AU79" s="272">
        <f t="shared" si="118"/>
        <v>31.3502195608782</v>
      </c>
      <c r="AV79" s="1"/>
      <c r="AW79" s="276"/>
      <c r="AX79" s="1">
        <v>501</v>
      </c>
      <c r="AY79" s="99">
        <f t="shared" si="100"/>
        <v>0.11</v>
      </c>
      <c r="AZ79" s="1">
        <f t="shared" si="119"/>
        <v>0.5</v>
      </c>
      <c r="BA79" s="99">
        <f t="shared" si="127"/>
        <v>2.2244</v>
      </c>
      <c r="BB79" s="1">
        <f t="shared" si="120"/>
        <v>2</v>
      </c>
      <c r="BC79" s="272">
        <f t="shared" si="121"/>
        <v>33.5887425149701</v>
      </c>
    </row>
    <row r="80" spans="1:58">
      <c r="B80" s="1">
        <v>701</v>
      </c>
      <c r="C80" s="99">
        <f t="shared" si="101"/>
        <v>0.1</v>
      </c>
      <c r="D80" s="1">
        <v>0.3</v>
      </c>
      <c r="E80" s="99">
        <f t="shared" si="122"/>
        <v>1.68</v>
      </c>
      <c r="F80" s="1">
        <f t="shared" si="102"/>
        <v>1.5</v>
      </c>
      <c r="G80" s="272">
        <f t="shared" si="103"/>
        <v>16.6319543509272</v>
      </c>
      <c r="I80" s="276"/>
      <c r="J80" s="1">
        <v>701</v>
      </c>
      <c r="K80" s="99">
        <f t="shared" si="104"/>
        <v>0.1</v>
      </c>
      <c r="L80" s="1">
        <v>0.3</v>
      </c>
      <c r="M80" s="99">
        <f>E80*1.15</f>
        <v>1.932</v>
      </c>
      <c r="N80" s="1">
        <f t="shared" si="105"/>
        <v>1.6</v>
      </c>
      <c r="O80" s="272">
        <f t="shared" si="106"/>
        <v>19.3970042796006</v>
      </c>
      <c r="Q80" s="276"/>
      <c r="R80" s="1">
        <v>701</v>
      </c>
      <c r="S80" s="99">
        <f t="shared" si="107"/>
        <v>0.1</v>
      </c>
      <c r="T80" s="1">
        <v>0.3</v>
      </c>
      <c r="U80" s="99">
        <f t="shared" si="123"/>
        <v>2.032</v>
      </c>
      <c r="V80" s="1">
        <f t="shared" si="108"/>
        <v>1.7</v>
      </c>
      <c r="W80" s="272">
        <f t="shared" si="109"/>
        <v>21.4248216833096</v>
      </c>
      <c r="Y80" s="276"/>
      <c r="Z80" s="1">
        <v>701</v>
      </c>
      <c r="AA80" s="99">
        <f t="shared" si="110"/>
        <v>0.11</v>
      </c>
      <c r="AB80" s="1">
        <v>0.3</v>
      </c>
      <c r="AC80" s="99">
        <f t="shared" si="124"/>
        <v>2.182</v>
      </c>
      <c r="AD80" s="1">
        <f t="shared" si="111"/>
        <v>1.8</v>
      </c>
      <c r="AE80" s="272">
        <f t="shared" si="112"/>
        <v>23.7793152639087</v>
      </c>
      <c r="AG80" s="276"/>
      <c r="AH80" s="1">
        <v>701</v>
      </c>
      <c r="AI80" s="99">
        <f t="shared" si="97"/>
        <v>0.11</v>
      </c>
      <c r="AJ80" s="1">
        <f t="shared" si="113"/>
        <v>0.4</v>
      </c>
      <c r="AK80" s="99">
        <f t="shared" si="125"/>
        <v>2.282</v>
      </c>
      <c r="AL80" s="1">
        <f t="shared" si="114"/>
        <v>1.9</v>
      </c>
      <c r="AM80" s="272">
        <f t="shared" si="115"/>
        <v>25.8071326676177</v>
      </c>
      <c r="AO80" s="276"/>
      <c r="AP80" s="1">
        <v>701</v>
      </c>
      <c r="AQ80" s="99">
        <f t="shared" si="99"/>
        <v>0.11</v>
      </c>
      <c r="AR80" s="1">
        <f t="shared" si="116"/>
        <v>0.5</v>
      </c>
      <c r="AS80" s="99">
        <f t="shared" si="126"/>
        <v>2.382</v>
      </c>
      <c r="AT80" s="1">
        <f t="shared" si="117"/>
        <v>2</v>
      </c>
      <c r="AU80" s="272">
        <f t="shared" si="118"/>
        <v>27.8349500713267</v>
      </c>
      <c r="AV80" s="1"/>
      <c r="AW80" s="276"/>
      <c r="AX80" s="1">
        <v>701</v>
      </c>
      <c r="AY80" s="99">
        <f t="shared" si="100"/>
        <v>0.11</v>
      </c>
      <c r="AZ80" s="1">
        <f t="shared" si="119"/>
        <v>0.5</v>
      </c>
      <c r="BA80" s="99">
        <f t="shared" ref="BA80:BA91" si="128">AS80+0.2</f>
        <v>2.582</v>
      </c>
      <c r="BB80" s="1">
        <f t="shared" si="120"/>
        <v>2.1</v>
      </c>
      <c r="BC80" s="272">
        <f t="shared" si="121"/>
        <v>30.3477888730385</v>
      </c>
    </row>
    <row r="81" spans="2:58">
      <c r="B81" s="1">
        <v>901</v>
      </c>
      <c r="C81" s="99">
        <f t="shared" si="101"/>
        <v>0.1</v>
      </c>
      <c r="D81" s="1">
        <v>0.4</v>
      </c>
      <c r="E81" s="99">
        <f t="shared" si="122"/>
        <v>2.016</v>
      </c>
      <c r="F81" s="1">
        <f t="shared" si="102"/>
        <v>1.5</v>
      </c>
      <c r="G81" s="272">
        <f t="shared" si="103"/>
        <v>15.761820199778</v>
      </c>
      <c r="I81" s="276"/>
      <c r="J81" s="1">
        <v>901</v>
      </c>
      <c r="K81" s="99">
        <f t="shared" si="104"/>
        <v>0.1</v>
      </c>
      <c r="L81" s="1">
        <v>0.4</v>
      </c>
      <c r="M81" s="99">
        <v>2.1</v>
      </c>
      <c r="N81" s="1">
        <f t="shared" si="105"/>
        <v>1.6</v>
      </c>
      <c r="O81" s="272">
        <f t="shared" si="106"/>
        <v>17.6120976692564</v>
      </c>
      <c r="Q81" s="276"/>
      <c r="R81" s="1">
        <v>901</v>
      </c>
      <c r="S81" s="99">
        <f t="shared" si="107"/>
        <v>0.1</v>
      </c>
      <c r="T81" s="1">
        <v>0.4</v>
      </c>
      <c r="U81" s="99">
        <f t="shared" si="123"/>
        <v>2.2</v>
      </c>
      <c r="V81" s="1">
        <f t="shared" si="108"/>
        <v>1.7</v>
      </c>
      <c r="W81" s="272">
        <f t="shared" si="109"/>
        <v>19.5227524972253</v>
      </c>
      <c r="Y81" s="276"/>
      <c r="Z81" s="1">
        <v>901</v>
      </c>
      <c r="AA81" s="99">
        <f t="shared" si="110"/>
        <v>0.11</v>
      </c>
      <c r="AB81" s="1">
        <v>0.4</v>
      </c>
      <c r="AC81" s="99">
        <f t="shared" si="124"/>
        <v>2.35</v>
      </c>
      <c r="AD81" s="1">
        <f t="shared" si="111"/>
        <v>1.8</v>
      </c>
      <c r="AE81" s="272">
        <f t="shared" si="112"/>
        <v>21.6875693673696</v>
      </c>
      <c r="AG81" s="276"/>
      <c r="AH81" s="1">
        <v>901</v>
      </c>
      <c r="AI81" s="99">
        <f t="shared" si="97"/>
        <v>0.11</v>
      </c>
      <c r="AJ81" s="1">
        <f t="shared" si="113"/>
        <v>0.5</v>
      </c>
      <c r="AK81" s="99">
        <f t="shared" si="125"/>
        <v>2.45</v>
      </c>
      <c r="AL81" s="1">
        <f t="shared" si="114"/>
        <v>1.9</v>
      </c>
      <c r="AM81" s="272">
        <f t="shared" si="115"/>
        <v>23.5982241953385</v>
      </c>
      <c r="AO81" s="276"/>
      <c r="AP81" s="1">
        <v>901</v>
      </c>
      <c r="AQ81" s="99">
        <f t="shared" si="99"/>
        <v>0.11</v>
      </c>
      <c r="AR81" s="1">
        <f t="shared" si="116"/>
        <v>0.6</v>
      </c>
      <c r="AS81" s="99">
        <f t="shared" si="126"/>
        <v>2.55</v>
      </c>
      <c r="AT81" s="1">
        <f t="shared" si="117"/>
        <v>2</v>
      </c>
      <c r="AU81" s="272">
        <f t="shared" si="118"/>
        <v>25.5088790233074</v>
      </c>
      <c r="AV81" s="1"/>
      <c r="AW81" s="276"/>
      <c r="AX81" s="1">
        <v>901</v>
      </c>
      <c r="AY81" s="99">
        <f t="shared" si="100"/>
        <v>0.11</v>
      </c>
      <c r="AZ81" s="1">
        <f t="shared" si="119"/>
        <v>0.6</v>
      </c>
      <c r="BA81" s="99">
        <f t="shared" si="128"/>
        <v>2.75</v>
      </c>
      <c r="BB81" s="1">
        <f t="shared" si="120"/>
        <v>2.1</v>
      </c>
      <c r="BC81" s="272">
        <f t="shared" si="121"/>
        <v>27.7968923418424</v>
      </c>
    </row>
    <row r="82" spans="2:58">
      <c r="B82" s="1">
        <v>1001</v>
      </c>
      <c r="C82" s="99">
        <f t="shared" si="101"/>
        <v>0.2</v>
      </c>
      <c r="D82" s="1">
        <v>0.4</v>
      </c>
      <c r="E82" s="99">
        <f t="shared" si="122"/>
        <v>2.24</v>
      </c>
      <c r="F82" s="1">
        <f t="shared" si="102"/>
        <v>1.7</v>
      </c>
      <c r="G82" s="272">
        <f t="shared" si="103"/>
        <v>16.2967032967033</v>
      </c>
      <c r="I82" s="276"/>
      <c r="J82" s="1">
        <v>1001</v>
      </c>
      <c r="K82" s="99">
        <f t="shared" si="104"/>
        <v>0.2</v>
      </c>
      <c r="L82" s="1">
        <v>0.4</v>
      </c>
      <c r="M82" s="99">
        <f>E82+0.1</f>
        <v>2.34</v>
      </c>
      <c r="N82" s="1">
        <f t="shared" si="105"/>
        <v>1.8</v>
      </c>
      <c r="O82" s="272">
        <f t="shared" si="106"/>
        <v>18.1663336663337</v>
      </c>
      <c r="Q82" s="276"/>
      <c r="R82" s="1">
        <v>1001</v>
      </c>
      <c r="S82" s="99">
        <f t="shared" si="107"/>
        <v>0.2</v>
      </c>
      <c r="T82" s="1">
        <v>0.4</v>
      </c>
      <c r="U82" s="99">
        <f t="shared" si="123"/>
        <v>2.44</v>
      </c>
      <c r="V82" s="1">
        <f t="shared" si="108"/>
        <v>1.9</v>
      </c>
      <c r="W82" s="272">
        <f t="shared" si="109"/>
        <v>20.035964035964</v>
      </c>
      <c r="Y82" s="276"/>
      <c r="Z82" s="1">
        <v>1001</v>
      </c>
      <c r="AA82" s="99">
        <f t="shared" si="110"/>
        <v>0.22</v>
      </c>
      <c r="AB82" s="1">
        <v>0.4</v>
      </c>
      <c r="AC82" s="99">
        <f t="shared" si="124"/>
        <v>2.59</v>
      </c>
      <c r="AD82" s="1">
        <f t="shared" si="111"/>
        <v>2</v>
      </c>
      <c r="AE82" s="272">
        <f t="shared" si="112"/>
        <v>22.1933066933067</v>
      </c>
      <c r="AG82" s="276"/>
      <c r="AH82" s="1">
        <v>1001</v>
      </c>
      <c r="AI82" s="99">
        <f t="shared" si="97"/>
        <v>0.22</v>
      </c>
      <c r="AJ82" s="1">
        <f t="shared" si="113"/>
        <v>0.5</v>
      </c>
      <c r="AK82" s="99">
        <f t="shared" si="125"/>
        <v>2.69</v>
      </c>
      <c r="AL82" s="1">
        <f t="shared" si="114"/>
        <v>2.1</v>
      </c>
      <c r="AM82" s="272">
        <f t="shared" si="115"/>
        <v>24.0629370629371</v>
      </c>
      <c r="AO82" s="276"/>
      <c r="AP82" s="1">
        <v>1001</v>
      </c>
      <c r="AQ82" s="99">
        <f t="shared" si="99"/>
        <v>0.22</v>
      </c>
      <c r="AR82" s="1">
        <f t="shared" si="116"/>
        <v>0.6</v>
      </c>
      <c r="AS82" s="99">
        <f t="shared" si="126"/>
        <v>2.79</v>
      </c>
      <c r="AT82" s="1">
        <f t="shared" si="117"/>
        <v>2.2</v>
      </c>
      <c r="AU82" s="272">
        <f t="shared" si="118"/>
        <v>25.9325674325674</v>
      </c>
      <c r="AV82" s="1"/>
      <c r="AW82" s="276"/>
      <c r="AX82" s="1">
        <v>1001</v>
      </c>
      <c r="AY82" s="99">
        <f t="shared" si="100"/>
        <v>0.22</v>
      </c>
      <c r="AZ82" s="1">
        <f t="shared" si="119"/>
        <v>0.6</v>
      </c>
      <c r="BA82" s="99">
        <f t="shared" si="128"/>
        <v>2.99</v>
      </c>
      <c r="BB82" s="1">
        <f t="shared" si="120"/>
        <v>2.3</v>
      </c>
      <c r="BC82" s="272">
        <f t="shared" si="121"/>
        <v>28.1418581418581</v>
      </c>
    </row>
    <row r="83" spans="2:58">
      <c r="B83" s="1">
        <v>1201</v>
      </c>
      <c r="C83" s="99">
        <f t="shared" si="101"/>
        <v>0.2</v>
      </c>
      <c r="D83" s="1">
        <v>0.5</v>
      </c>
      <c r="E83" s="99">
        <f t="shared" si="122"/>
        <v>2.352</v>
      </c>
      <c r="F83" s="1">
        <f t="shared" si="102"/>
        <v>1.9</v>
      </c>
      <c r="G83" s="272">
        <f t="shared" si="103"/>
        <v>15.115570358035</v>
      </c>
      <c r="I83" s="276"/>
      <c r="J83" s="1">
        <v>1201</v>
      </c>
      <c r="K83" s="99">
        <f t="shared" si="104"/>
        <v>0.2</v>
      </c>
      <c r="L83" s="1">
        <v>0.5</v>
      </c>
      <c r="M83" s="99">
        <f t="shared" ref="M83:M91" si="129">E83+0.1</f>
        <v>2.452</v>
      </c>
      <c r="N83" s="1">
        <f t="shared" si="105"/>
        <v>2</v>
      </c>
      <c r="O83" s="272">
        <f t="shared" si="106"/>
        <v>16.9236469608659</v>
      </c>
      <c r="Q83" s="276"/>
      <c r="R83" s="1">
        <v>1201</v>
      </c>
      <c r="S83" s="99">
        <f t="shared" si="107"/>
        <v>0.2</v>
      </c>
      <c r="T83" s="1">
        <v>0.5</v>
      </c>
      <c r="U83" s="99">
        <f t="shared" si="123"/>
        <v>2.552</v>
      </c>
      <c r="V83" s="1">
        <f t="shared" si="108"/>
        <v>2.1</v>
      </c>
      <c r="W83" s="272">
        <f t="shared" si="109"/>
        <v>18.7317235636969</v>
      </c>
      <c r="Y83" s="276"/>
      <c r="Z83" s="1">
        <v>1201</v>
      </c>
      <c r="AA83" s="99">
        <f t="shared" si="110"/>
        <v>0.22</v>
      </c>
      <c r="AB83" s="1">
        <v>0.5</v>
      </c>
      <c r="AC83" s="99">
        <f t="shared" si="124"/>
        <v>2.702</v>
      </c>
      <c r="AD83" s="1">
        <f t="shared" si="111"/>
        <v>2.2</v>
      </c>
      <c r="AE83" s="272">
        <f t="shared" si="112"/>
        <v>20.7796003330558</v>
      </c>
      <c r="AG83" s="276"/>
      <c r="AH83" s="1">
        <v>1201</v>
      </c>
      <c r="AI83" s="99">
        <f t="shared" si="97"/>
        <v>0.22</v>
      </c>
      <c r="AJ83" s="1">
        <f t="shared" si="113"/>
        <v>0.6</v>
      </c>
      <c r="AK83" s="99">
        <f t="shared" si="125"/>
        <v>2.802</v>
      </c>
      <c r="AL83" s="1">
        <f t="shared" si="114"/>
        <v>2.3</v>
      </c>
      <c r="AM83" s="272">
        <f t="shared" si="115"/>
        <v>22.5876769358868</v>
      </c>
      <c r="AO83" s="276"/>
      <c r="AP83" s="1">
        <v>1201</v>
      </c>
      <c r="AQ83" s="99">
        <f t="shared" si="99"/>
        <v>0.22</v>
      </c>
      <c r="AR83" s="1">
        <f t="shared" si="116"/>
        <v>0.7</v>
      </c>
      <c r="AS83" s="99">
        <f t="shared" si="126"/>
        <v>2.902</v>
      </c>
      <c r="AT83" s="1">
        <f t="shared" si="117"/>
        <v>2.4</v>
      </c>
      <c r="AU83" s="272">
        <f t="shared" si="118"/>
        <v>24.3957535387177</v>
      </c>
      <c r="AV83" s="1"/>
      <c r="AW83" s="276"/>
      <c r="AX83" s="1">
        <v>1201</v>
      </c>
      <c r="AY83" s="99">
        <f t="shared" si="100"/>
        <v>0.22</v>
      </c>
      <c r="AZ83" s="1">
        <f t="shared" si="119"/>
        <v>0.7</v>
      </c>
      <c r="BA83" s="99">
        <f t="shared" si="128"/>
        <v>3.102</v>
      </c>
      <c r="BB83" s="1">
        <f t="shared" si="120"/>
        <v>2.5</v>
      </c>
      <c r="BC83" s="272">
        <f t="shared" si="121"/>
        <v>26.4869275603664</v>
      </c>
    </row>
    <row r="84" spans="2:58">
      <c r="B84" s="1">
        <v>1401</v>
      </c>
      <c r="C84" s="99">
        <f t="shared" si="101"/>
        <v>0.2</v>
      </c>
      <c r="D84" s="1">
        <v>0.5</v>
      </c>
      <c r="E84" s="99">
        <f t="shared" si="122"/>
        <v>2.464</v>
      </c>
      <c r="F84" s="1">
        <f t="shared" si="102"/>
        <v>2</v>
      </c>
      <c r="G84" s="272">
        <f t="shared" si="103"/>
        <v>14.250249821556</v>
      </c>
      <c r="I84" s="276"/>
      <c r="J84" s="1">
        <v>1401</v>
      </c>
      <c r="K84" s="99">
        <f t="shared" si="104"/>
        <v>0.2</v>
      </c>
      <c r="L84" s="1">
        <v>0.5</v>
      </c>
      <c r="M84" s="99">
        <f t="shared" si="129"/>
        <v>2.564</v>
      </c>
      <c r="N84" s="1">
        <f t="shared" si="105"/>
        <v>2.1</v>
      </c>
      <c r="O84" s="272">
        <f t="shared" si="106"/>
        <v>16.0143468950749</v>
      </c>
      <c r="Q84" s="276"/>
      <c r="R84" s="1">
        <v>1401</v>
      </c>
      <c r="S84" s="99">
        <f t="shared" si="107"/>
        <v>0.2</v>
      </c>
      <c r="T84" s="1">
        <v>0.5</v>
      </c>
      <c r="U84" s="99">
        <f t="shared" si="123"/>
        <v>2.664</v>
      </c>
      <c r="V84" s="1">
        <f t="shared" si="108"/>
        <v>2.2</v>
      </c>
      <c r="W84" s="272">
        <f t="shared" si="109"/>
        <v>17.7784439685939</v>
      </c>
      <c r="Y84" s="276"/>
      <c r="Z84" s="1">
        <v>1401</v>
      </c>
      <c r="AA84" s="99">
        <f t="shared" si="110"/>
        <v>0.22</v>
      </c>
      <c r="AB84" s="1">
        <v>0.5</v>
      </c>
      <c r="AC84" s="99">
        <f t="shared" si="124"/>
        <v>2.814</v>
      </c>
      <c r="AD84" s="1">
        <f t="shared" si="111"/>
        <v>2.3</v>
      </c>
      <c r="AE84" s="272">
        <f t="shared" si="112"/>
        <v>19.7481084939329</v>
      </c>
      <c r="AG84" s="276"/>
      <c r="AH84" s="1">
        <v>1401</v>
      </c>
      <c r="AI84" s="99">
        <f t="shared" si="97"/>
        <v>0.22</v>
      </c>
      <c r="AJ84" s="1">
        <f t="shared" si="113"/>
        <v>0.6</v>
      </c>
      <c r="AK84" s="99">
        <f t="shared" si="125"/>
        <v>2.914</v>
      </c>
      <c r="AL84" s="1">
        <f t="shared" si="114"/>
        <v>2.4</v>
      </c>
      <c r="AM84" s="272">
        <f t="shared" si="115"/>
        <v>21.5122055674518</v>
      </c>
      <c r="AO84" s="276"/>
      <c r="AP84" s="1">
        <v>1401</v>
      </c>
      <c r="AQ84" s="99">
        <f t="shared" si="99"/>
        <v>0.22</v>
      </c>
      <c r="AR84" s="1">
        <f t="shared" si="116"/>
        <v>0.7</v>
      </c>
      <c r="AS84" s="99">
        <f t="shared" si="126"/>
        <v>3.014</v>
      </c>
      <c r="AT84" s="1">
        <f t="shared" si="117"/>
        <v>2.5</v>
      </c>
      <c r="AU84" s="272">
        <f t="shared" si="118"/>
        <v>23.2763026409707</v>
      </c>
      <c r="AV84" s="1"/>
      <c r="AW84" s="276"/>
      <c r="AX84" s="1">
        <v>1401</v>
      </c>
      <c r="AY84" s="99">
        <f t="shared" si="100"/>
        <v>0.22</v>
      </c>
      <c r="AZ84" s="1">
        <f t="shared" si="119"/>
        <v>0.7</v>
      </c>
      <c r="BA84" s="99">
        <f t="shared" si="128"/>
        <v>3.214</v>
      </c>
      <c r="BB84" s="1">
        <f t="shared" si="120"/>
        <v>2.6</v>
      </c>
      <c r="BC84" s="272">
        <f t="shared" si="121"/>
        <v>25.2830835117773</v>
      </c>
    </row>
    <row r="85" spans="2:58">
      <c r="B85" s="1">
        <v>1601</v>
      </c>
      <c r="C85" s="99">
        <f t="shared" si="101"/>
        <v>0.2</v>
      </c>
      <c r="D85" s="1">
        <v>0.6</v>
      </c>
      <c r="E85" s="99">
        <f t="shared" si="122"/>
        <v>2.688</v>
      </c>
      <c r="F85" s="1">
        <f t="shared" si="102"/>
        <v>2</v>
      </c>
      <c r="G85" s="272">
        <f t="shared" si="103"/>
        <v>13.8202373516552</v>
      </c>
      <c r="I85" s="276"/>
      <c r="J85" s="1">
        <v>1601</v>
      </c>
      <c r="K85" s="99">
        <f t="shared" si="104"/>
        <v>0.2</v>
      </c>
      <c r="L85" s="1">
        <v>0.6</v>
      </c>
      <c r="M85" s="99">
        <f t="shared" si="129"/>
        <v>2.788</v>
      </c>
      <c r="N85" s="1">
        <f t="shared" si="105"/>
        <v>2.1</v>
      </c>
      <c r="O85" s="272">
        <f t="shared" si="106"/>
        <v>15.5513429106808</v>
      </c>
      <c r="Q85" s="276"/>
      <c r="R85" s="1">
        <v>1601</v>
      </c>
      <c r="S85" s="99">
        <f t="shared" si="107"/>
        <v>0.2</v>
      </c>
      <c r="T85" s="1">
        <v>0.6</v>
      </c>
      <c r="U85" s="99">
        <f t="shared" si="123"/>
        <v>2.888</v>
      </c>
      <c r="V85" s="1">
        <f t="shared" si="108"/>
        <v>2.2</v>
      </c>
      <c r="W85" s="272">
        <f t="shared" si="109"/>
        <v>17.2824484697064</v>
      </c>
      <c r="Y85" s="276"/>
      <c r="Z85" s="1">
        <v>1601</v>
      </c>
      <c r="AA85" s="99">
        <f t="shared" si="110"/>
        <v>0.22</v>
      </c>
      <c r="AB85" s="1">
        <v>0.6</v>
      </c>
      <c r="AC85" s="99">
        <f t="shared" si="124"/>
        <v>3.038</v>
      </c>
      <c r="AD85" s="1">
        <f t="shared" si="111"/>
        <v>2.3</v>
      </c>
      <c r="AE85" s="272">
        <f t="shared" si="112"/>
        <v>19.1934415990006</v>
      </c>
      <c r="AG85" s="276"/>
      <c r="AH85" s="1">
        <v>1601</v>
      </c>
      <c r="AI85" s="99">
        <f t="shared" si="97"/>
        <v>0.22</v>
      </c>
      <c r="AJ85" s="1">
        <f t="shared" si="113"/>
        <v>0.7</v>
      </c>
      <c r="AK85" s="99">
        <f t="shared" si="125"/>
        <v>3.138</v>
      </c>
      <c r="AL85" s="1">
        <f t="shared" si="114"/>
        <v>2.4</v>
      </c>
      <c r="AM85" s="272">
        <f t="shared" si="115"/>
        <v>20.9245471580262</v>
      </c>
      <c r="AO85" s="276"/>
      <c r="AP85" s="1">
        <v>1601</v>
      </c>
      <c r="AQ85" s="99">
        <f t="shared" si="99"/>
        <v>0.22</v>
      </c>
      <c r="AR85" s="1">
        <f t="shared" si="116"/>
        <v>0.8</v>
      </c>
      <c r="AS85" s="99">
        <f t="shared" si="126"/>
        <v>3.238</v>
      </c>
      <c r="AT85" s="1">
        <f t="shared" si="117"/>
        <v>2.5</v>
      </c>
      <c r="AU85" s="272">
        <f t="shared" si="118"/>
        <v>22.6556527170518</v>
      </c>
      <c r="AV85" s="1"/>
      <c r="AW85" s="276"/>
      <c r="AX85" s="1">
        <v>1601</v>
      </c>
      <c r="AY85" s="99">
        <f t="shared" si="100"/>
        <v>0.22</v>
      </c>
      <c r="AZ85" s="1">
        <f t="shared" si="119"/>
        <v>0.8</v>
      </c>
      <c r="BA85" s="99">
        <f t="shared" si="128"/>
        <v>3.438</v>
      </c>
      <c r="BB85" s="1">
        <f t="shared" si="120"/>
        <v>2.6</v>
      </c>
      <c r="BC85" s="272">
        <f t="shared" si="121"/>
        <v>24.5991255465334</v>
      </c>
    </row>
    <row r="86" spans="2:58">
      <c r="B86" s="1">
        <v>1801</v>
      </c>
      <c r="C86" s="99">
        <f t="shared" si="101"/>
        <v>0.2</v>
      </c>
      <c r="D86" s="1">
        <v>0.6</v>
      </c>
      <c r="E86" s="99">
        <f t="shared" si="122"/>
        <v>2.912</v>
      </c>
      <c r="F86" s="1">
        <f t="shared" si="102"/>
        <v>2</v>
      </c>
      <c r="G86" s="272">
        <f t="shared" si="103"/>
        <v>13.4857301499167</v>
      </c>
      <c r="I86" s="276"/>
      <c r="J86" s="1">
        <v>1801</v>
      </c>
      <c r="K86" s="99">
        <f t="shared" si="104"/>
        <v>0.2</v>
      </c>
      <c r="L86" s="1">
        <v>0.6</v>
      </c>
      <c r="M86" s="99">
        <f t="shared" si="129"/>
        <v>3.012</v>
      </c>
      <c r="N86" s="1">
        <f t="shared" si="105"/>
        <v>2.1</v>
      </c>
      <c r="O86" s="272">
        <f t="shared" si="106"/>
        <v>15.1911715713492</v>
      </c>
      <c r="Q86" s="276"/>
      <c r="R86" s="1">
        <v>1801</v>
      </c>
      <c r="S86" s="99">
        <f t="shared" si="107"/>
        <v>0.2</v>
      </c>
      <c r="T86" s="1">
        <v>0.6</v>
      </c>
      <c r="U86" s="99">
        <f t="shared" si="123"/>
        <v>3.112</v>
      </c>
      <c r="V86" s="1">
        <f t="shared" si="108"/>
        <v>2.2</v>
      </c>
      <c r="W86" s="272">
        <f t="shared" si="109"/>
        <v>16.8966129927818</v>
      </c>
      <c r="Y86" s="276"/>
      <c r="Z86" s="1">
        <v>1801</v>
      </c>
      <c r="AA86" s="99">
        <f t="shared" si="110"/>
        <v>0.22</v>
      </c>
      <c r="AB86" s="1">
        <v>0.6</v>
      </c>
      <c r="AC86" s="99">
        <f t="shared" si="124"/>
        <v>3.262</v>
      </c>
      <c r="AD86" s="1">
        <f t="shared" si="111"/>
        <v>2.3</v>
      </c>
      <c r="AE86" s="272">
        <f t="shared" si="112"/>
        <v>18.7619655746807</v>
      </c>
      <c r="AG86" s="276"/>
      <c r="AH86" s="1">
        <v>1801</v>
      </c>
      <c r="AI86" s="99">
        <f t="shared" si="97"/>
        <v>0.22</v>
      </c>
      <c r="AJ86" s="1">
        <f t="shared" si="113"/>
        <v>0.7</v>
      </c>
      <c r="AK86" s="99">
        <f t="shared" si="125"/>
        <v>3.362</v>
      </c>
      <c r="AL86" s="1">
        <f t="shared" si="114"/>
        <v>2.4</v>
      </c>
      <c r="AM86" s="272">
        <f t="shared" si="115"/>
        <v>20.4674069961133</v>
      </c>
      <c r="AO86" s="276"/>
      <c r="AP86" s="1">
        <v>1801</v>
      </c>
      <c r="AQ86" s="99">
        <f t="shared" si="99"/>
        <v>0.22</v>
      </c>
      <c r="AR86" s="1">
        <f t="shared" si="116"/>
        <v>0.8</v>
      </c>
      <c r="AS86" s="99">
        <f t="shared" si="126"/>
        <v>3.462</v>
      </c>
      <c r="AT86" s="1">
        <f t="shared" si="117"/>
        <v>2.5</v>
      </c>
      <c r="AU86" s="272">
        <f t="shared" si="118"/>
        <v>22.1728484175458</v>
      </c>
      <c r="AV86" s="1"/>
      <c r="AW86" s="276"/>
      <c r="AX86" s="1">
        <v>1801</v>
      </c>
      <c r="AY86" s="99">
        <f t="shared" si="100"/>
        <v>0.22</v>
      </c>
      <c r="AZ86" s="1">
        <f t="shared" si="119"/>
        <v>0.8</v>
      </c>
      <c r="BA86" s="99">
        <f t="shared" si="128"/>
        <v>3.662</v>
      </c>
      <c r="BB86" s="1">
        <f t="shared" si="120"/>
        <v>2.6</v>
      </c>
      <c r="BC86" s="272">
        <f t="shared" si="121"/>
        <v>24.0670738478623</v>
      </c>
    </row>
    <row r="87" spans="2:58">
      <c r="B87" s="1">
        <v>2001</v>
      </c>
      <c r="C87" s="99">
        <f t="shared" si="101"/>
        <v>0.3</v>
      </c>
      <c r="D87" s="1">
        <v>0.7</v>
      </c>
      <c r="E87" s="99">
        <f t="shared" si="122"/>
        <v>3.136</v>
      </c>
      <c r="F87" s="1">
        <f t="shared" si="102"/>
        <v>2.2</v>
      </c>
      <c r="G87" s="272">
        <f t="shared" si="103"/>
        <v>13.5429285357321</v>
      </c>
      <c r="I87" s="276"/>
      <c r="J87" s="1">
        <v>2001</v>
      </c>
      <c r="K87" s="99">
        <f t="shared" si="104"/>
        <v>0.3</v>
      </c>
      <c r="L87" s="1">
        <v>0.7</v>
      </c>
      <c r="M87" s="99">
        <f t="shared" si="129"/>
        <v>3.236</v>
      </c>
      <c r="N87" s="1">
        <f t="shared" si="105"/>
        <v>2.3</v>
      </c>
      <c r="O87" s="272">
        <f t="shared" si="106"/>
        <v>15.227836081959</v>
      </c>
      <c r="Q87" s="276"/>
      <c r="R87" s="1">
        <v>2001</v>
      </c>
      <c r="S87" s="99">
        <f t="shared" si="107"/>
        <v>0.3</v>
      </c>
      <c r="T87" s="1">
        <v>0.7</v>
      </c>
      <c r="U87" s="99">
        <f t="shared" si="123"/>
        <v>3.336</v>
      </c>
      <c r="V87" s="1">
        <f t="shared" si="108"/>
        <v>2.4</v>
      </c>
      <c r="W87" s="272">
        <f t="shared" si="109"/>
        <v>16.9127436281859</v>
      </c>
      <c r="Y87" s="276"/>
      <c r="Z87" s="1">
        <v>2001</v>
      </c>
      <c r="AA87" s="99">
        <f t="shared" si="110"/>
        <v>0.33</v>
      </c>
      <c r="AB87" s="1">
        <v>0.7</v>
      </c>
      <c r="AC87" s="99">
        <f t="shared" si="124"/>
        <v>3.486</v>
      </c>
      <c r="AD87" s="1">
        <f t="shared" si="111"/>
        <v>2.5</v>
      </c>
      <c r="AE87" s="272">
        <f t="shared" si="112"/>
        <v>18.7710644677661</v>
      </c>
      <c r="AG87" s="276"/>
      <c r="AH87" s="1">
        <v>2001</v>
      </c>
      <c r="AI87" s="99">
        <f t="shared" si="97"/>
        <v>0.33</v>
      </c>
      <c r="AJ87" s="1">
        <f t="shared" si="113"/>
        <v>0.8</v>
      </c>
      <c r="AK87" s="99">
        <f t="shared" si="125"/>
        <v>3.586</v>
      </c>
      <c r="AL87" s="1">
        <f t="shared" si="114"/>
        <v>2.6</v>
      </c>
      <c r="AM87" s="272">
        <f t="shared" si="115"/>
        <v>20.455972013993</v>
      </c>
      <c r="AO87" s="276"/>
      <c r="AP87" s="1">
        <v>2001</v>
      </c>
      <c r="AQ87" s="99">
        <f t="shared" si="99"/>
        <v>0.33</v>
      </c>
      <c r="AR87" s="1">
        <f t="shared" si="116"/>
        <v>0.9</v>
      </c>
      <c r="AS87" s="99">
        <f t="shared" si="126"/>
        <v>3.686</v>
      </c>
      <c r="AT87" s="1">
        <f t="shared" si="117"/>
        <v>2.7</v>
      </c>
      <c r="AU87" s="272">
        <f t="shared" si="118"/>
        <v>22.1408795602199</v>
      </c>
      <c r="AV87" s="1"/>
      <c r="AW87" s="276"/>
      <c r="AX87" s="1">
        <v>2001</v>
      </c>
      <c r="AY87" s="99">
        <f t="shared" si="100"/>
        <v>0.33</v>
      </c>
      <c r="AZ87" s="1">
        <f t="shared" si="119"/>
        <v>0.9</v>
      </c>
      <c r="BA87" s="99">
        <f t="shared" si="128"/>
        <v>3.886</v>
      </c>
      <c r="BB87" s="1">
        <f t="shared" si="120"/>
        <v>2.8</v>
      </c>
      <c r="BC87" s="272">
        <f t="shared" si="121"/>
        <v>23.9957021489255</v>
      </c>
    </row>
    <row r="88" spans="2:58">
      <c r="B88" s="1">
        <v>2201</v>
      </c>
      <c r="C88" s="99">
        <f t="shared" si="101"/>
        <v>0.3</v>
      </c>
      <c r="D88" s="1">
        <v>0.7</v>
      </c>
      <c r="E88" s="99">
        <f t="shared" si="122"/>
        <v>3.36</v>
      </c>
      <c r="F88" s="1">
        <f t="shared" si="102"/>
        <v>2.2</v>
      </c>
      <c r="G88" s="272">
        <f t="shared" si="103"/>
        <v>13.2944116310768</v>
      </c>
      <c r="I88" s="276"/>
      <c r="J88" s="1">
        <v>2201</v>
      </c>
      <c r="K88" s="99">
        <f t="shared" si="104"/>
        <v>0.3</v>
      </c>
      <c r="L88" s="1">
        <v>0.7</v>
      </c>
      <c r="M88" s="99">
        <f t="shared" si="129"/>
        <v>3.46</v>
      </c>
      <c r="N88" s="1">
        <f t="shared" si="105"/>
        <v>2.3</v>
      </c>
      <c r="O88" s="272">
        <f t="shared" si="106"/>
        <v>14.9625170377101</v>
      </c>
      <c r="Q88" s="276"/>
      <c r="R88" s="1">
        <v>2201</v>
      </c>
      <c r="S88" s="99">
        <f t="shared" si="107"/>
        <v>0.3</v>
      </c>
      <c r="T88" s="1">
        <v>0.7</v>
      </c>
      <c r="U88" s="99">
        <f t="shared" si="123"/>
        <v>3.56</v>
      </c>
      <c r="V88" s="1">
        <f t="shared" si="108"/>
        <v>2.4</v>
      </c>
      <c r="W88" s="272">
        <f t="shared" si="109"/>
        <v>16.6306224443435</v>
      </c>
      <c r="Y88" s="276"/>
      <c r="Z88" s="1">
        <v>2201</v>
      </c>
      <c r="AA88" s="99">
        <f t="shared" si="110"/>
        <v>0.33</v>
      </c>
      <c r="AB88" s="1">
        <v>0.7</v>
      </c>
      <c r="AC88" s="99">
        <f t="shared" si="124"/>
        <v>3.71</v>
      </c>
      <c r="AD88" s="1">
        <f t="shared" si="111"/>
        <v>2.5</v>
      </c>
      <c r="AE88" s="272">
        <f t="shared" si="112"/>
        <v>18.4563834620627</v>
      </c>
      <c r="AG88" s="276"/>
      <c r="AH88" s="1">
        <v>2201</v>
      </c>
      <c r="AI88" s="99">
        <f t="shared" si="97"/>
        <v>0.33</v>
      </c>
      <c r="AJ88" s="1">
        <f t="shared" si="113"/>
        <v>0.8</v>
      </c>
      <c r="AK88" s="99">
        <f t="shared" si="125"/>
        <v>3.81</v>
      </c>
      <c r="AL88" s="1">
        <f t="shared" si="114"/>
        <v>2.6</v>
      </c>
      <c r="AM88" s="272">
        <f t="shared" si="115"/>
        <v>20.124488868696</v>
      </c>
      <c r="AO88" s="276"/>
      <c r="AP88" s="1">
        <v>2201</v>
      </c>
      <c r="AQ88" s="99">
        <f t="shared" si="99"/>
        <v>0.33</v>
      </c>
      <c r="AR88" s="1">
        <f t="shared" si="116"/>
        <v>0.9</v>
      </c>
      <c r="AS88" s="99">
        <f t="shared" si="126"/>
        <v>3.91</v>
      </c>
      <c r="AT88" s="1">
        <f t="shared" si="117"/>
        <v>2.7</v>
      </c>
      <c r="AU88" s="272">
        <f t="shared" si="118"/>
        <v>21.7925942753294</v>
      </c>
      <c r="AV88" s="1"/>
      <c r="AW88" s="276"/>
      <c r="AX88" s="1">
        <v>2201</v>
      </c>
      <c r="AY88" s="99">
        <f t="shared" si="100"/>
        <v>0.33</v>
      </c>
      <c r="AZ88" s="1">
        <f t="shared" si="119"/>
        <v>0.9</v>
      </c>
      <c r="BA88" s="99">
        <f t="shared" si="128"/>
        <v>4.11</v>
      </c>
      <c r="BB88" s="1">
        <f t="shared" si="120"/>
        <v>2.8</v>
      </c>
      <c r="BC88" s="272">
        <f t="shared" si="121"/>
        <v>23.6151749204907</v>
      </c>
    </row>
    <row r="89" spans="2:58">
      <c r="B89" s="1">
        <v>2401</v>
      </c>
      <c r="C89" s="99">
        <f t="shared" si="101"/>
        <v>0.3</v>
      </c>
      <c r="D89" s="1">
        <v>0.8</v>
      </c>
      <c r="E89" s="99">
        <f t="shared" si="122"/>
        <v>3.472</v>
      </c>
      <c r="F89" s="1">
        <f t="shared" si="102"/>
        <v>2.2</v>
      </c>
      <c r="G89" s="272">
        <f t="shared" si="103"/>
        <v>12.9286963765098</v>
      </c>
      <c r="I89" s="276"/>
      <c r="J89" s="1">
        <v>2401</v>
      </c>
      <c r="K89" s="99">
        <f t="shared" si="104"/>
        <v>0.3</v>
      </c>
      <c r="L89" s="1">
        <v>0.8</v>
      </c>
      <c r="M89" s="99">
        <f t="shared" si="129"/>
        <v>3.572</v>
      </c>
      <c r="N89" s="1">
        <f t="shared" si="105"/>
        <v>2.3</v>
      </c>
      <c r="O89" s="272">
        <f t="shared" si="106"/>
        <v>14.5827988338192</v>
      </c>
      <c r="Q89" s="276"/>
      <c r="R89" s="1">
        <v>2401</v>
      </c>
      <c r="S89" s="99">
        <f t="shared" si="107"/>
        <v>0.3</v>
      </c>
      <c r="T89" s="1">
        <v>0.8</v>
      </c>
      <c r="U89" s="99">
        <f t="shared" si="123"/>
        <v>3.672</v>
      </c>
      <c r="V89" s="1">
        <f t="shared" si="108"/>
        <v>2.4</v>
      </c>
      <c r="W89" s="272">
        <f t="shared" si="109"/>
        <v>16.2369012911287</v>
      </c>
      <c r="Y89" s="276"/>
      <c r="Z89" s="1">
        <v>2401</v>
      </c>
      <c r="AA89" s="99">
        <f t="shared" si="110"/>
        <v>0.33</v>
      </c>
      <c r="AB89" s="1">
        <v>0.8</v>
      </c>
      <c r="AC89" s="99">
        <f t="shared" si="124"/>
        <v>3.822</v>
      </c>
      <c r="AD89" s="1">
        <f t="shared" si="111"/>
        <v>2.5</v>
      </c>
      <c r="AE89" s="272">
        <f t="shared" si="112"/>
        <v>18.0355268638067</v>
      </c>
      <c r="AG89" s="276"/>
      <c r="AH89" s="1">
        <v>2401</v>
      </c>
      <c r="AI89" s="99">
        <f t="shared" si="97"/>
        <v>0.33</v>
      </c>
      <c r="AJ89" s="1">
        <f t="shared" si="113"/>
        <v>0.9</v>
      </c>
      <c r="AK89" s="99">
        <f t="shared" si="125"/>
        <v>3.922</v>
      </c>
      <c r="AL89" s="1">
        <f t="shared" si="114"/>
        <v>2.6</v>
      </c>
      <c r="AM89" s="272">
        <f t="shared" si="115"/>
        <v>19.6896293211162</v>
      </c>
      <c r="AO89" s="276"/>
      <c r="AP89" s="1">
        <v>2401</v>
      </c>
      <c r="AQ89" s="99">
        <f t="shared" si="99"/>
        <v>0.33</v>
      </c>
      <c r="AR89" s="1">
        <f t="shared" si="116"/>
        <v>1</v>
      </c>
      <c r="AS89" s="99">
        <f t="shared" si="126"/>
        <v>4.022</v>
      </c>
      <c r="AT89" s="1">
        <f t="shared" si="117"/>
        <v>2.7</v>
      </c>
      <c r="AU89" s="272">
        <f t="shared" si="118"/>
        <v>21.3437317784257</v>
      </c>
      <c r="AV89" s="1"/>
      <c r="AW89" s="276"/>
      <c r="AX89" s="1">
        <v>2401</v>
      </c>
      <c r="AY89" s="99">
        <f t="shared" si="100"/>
        <v>0.33</v>
      </c>
      <c r="AZ89" s="1">
        <f t="shared" si="119"/>
        <v>1</v>
      </c>
      <c r="BA89" s="99">
        <f t="shared" si="128"/>
        <v>4.222</v>
      </c>
      <c r="BB89" s="1">
        <f t="shared" si="120"/>
        <v>2.8</v>
      </c>
      <c r="BC89" s="272">
        <f t="shared" si="121"/>
        <v>23.1394418992087</v>
      </c>
    </row>
    <row r="90" spans="2:58">
      <c r="B90" s="1">
        <v>2601</v>
      </c>
      <c r="C90" s="99">
        <f t="shared" si="101"/>
        <v>0.4</v>
      </c>
      <c r="D90" s="1">
        <v>0.8</v>
      </c>
      <c r="E90" s="99">
        <f t="shared" si="122"/>
        <v>3.584</v>
      </c>
      <c r="F90" s="1">
        <f t="shared" si="102"/>
        <v>2.2</v>
      </c>
      <c r="G90" s="272">
        <f t="shared" si="103"/>
        <v>12.8460592079969</v>
      </c>
      <c r="I90" s="276"/>
      <c r="J90" s="1">
        <v>2601</v>
      </c>
      <c r="K90" s="99">
        <f t="shared" si="104"/>
        <v>0.4</v>
      </c>
      <c r="L90" s="1">
        <v>0.8</v>
      </c>
      <c r="M90" s="99">
        <f t="shared" si="129"/>
        <v>3.684</v>
      </c>
      <c r="N90" s="1">
        <f t="shared" si="105"/>
        <v>2.3</v>
      </c>
      <c r="O90" s="272">
        <f t="shared" si="106"/>
        <v>14.4883121876201</v>
      </c>
      <c r="Q90" s="276"/>
      <c r="R90" s="1">
        <v>2601</v>
      </c>
      <c r="S90" s="99">
        <f t="shared" si="107"/>
        <v>0.4</v>
      </c>
      <c r="T90" s="1">
        <v>0.8</v>
      </c>
      <c r="U90" s="99">
        <f t="shared" si="123"/>
        <v>3.784</v>
      </c>
      <c r="V90" s="1">
        <f t="shared" si="108"/>
        <v>2.4</v>
      </c>
      <c r="W90" s="272">
        <f t="shared" si="109"/>
        <v>16.1305651672434</v>
      </c>
      <c r="Y90" s="276"/>
      <c r="Z90" s="1">
        <v>2601</v>
      </c>
      <c r="AA90" s="99">
        <f t="shared" si="110"/>
        <v>0.44</v>
      </c>
      <c r="AB90" s="1">
        <v>0.8</v>
      </c>
      <c r="AC90" s="99">
        <f t="shared" si="124"/>
        <v>3.934</v>
      </c>
      <c r="AD90" s="1">
        <f t="shared" si="111"/>
        <v>2.5</v>
      </c>
      <c r="AE90" s="272">
        <f t="shared" si="112"/>
        <v>17.9289119569396</v>
      </c>
      <c r="AG90" s="276"/>
      <c r="AH90" s="1">
        <v>2601</v>
      </c>
      <c r="AI90" s="99">
        <f t="shared" si="97"/>
        <v>0.44</v>
      </c>
      <c r="AJ90" s="1">
        <f t="shared" si="113"/>
        <v>0.9</v>
      </c>
      <c r="AK90" s="99">
        <f t="shared" si="125"/>
        <v>4.034</v>
      </c>
      <c r="AL90" s="1">
        <f t="shared" si="114"/>
        <v>2.6</v>
      </c>
      <c r="AM90" s="272">
        <f t="shared" si="115"/>
        <v>19.5711649365629</v>
      </c>
      <c r="AO90" s="276"/>
      <c r="AP90" s="1">
        <v>2601</v>
      </c>
      <c r="AQ90" s="99">
        <f t="shared" si="99"/>
        <v>0.44</v>
      </c>
      <c r="AR90" s="1">
        <f t="shared" si="116"/>
        <v>1</v>
      </c>
      <c r="AS90" s="99">
        <f t="shared" si="126"/>
        <v>4.134</v>
      </c>
      <c r="AT90" s="1">
        <f t="shared" si="117"/>
        <v>2.7</v>
      </c>
      <c r="AU90" s="272">
        <f t="shared" si="118"/>
        <v>21.2134179161861</v>
      </c>
      <c r="AV90" s="1"/>
      <c r="AW90" s="276"/>
      <c r="AX90" s="1">
        <v>2601</v>
      </c>
      <c r="AY90" s="99">
        <f t="shared" si="100"/>
        <v>0.44</v>
      </c>
      <c r="AZ90" s="1">
        <f t="shared" si="119"/>
        <v>1</v>
      </c>
      <c r="BA90" s="99">
        <f t="shared" si="128"/>
        <v>4.334</v>
      </c>
      <c r="BB90" s="1">
        <f t="shared" si="120"/>
        <v>2.8</v>
      </c>
      <c r="BC90" s="272">
        <f t="shared" si="121"/>
        <v>22.9863898500577</v>
      </c>
    </row>
    <row r="91" spans="2:58">
      <c r="B91" s="1">
        <v>2801</v>
      </c>
      <c r="C91" s="99">
        <f t="shared" si="101"/>
        <v>0.4</v>
      </c>
      <c r="D91" s="1">
        <v>0.8</v>
      </c>
      <c r="E91" s="99">
        <f t="shared" si="122"/>
        <v>4.032</v>
      </c>
      <c r="F91" s="1">
        <f t="shared" si="102"/>
        <v>2.2</v>
      </c>
      <c r="G91" s="272">
        <f t="shared" si="103"/>
        <v>12.9724384148518</v>
      </c>
      <c r="I91" s="276"/>
      <c r="J91" s="1">
        <v>2801</v>
      </c>
      <c r="K91" s="99">
        <f t="shared" si="104"/>
        <v>0.4</v>
      </c>
      <c r="L91" s="1">
        <v>0.8</v>
      </c>
      <c r="M91" s="99">
        <f t="shared" si="129"/>
        <v>4.132</v>
      </c>
      <c r="N91" s="1">
        <f t="shared" si="105"/>
        <v>2.3</v>
      </c>
      <c r="O91" s="272">
        <f t="shared" si="106"/>
        <v>14.6045340949661</v>
      </c>
      <c r="Q91" s="276"/>
      <c r="R91" s="1">
        <v>2801</v>
      </c>
      <c r="S91" s="99">
        <f t="shared" si="107"/>
        <v>0.4</v>
      </c>
      <c r="T91" s="1">
        <v>0.8</v>
      </c>
      <c r="U91" s="99">
        <f t="shared" si="123"/>
        <v>4.232</v>
      </c>
      <c r="V91" s="1">
        <f t="shared" si="108"/>
        <v>2.4</v>
      </c>
      <c r="W91" s="272">
        <f t="shared" si="109"/>
        <v>16.2366297750803</v>
      </c>
      <c r="Y91" s="276"/>
      <c r="Z91" s="1">
        <v>2801</v>
      </c>
      <c r="AA91" s="99">
        <f t="shared" si="110"/>
        <v>0.44</v>
      </c>
      <c r="AB91" s="1">
        <v>0.8</v>
      </c>
      <c r="AC91" s="99">
        <f t="shared" si="124"/>
        <v>4.382</v>
      </c>
      <c r="AD91" s="1">
        <f t="shared" si="111"/>
        <v>2.5</v>
      </c>
      <c r="AE91" s="272">
        <f t="shared" si="112"/>
        <v>18.0136736879686</v>
      </c>
      <c r="AG91" s="276"/>
      <c r="AH91" s="1">
        <v>2801</v>
      </c>
      <c r="AI91" s="99">
        <f t="shared" si="97"/>
        <v>0.44</v>
      </c>
      <c r="AJ91" s="1">
        <f t="shared" si="113"/>
        <v>0.9</v>
      </c>
      <c r="AK91" s="99">
        <f t="shared" si="125"/>
        <v>4.482</v>
      </c>
      <c r="AL91" s="1">
        <f t="shared" si="114"/>
        <v>2.6</v>
      </c>
      <c r="AM91" s="272">
        <f t="shared" si="115"/>
        <v>19.6457693680828</v>
      </c>
      <c r="AO91" s="276"/>
      <c r="AP91" s="1">
        <v>2801</v>
      </c>
      <c r="AQ91" s="99">
        <f t="shared" si="99"/>
        <v>0.44</v>
      </c>
      <c r="AR91" s="1">
        <f t="shared" si="116"/>
        <v>1</v>
      </c>
      <c r="AS91" s="99">
        <f t="shared" si="126"/>
        <v>4.582</v>
      </c>
      <c r="AT91" s="1">
        <f t="shared" si="117"/>
        <v>2.7</v>
      </c>
      <c r="AU91" s="272">
        <f t="shared" si="118"/>
        <v>21.2778650481971</v>
      </c>
      <c r="AV91" s="1"/>
      <c r="AW91" s="276"/>
      <c r="AX91" s="1">
        <v>2801</v>
      </c>
      <c r="AY91" s="99">
        <f t="shared" si="100"/>
        <v>0.44</v>
      </c>
      <c r="AZ91" s="1">
        <f t="shared" si="119"/>
        <v>1</v>
      </c>
      <c r="BA91" s="99">
        <f t="shared" si="128"/>
        <v>4.782</v>
      </c>
      <c r="BB91" s="1">
        <f t="shared" si="120"/>
        <v>2.8</v>
      </c>
      <c r="BC91" s="272">
        <f t="shared" si="121"/>
        <v>23.0313459478758</v>
      </c>
    </row>
    <row r="92" spans="2:58">
      <c r="I92" s="269"/>
      <c r="Q92" s="269"/>
      <c r="Y92" s="269"/>
      <c r="AG92" s="269"/>
      <c r="AO92" s="269"/>
      <c r="AW92" s="269"/>
    </row>
    <row r="93" spans="2:58">
      <c r="B93" s="268" t="s">
        <v>91</v>
      </c>
      <c r="C93" s="268" t="s">
        <v>123</v>
      </c>
      <c r="I93" s="269"/>
      <c r="J93" s="268" t="s">
        <v>91</v>
      </c>
      <c r="K93" s="268"/>
      <c r="L93" s="268" t="s">
        <v>123</v>
      </c>
      <c r="Q93" s="269"/>
      <c r="R93" s="268" t="s">
        <v>91</v>
      </c>
      <c r="S93" s="268"/>
      <c r="T93" s="268" t="s">
        <v>123</v>
      </c>
      <c r="Y93" s="269"/>
      <c r="Z93" s="268" t="s">
        <v>91</v>
      </c>
      <c r="AA93" s="268"/>
      <c r="AB93" s="268" t="s">
        <v>123</v>
      </c>
      <c r="AG93" s="269"/>
      <c r="AH93" s="268" t="s">
        <v>91</v>
      </c>
      <c r="AI93" s="268"/>
      <c r="AJ93" s="268" t="s">
        <v>123</v>
      </c>
      <c r="AO93" s="269"/>
      <c r="AP93" s="268" t="s">
        <v>91</v>
      </c>
      <c r="AQ93" s="268"/>
      <c r="AR93" s="268" t="s">
        <v>123</v>
      </c>
      <c r="AW93" s="269"/>
      <c r="AX93" s="268" t="s">
        <v>91</v>
      </c>
      <c r="AY93" s="268"/>
      <c r="AZ93" s="268" t="s">
        <v>123</v>
      </c>
    </row>
    <row r="94" spans="2:58">
      <c r="B94" s="270" t="s">
        <v>92</v>
      </c>
      <c r="C94" s="270" t="s">
        <v>93</v>
      </c>
      <c r="I94" s="269"/>
      <c r="J94" s="270" t="s">
        <v>92</v>
      </c>
      <c r="K94" s="270"/>
      <c r="L94" s="270" t="s">
        <v>94</v>
      </c>
      <c r="Q94" s="269"/>
      <c r="R94" s="270" t="s">
        <v>92</v>
      </c>
      <c r="S94" s="270"/>
      <c r="T94" s="270" t="s">
        <v>95</v>
      </c>
      <c r="Y94" s="269"/>
      <c r="Z94" s="270" t="s">
        <v>92</v>
      </c>
      <c r="AA94" s="270"/>
      <c r="AB94" s="270" t="s">
        <v>96</v>
      </c>
      <c r="AG94" s="269"/>
      <c r="AH94" s="270" t="s">
        <v>92</v>
      </c>
      <c r="AI94" s="270"/>
      <c r="AJ94" s="270" t="s">
        <v>97</v>
      </c>
      <c r="AO94" s="269"/>
      <c r="AP94" s="270" t="s">
        <v>92</v>
      </c>
      <c r="AQ94" s="270"/>
      <c r="AR94" s="270" t="s">
        <v>98</v>
      </c>
      <c r="AW94" s="269"/>
      <c r="AX94" s="270" t="s">
        <v>92</v>
      </c>
      <c r="AY94" s="270"/>
      <c r="AZ94" s="270" t="s">
        <v>99</v>
      </c>
    </row>
    <row r="95" spans="2:58">
      <c r="B95" s="271" t="s">
        <v>100</v>
      </c>
      <c r="C95" s="271"/>
      <c r="D95" s="271">
        <v>10</v>
      </c>
      <c r="F95" s="59"/>
      <c r="G95" s="282">
        <f>AVERAGE(G99:G114)</f>
        <v>20.4783750903654</v>
      </c>
      <c r="H95" s="59"/>
      <c r="I95" s="269"/>
      <c r="J95" s="271" t="s">
        <v>100</v>
      </c>
      <c r="K95" s="271"/>
      <c r="L95" s="271">
        <v>12</v>
      </c>
      <c r="N95" s="59"/>
      <c r="O95" s="282">
        <f>AVERAGE(O99:O114)</f>
        <v>23.1390131228059</v>
      </c>
      <c r="P95" s="59"/>
      <c r="Q95" s="269"/>
      <c r="R95" s="271" t="s">
        <v>100</v>
      </c>
      <c r="S95" s="271"/>
      <c r="T95" s="271">
        <v>14</v>
      </c>
      <c r="V95" s="59"/>
      <c r="W95" s="283">
        <f>AVERAGE(W99:W114)</f>
        <v>25.7996511552464</v>
      </c>
      <c r="X95" s="59"/>
      <c r="Y95" s="269"/>
      <c r="Z95" s="271" t="s">
        <v>100</v>
      </c>
      <c r="AA95" s="271"/>
      <c r="AB95" s="271">
        <v>16</v>
      </c>
      <c r="AD95" s="59"/>
      <c r="AE95" s="283">
        <f>AVERAGE(AE99:AE114)</f>
        <v>28.460289187687</v>
      </c>
      <c r="AF95" s="59"/>
      <c r="AG95" s="269"/>
      <c r="AH95" s="271" t="s">
        <v>100</v>
      </c>
      <c r="AI95" s="271"/>
      <c r="AJ95" s="271">
        <v>18</v>
      </c>
      <c r="AL95" s="59"/>
      <c r="AM95" s="272">
        <f>AVERAGE(AM99:AM114)</f>
        <v>31.1209272201275</v>
      </c>
      <c r="AN95" s="59"/>
      <c r="AO95" s="269"/>
      <c r="AP95" s="271" t="s">
        <v>100</v>
      </c>
      <c r="AQ95" s="271"/>
      <c r="AR95" s="271">
        <v>20</v>
      </c>
      <c r="AT95" s="273"/>
      <c r="AU95" s="272">
        <f>AVERAGE(AU99:AU114)</f>
        <v>33.781565252568</v>
      </c>
      <c r="AV95" s="273"/>
      <c r="AW95" s="269"/>
      <c r="AX95" s="271" t="s">
        <v>100</v>
      </c>
      <c r="AY95" s="271"/>
      <c r="AZ95" s="271">
        <v>22</v>
      </c>
      <c r="BB95" s="273"/>
      <c r="BC95" s="272">
        <f>AVERAGE(BC99:BC114)</f>
        <v>36.3886380391349</v>
      </c>
      <c r="BE95" s="267">
        <f>AVERAGE(BC95,AU95,AM95,AE95,W95,O95,G95)</f>
        <v>28.452637009705</v>
      </c>
      <c r="BF95" s="267">
        <f>BE95-AVERAGE(AZ95,AR95,AJ95,AB95,T95,L95,D95)</f>
        <v>12.452637009705</v>
      </c>
    </row>
    <row r="96" spans="2:58">
      <c r="B96" s="1" t="s">
        <v>101</v>
      </c>
      <c r="C96" s="1" t="s">
        <v>8</v>
      </c>
      <c r="D96" s="1" t="s">
        <v>102</v>
      </c>
      <c r="E96" s="1" t="s">
        <v>9</v>
      </c>
      <c r="F96" s="1" t="s">
        <v>103</v>
      </c>
      <c r="G96" s="1" t="s">
        <v>104</v>
      </c>
      <c r="I96" s="269"/>
      <c r="J96" s="1" t="s">
        <v>101</v>
      </c>
      <c r="K96" s="1" t="s">
        <v>8</v>
      </c>
      <c r="L96" s="1" t="s">
        <v>102</v>
      </c>
      <c r="M96" s="1" t="s">
        <v>9</v>
      </c>
      <c r="N96" s="1" t="s">
        <v>103</v>
      </c>
      <c r="O96" s="1" t="s">
        <v>104</v>
      </c>
      <c r="Q96" s="269"/>
      <c r="R96" s="1" t="s">
        <v>101</v>
      </c>
      <c r="S96" s="1" t="s">
        <v>8</v>
      </c>
      <c r="T96" s="1" t="s">
        <v>102</v>
      </c>
      <c r="U96" s="1" t="s">
        <v>9</v>
      </c>
      <c r="V96" s="1" t="s">
        <v>103</v>
      </c>
      <c r="W96" s="1" t="s">
        <v>104</v>
      </c>
      <c r="Y96" s="269"/>
      <c r="Z96" s="1" t="s">
        <v>101</v>
      </c>
      <c r="AA96" s="1" t="s">
        <v>8</v>
      </c>
      <c r="AB96" s="1" t="s">
        <v>102</v>
      </c>
      <c r="AC96" s="1" t="s">
        <v>9</v>
      </c>
      <c r="AD96" s="1" t="s">
        <v>103</v>
      </c>
      <c r="AG96" s="269"/>
      <c r="AH96" s="1" t="s">
        <v>101</v>
      </c>
      <c r="AI96" s="1" t="s">
        <v>8</v>
      </c>
      <c r="AJ96" s="1" t="s">
        <v>102</v>
      </c>
      <c r="AK96" s="1" t="s">
        <v>9</v>
      </c>
      <c r="AL96" s="1" t="s">
        <v>103</v>
      </c>
      <c r="AO96" s="269"/>
      <c r="AP96" s="1" t="s">
        <v>101</v>
      </c>
      <c r="AQ96" s="1"/>
      <c r="AR96" s="1" t="s">
        <v>102</v>
      </c>
      <c r="AS96" s="1" t="s">
        <v>9</v>
      </c>
      <c r="AT96" s="99" t="s">
        <v>103</v>
      </c>
      <c r="AW96" s="269"/>
      <c r="AX96" s="1" t="s">
        <v>101</v>
      </c>
      <c r="AY96" s="1"/>
      <c r="AZ96" s="1" t="s">
        <v>102</v>
      </c>
      <c r="BA96" s="1" t="s">
        <v>9</v>
      </c>
      <c r="BB96" s="99" t="s">
        <v>103</v>
      </c>
    </row>
    <row r="97" spans="2:55">
      <c r="B97" s="1">
        <v>0</v>
      </c>
      <c r="C97" s="99">
        <v>0</v>
      </c>
      <c r="D97" s="1">
        <v>0</v>
      </c>
      <c r="E97" s="99">
        <v>0</v>
      </c>
      <c r="F97" s="1">
        <f>F74+0.1</f>
        <v>0.1</v>
      </c>
      <c r="G97" s="272" t="e">
        <f>(C97*5900+E97*3400+F97*300+B97*$D$95)/B97</f>
        <v>#DIV/0!</v>
      </c>
      <c r="I97" s="269"/>
      <c r="J97" s="1">
        <v>0</v>
      </c>
      <c r="K97" s="99">
        <v>0</v>
      </c>
      <c r="L97" s="1">
        <v>0</v>
      </c>
      <c r="M97" s="1">
        <v>0</v>
      </c>
      <c r="N97" s="1">
        <f>F97+0.1</f>
        <v>0.2</v>
      </c>
      <c r="O97" s="272" t="e">
        <f>(K97*5900+M97*3400+N97*300+J97*$L$95)/J97</f>
        <v>#DIV/0!</v>
      </c>
      <c r="Q97" s="269"/>
      <c r="R97" s="1">
        <v>0</v>
      </c>
      <c r="S97" s="99">
        <v>0</v>
      </c>
      <c r="T97" s="1">
        <v>0</v>
      </c>
      <c r="U97" s="1">
        <v>0</v>
      </c>
      <c r="V97" s="1">
        <f>N97+0.1</f>
        <v>0.3</v>
      </c>
      <c r="W97" s="272" t="e">
        <f>(S97*5900+U97*3400+V97*300+R97*$T$95)/R97</f>
        <v>#DIV/0!</v>
      </c>
      <c r="Y97" s="269"/>
      <c r="Z97" s="1">
        <v>0</v>
      </c>
      <c r="AA97" s="99">
        <f>S97</f>
        <v>0</v>
      </c>
      <c r="AB97" s="1">
        <v>0</v>
      </c>
      <c r="AC97" s="1">
        <v>0</v>
      </c>
      <c r="AD97" s="1">
        <f>V97+0.1</f>
        <v>0.4</v>
      </c>
      <c r="AE97" s="272" t="e">
        <f>(AA97*5900+AC97*3400+AD97*300+Z97*$AB$95)/Z97</f>
        <v>#DIV/0!</v>
      </c>
      <c r="AG97" s="269"/>
      <c r="AH97" s="1">
        <v>0</v>
      </c>
      <c r="AI97" s="99">
        <f>AA97</f>
        <v>0</v>
      </c>
      <c r="AJ97" s="1">
        <v>0</v>
      </c>
      <c r="AK97" s="1">
        <v>0</v>
      </c>
      <c r="AL97" s="1">
        <f>AD97+0.1</f>
        <v>0.5</v>
      </c>
      <c r="AM97" s="272" t="e">
        <f>(AI97*5900+AK97*3400+AL97*300+AH97*$AJ$95)/AH97</f>
        <v>#DIV/0!</v>
      </c>
      <c r="AO97" s="269"/>
      <c r="AP97" s="1">
        <v>0</v>
      </c>
      <c r="AQ97" s="1">
        <f>AR97/2</f>
        <v>0</v>
      </c>
      <c r="AR97" s="1">
        <v>0</v>
      </c>
      <c r="AS97" s="1">
        <v>0</v>
      </c>
      <c r="AT97" s="1">
        <f>AL97+0.1</f>
        <v>0.6</v>
      </c>
      <c r="AU97" s="272" t="e">
        <f>(AQ97*5900+AS97*3400+AT97*300+AP97*$AR$95)/AP97</f>
        <v>#DIV/0!</v>
      </c>
      <c r="AV97" s="1"/>
      <c r="AW97" s="269"/>
      <c r="AX97" s="1">
        <v>0</v>
      </c>
      <c r="AY97" s="99">
        <f>AQ97</f>
        <v>0</v>
      </c>
      <c r="AZ97" s="1">
        <v>0</v>
      </c>
      <c r="BA97" s="1">
        <v>0</v>
      </c>
      <c r="BB97" s="1">
        <v>0</v>
      </c>
      <c r="BC97" s="272" t="e">
        <f>(AY97*5900+BA97*3400+BB97*300+AX97*$AZ$95)/AX97</f>
        <v>#DIV/0!</v>
      </c>
    </row>
    <row r="98" spans="2:55">
      <c r="B98" s="1">
        <v>1</v>
      </c>
      <c r="C98" s="99">
        <v>0</v>
      </c>
      <c r="D98" s="1">
        <f t="shared" ref="C98:F98" si="130">D99</f>
        <v>0.3</v>
      </c>
      <c r="E98" s="99">
        <f t="shared" si="130"/>
        <v>0.66</v>
      </c>
      <c r="F98" s="1">
        <f t="shared" si="130"/>
        <v>0.9</v>
      </c>
      <c r="G98" s="272">
        <f>(C98*5900+E98*3400+F98*300+$D$95*B98)/B98</f>
        <v>2524</v>
      </c>
      <c r="I98" s="276"/>
      <c r="J98" s="1">
        <v>1</v>
      </c>
      <c r="K98" s="99">
        <v>0</v>
      </c>
      <c r="L98" s="1">
        <f t="shared" ref="K98:N98" si="131">L99</f>
        <v>0.3</v>
      </c>
      <c r="M98" s="99">
        <f t="shared" si="131"/>
        <v>0.76</v>
      </c>
      <c r="N98" s="1">
        <f t="shared" si="131"/>
        <v>1</v>
      </c>
      <c r="O98" s="272">
        <f>(K98*5900+M98*3400+N98*300+J98*$L$95)/J98</f>
        <v>2896</v>
      </c>
      <c r="Q98" s="276"/>
      <c r="R98" s="1">
        <v>1</v>
      </c>
      <c r="S98" s="99">
        <v>0</v>
      </c>
      <c r="T98" s="1">
        <f t="shared" ref="S98:V98" si="132">T99</f>
        <v>0.3</v>
      </c>
      <c r="U98" s="99">
        <f t="shared" si="132"/>
        <v>0.86</v>
      </c>
      <c r="V98" s="1">
        <f t="shared" si="132"/>
        <v>1.1</v>
      </c>
      <c r="W98" s="272">
        <f>(S98*5900+U98*3400+V98*300+R98*$T$95)/R98</f>
        <v>3268</v>
      </c>
      <c r="Y98" s="276"/>
      <c r="Z98" s="1">
        <v>1</v>
      </c>
      <c r="AA98" s="99">
        <f t="shared" ref="AA98:AA115" si="133">S98</f>
        <v>0</v>
      </c>
      <c r="AB98" s="1">
        <f t="shared" ref="AA98:AD98" si="134">AB99</f>
        <v>0.4</v>
      </c>
      <c r="AC98" s="99">
        <f t="shared" si="134"/>
        <v>0.96</v>
      </c>
      <c r="AD98" s="1">
        <f t="shared" si="134"/>
        <v>1.2</v>
      </c>
      <c r="AE98" s="272">
        <f>(AA98*5900+AC98*3400+AD98*300+Z98*$AB$95)/Z98</f>
        <v>3640</v>
      </c>
      <c r="AG98" s="276"/>
      <c r="AH98" s="1">
        <v>1</v>
      </c>
      <c r="AI98" s="99">
        <f t="shared" ref="AI98:AI114" si="135">AA98</f>
        <v>0</v>
      </c>
      <c r="AJ98" s="1">
        <f t="shared" ref="AI98:AL98" si="136">AJ99</f>
        <v>0.5</v>
      </c>
      <c r="AK98" s="99">
        <f t="shared" si="136"/>
        <v>1.06</v>
      </c>
      <c r="AL98" s="1">
        <f t="shared" si="136"/>
        <v>1.3</v>
      </c>
      <c r="AM98" s="272">
        <f>(AI98*5900+AK98*3400+AL98*300+$AJ$95*AH98)/AH98</f>
        <v>4012</v>
      </c>
      <c r="AO98" s="276"/>
      <c r="AP98" s="1">
        <v>1</v>
      </c>
      <c r="AQ98" s="99">
        <f>AI98</f>
        <v>0</v>
      </c>
      <c r="AR98" s="1">
        <f t="shared" ref="AQ98:AT98" si="137">AR99</f>
        <v>0.6</v>
      </c>
      <c r="AS98" s="99">
        <f t="shared" si="137"/>
        <v>1.16</v>
      </c>
      <c r="AT98" s="1">
        <f t="shared" si="137"/>
        <v>1.4</v>
      </c>
      <c r="AU98" s="272">
        <f>(AQ98*5900+AS98*3400+AT98*300+$AR$95*AP98)/AP98</f>
        <v>4384</v>
      </c>
      <c r="AV98" s="1"/>
      <c r="AW98" s="276"/>
      <c r="AX98" s="1">
        <v>1</v>
      </c>
      <c r="AY98" s="99">
        <f t="shared" ref="AY98:AY114" si="138">AQ98</f>
        <v>0</v>
      </c>
      <c r="AZ98" s="1">
        <f t="shared" ref="AY98:BB98" si="139">AZ99</f>
        <v>0.6</v>
      </c>
      <c r="BA98" s="99">
        <f t="shared" si="139"/>
        <v>1.26</v>
      </c>
      <c r="BB98" s="1">
        <f t="shared" si="139"/>
        <v>1.4</v>
      </c>
      <c r="BC98" s="272">
        <f>(AY98*5900+BA98*3400+BB98*300+AX98*$AZ$95)/AX98</f>
        <v>4726</v>
      </c>
    </row>
    <row r="99" spans="2:55">
      <c r="B99" s="1">
        <v>101</v>
      </c>
      <c r="C99" s="99">
        <v>0</v>
      </c>
      <c r="D99" s="1">
        <v>0.3</v>
      </c>
      <c r="E99" s="99">
        <f>E76+0.1</f>
        <v>0.66</v>
      </c>
      <c r="F99" s="1">
        <f t="shared" ref="F99:F114" si="140">F76+0.1</f>
        <v>0.9</v>
      </c>
      <c r="G99" s="272">
        <f t="shared" ref="G99:G114" si="141">(C99*5900+E99*3400+F99*300+$D$95*B99)/B99</f>
        <v>34.8910891089109</v>
      </c>
      <c r="I99" s="276"/>
      <c r="J99" s="1">
        <v>101</v>
      </c>
      <c r="K99" s="99">
        <v>0</v>
      </c>
      <c r="L99" s="1">
        <v>0.3</v>
      </c>
      <c r="M99" s="99">
        <f>E99+0.1</f>
        <v>0.76</v>
      </c>
      <c r="N99" s="1">
        <f t="shared" ref="N99:N114" si="142">F99+0.1</f>
        <v>1</v>
      </c>
      <c r="O99" s="272">
        <f t="shared" ref="O99:O114" si="143">(K99*5900+M99*3400+N99*300+J99*$L$95)/J99</f>
        <v>40.5544554455445</v>
      </c>
      <c r="Q99" s="276"/>
      <c r="R99" s="1">
        <v>101</v>
      </c>
      <c r="S99" s="99">
        <v>0</v>
      </c>
      <c r="T99" s="1">
        <f t="shared" ref="T99:T114" si="144">T76+0.1</f>
        <v>0.3</v>
      </c>
      <c r="U99" s="99">
        <f>M99+0.1</f>
        <v>0.86</v>
      </c>
      <c r="V99" s="1">
        <f t="shared" ref="V99:V114" si="145">N99+0.1</f>
        <v>1.1</v>
      </c>
      <c r="W99" s="272">
        <f t="shared" ref="W99:W114" si="146">(S99*5900+U99*3400+V99*300+R99*$T$95)/R99</f>
        <v>46.2178217821782</v>
      </c>
      <c r="Y99" s="276"/>
      <c r="Z99" s="1">
        <v>101</v>
      </c>
      <c r="AA99" s="99">
        <f t="shared" si="133"/>
        <v>0</v>
      </c>
      <c r="AB99" s="1">
        <f t="shared" ref="AB99:AB101" si="147">AB76+0.1</f>
        <v>0.4</v>
      </c>
      <c r="AC99" s="99">
        <f>U99+0.1</f>
        <v>0.96</v>
      </c>
      <c r="AD99" s="1">
        <f t="shared" ref="AD99:AD114" si="148">V99+0.1</f>
        <v>1.2</v>
      </c>
      <c r="AE99" s="272">
        <f t="shared" ref="AE99:AE114" si="149">(AA99*5900+AC99*3400+AD99*300+Z99*$AB$95)/Z99</f>
        <v>51.8811881188119</v>
      </c>
      <c r="AG99" s="276"/>
      <c r="AH99" s="1">
        <v>101</v>
      </c>
      <c r="AI99" s="99">
        <f t="shared" si="135"/>
        <v>0</v>
      </c>
      <c r="AJ99" s="1">
        <f t="shared" ref="AJ99:AJ114" si="150">AB99+0.1</f>
        <v>0.5</v>
      </c>
      <c r="AK99" s="99">
        <f>AC99+0.1</f>
        <v>1.06</v>
      </c>
      <c r="AL99" s="1">
        <f t="shared" ref="AL99:AL114" si="151">AD99+0.1</f>
        <v>1.3</v>
      </c>
      <c r="AM99" s="272">
        <f t="shared" ref="AM99:AM115" si="152">(AI99*5900+AK99*3400+AL99*300+$AJ$95*AH99)/AH99</f>
        <v>57.5445544554455</v>
      </c>
      <c r="AO99" s="276"/>
      <c r="AP99" s="1">
        <v>101</v>
      </c>
      <c r="AQ99" s="99">
        <f t="shared" ref="AQ99:AQ114" si="153">AI99</f>
        <v>0</v>
      </c>
      <c r="AR99" s="1">
        <f t="shared" ref="AR99:AR114" si="154">AJ99+0.1</f>
        <v>0.6</v>
      </c>
      <c r="AS99" s="99">
        <f>AK99+0.1</f>
        <v>1.16</v>
      </c>
      <c r="AT99" s="1">
        <f t="shared" ref="AT99:AT114" si="155">AL99+0.1</f>
        <v>1.4</v>
      </c>
      <c r="AU99" s="272">
        <f t="shared" ref="AU99:AU114" si="156">(AQ99*5900+AS99*3400+AT99*300+$AR$95*AP99)/AP99</f>
        <v>63.2079207920792</v>
      </c>
      <c r="AV99" s="1"/>
      <c r="AW99" s="276"/>
      <c r="AX99" s="1">
        <v>101</v>
      </c>
      <c r="AY99" s="99">
        <f t="shared" si="138"/>
        <v>0</v>
      </c>
      <c r="AZ99" s="1">
        <f t="shared" ref="AZ99:AZ114" si="157">AR99</f>
        <v>0.6</v>
      </c>
      <c r="BA99" s="99">
        <f>AS99+0.1</f>
        <v>1.26</v>
      </c>
      <c r="BB99" s="1">
        <f t="shared" ref="BB99:BB114" si="158">AT99</f>
        <v>1.4</v>
      </c>
      <c r="BC99" s="272">
        <f t="shared" ref="BC99:BC114" si="159">(AY99*5900+BA99*3400+BB99*300+AX99*$AZ$95)/AX99</f>
        <v>68.5742574257426</v>
      </c>
    </row>
    <row r="100" spans="2:55">
      <c r="B100" s="1">
        <v>201</v>
      </c>
      <c r="C100" s="99">
        <v>0</v>
      </c>
      <c r="D100" s="1">
        <v>0.3</v>
      </c>
      <c r="E100" s="99">
        <f t="shared" ref="E100:E114" si="160">E77+0.1</f>
        <v>0.996</v>
      </c>
      <c r="F100" s="1">
        <f t="shared" si="140"/>
        <v>1.3</v>
      </c>
      <c r="G100" s="272">
        <f t="shared" si="141"/>
        <v>28.7880597014925</v>
      </c>
      <c r="I100" s="276"/>
      <c r="J100" s="1">
        <v>201</v>
      </c>
      <c r="K100" s="99">
        <v>0</v>
      </c>
      <c r="L100" s="1">
        <v>0.3</v>
      </c>
      <c r="M100" s="99">
        <f t="shared" ref="M100:M114" si="161">E100+0.1</f>
        <v>1.096</v>
      </c>
      <c r="N100" s="1">
        <f t="shared" si="142"/>
        <v>1.4</v>
      </c>
      <c r="O100" s="272">
        <f t="shared" si="143"/>
        <v>32.628855721393</v>
      </c>
      <c r="Q100" s="276"/>
      <c r="R100" s="1">
        <v>201</v>
      </c>
      <c r="S100" s="99">
        <v>0</v>
      </c>
      <c r="T100" s="1">
        <f t="shared" si="144"/>
        <v>0.3</v>
      </c>
      <c r="U100" s="99">
        <f t="shared" ref="U100:U114" si="162">M100+0.1</f>
        <v>1.196</v>
      </c>
      <c r="V100" s="1">
        <f t="shared" si="145"/>
        <v>1.5</v>
      </c>
      <c r="W100" s="272">
        <f t="shared" si="146"/>
        <v>36.4696517412935</v>
      </c>
      <c r="Y100" s="276"/>
      <c r="Z100" s="1">
        <v>201</v>
      </c>
      <c r="AA100" s="99">
        <f t="shared" si="133"/>
        <v>0</v>
      </c>
      <c r="AB100" s="1">
        <f t="shared" si="147"/>
        <v>0.4</v>
      </c>
      <c r="AC100" s="99">
        <f t="shared" ref="AC100:AC114" si="163">U100+0.1</f>
        <v>1.296</v>
      </c>
      <c r="AD100" s="1">
        <f t="shared" si="148"/>
        <v>1.6</v>
      </c>
      <c r="AE100" s="272">
        <f t="shared" si="149"/>
        <v>40.310447761194</v>
      </c>
      <c r="AG100" s="276"/>
      <c r="AH100" s="1">
        <v>201</v>
      </c>
      <c r="AI100" s="99">
        <f t="shared" si="135"/>
        <v>0</v>
      </c>
      <c r="AJ100" s="1">
        <f t="shared" si="150"/>
        <v>0.5</v>
      </c>
      <c r="AK100" s="99">
        <f t="shared" ref="AK100:AK114" si="164">AC100+0.1</f>
        <v>1.396</v>
      </c>
      <c r="AL100" s="1">
        <f t="shared" si="151"/>
        <v>1.7</v>
      </c>
      <c r="AM100" s="272">
        <f t="shared" si="152"/>
        <v>44.1512437810945</v>
      </c>
      <c r="AO100" s="276"/>
      <c r="AP100" s="1">
        <v>201</v>
      </c>
      <c r="AQ100" s="99">
        <f t="shared" si="153"/>
        <v>0</v>
      </c>
      <c r="AR100" s="1">
        <f t="shared" si="154"/>
        <v>0.6</v>
      </c>
      <c r="AS100" s="99">
        <f t="shared" ref="AS100:AS114" si="165">AK100+0.1</f>
        <v>1.496</v>
      </c>
      <c r="AT100" s="1">
        <f t="shared" si="155"/>
        <v>1.8</v>
      </c>
      <c r="AU100" s="272">
        <f t="shared" si="156"/>
        <v>47.992039800995</v>
      </c>
      <c r="AV100" s="1"/>
      <c r="AW100" s="276"/>
      <c r="AX100" s="1">
        <v>201</v>
      </c>
      <c r="AY100" s="99">
        <f t="shared" si="138"/>
        <v>0</v>
      </c>
      <c r="AZ100" s="1">
        <f t="shared" si="157"/>
        <v>0.6</v>
      </c>
      <c r="BA100" s="99">
        <f t="shared" ref="BA100:BA114" si="166">AS100+0.1</f>
        <v>1.596</v>
      </c>
      <c r="BB100" s="1">
        <f t="shared" si="158"/>
        <v>1.8</v>
      </c>
      <c r="BC100" s="272">
        <f t="shared" si="159"/>
        <v>51.6835820895522</v>
      </c>
    </row>
    <row r="101" spans="2:55">
      <c r="B101" s="1">
        <v>301</v>
      </c>
      <c r="C101" s="99">
        <v>0</v>
      </c>
      <c r="D101" s="1">
        <v>0.3</v>
      </c>
      <c r="E101" s="99">
        <f t="shared" si="160"/>
        <v>1.22</v>
      </c>
      <c r="F101" s="1">
        <f t="shared" si="140"/>
        <v>1.4</v>
      </c>
      <c r="G101" s="272">
        <f t="shared" si="141"/>
        <v>25.1760797342193</v>
      </c>
      <c r="I101" s="276"/>
      <c r="J101" s="1">
        <v>301</v>
      </c>
      <c r="K101" s="99">
        <v>0</v>
      </c>
      <c r="L101" s="1">
        <v>0.3</v>
      </c>
      <c r="M101" s="99">
        <f t="shared" si="161"/>
        <v>1.32</v>
      </c>
      <c r="N101" s="1">
        <f t="shared" si="142"/>
        <v>1.5</v>
      </c>
      <c r="O101" s="272">
        <f t="shared" si="143"/>
        <v>28.4053156146179</v>
      </c>
      <c r="Q101" s="276"/>
      <c r="R101" s="1">
        <v>301</v>
      </c>
      <c r="S101" s="99">
        <v>0</v>
      </c>
      <c r="T101" s="1">
        <f t="shared" si="144"/>
        <v>0.3</v>
      </c>
      <c r="U101" s="99">
        <f t="shared" si="162"/>
        <v>1.42</v>
      </c>
      <c r="V101" s="1">
        <f t="shared" si="145"/>
        <v>1.6</v>
      </c>
      <c r="W101" s="272">
        <f t="shared" si="146"/>
        <v>31.6345514950166</v>
      </c>
      <c r="Y101" s="276"/>
      <c r="Z101" s="1">
        <v>301</v>
      </c>
      <c r="AA101" s="99">
        <f t="shared" si="133"/>
        <v>0</v>
      </c>
      <c r="AB101" s="1">
        <f t="shared" si="147"/>
        <v>0.4</v>
      </c>
      <c r="AC101" s="99">
        <f t="shared" si="163"/>
        <v>1.52</v>
      </c>
      <c r="AD101" s="1">
        <f t="shared" si="148"/>
        <v>1.7</v>
      </c>
      <c r="AE101" s="272">
        <f t="shared" si="149"/>
        <v>34.8637873754153</v>
      </c>
      <c r="AG101" s="276"/>
      <c r="AH101" s="1">
        <v>301</v>
      </c>
      <c r="AI101" s="99">
        <f t="shared" si="135"/>
        <v>0</v>
      </c>
      <c r="AJ101" s="1">
        <f t="shared" si="150"/>
        <v>0.5</v>
      </c>
      <c r="AK101" s="99">
        <f t="shared" si="164"/>
        <v>1.62</v>
      </c>
      <c r="AL101" s="1">
        <f t="shared" si="151"/>
        <v>1.8</v>
      </c>
      <c r="AM101" s="272">
        <f t="shared" si="152"/>
        <v>38.093023255814</v>
      </c>
      <c r="AO101" s="276"/>
      <c r="AP101" s="1">
        <v>301</v>
      </c>
      <c r="AQ101" s="99">
        <f t="shared" si="153"/>
        <v>0</v>
      </c>
      <c r="AR101" s="1">
        <f t="shared" si="154"/>
        <v>0.6</v>
      </c>
      <c r="AS101" s="99">
        <f t="shared" si="165"/>
        <v>1.72</v>
      </c>
      <c r="AT101" s="1">
        <f t="shared" si="155"/>
        <v>1.9</v>
      </c>
      <c r="AU101" s="272">
        <f t="shared" si="156"/>
        <v>41.3222591362126</v>
      </c>
      <c r="AV101" s="1"/>
      <c r="AW101" s="276"/>
      <c r="AX101" s="1">
        <v>301</v>
      </c>
      <c r="AY101" s="99">
        <f t="shared" si="138"/>
        <v>0</v>
      </c>
      <c r="AZ101" s="1">
        <f t="shared" si="157"/>
        <v>0.6</v>
      </c>
      <c r="BA101" s="99">
        <f t="shared" si="166"/>
        <v>1.82</v>
      </c>
      <c r="BB101" s="1">
        <f t="shared" si="158"/>
        <v>1.9</v>
      </c>
      <c r="BC101" s="272">
        <f t="shared" si="159"/>
        <v>44.4518272425249</v>
      </c>
    </row>
    <row r="102" spans="2:55">
      <c r="B102" s="1">
        <v>501</v>
      </c>
      <c r="C102" s="99">
        <f>S102</f>
        <v>0.2</v>
      </c>
      <c r="D102" s="1">
        <v>0.4</v>
      </c>
      <c r="E102" s="99">
        <f t="shared" si="160"/>
        <v>1.556</v>
      </c>
      <c r="F102" s="1">
        <f t="shared" si="140"/>
        <v>1.5</v>
      </c>
      <c r="G102" s="272">
        <f t="shared" si="141"/>
        <v>23.8131736526946</v>
      </c>
      <c r="I102" s="276"/>
      <c r="J102" s="1">
        <v>501</v>
      </c>
      <c r="K102" s="99">
        <f>S102</f>
        <v>0.2</v>
      </c>
      <c r="L102" s="1">
        <v>0.4</v>
      </c>
      <c r="M102" s="99">
        <f t="shared" si="161"/>
        <v>1.656</v>
      </c>
      <c r="N102" s="1">
        <f t="shared" si="142"/>
        <v>1.6</v>
      </c>
      <c r="O102" s="272">
        <f t="shared" si="143"/>
        <v>26.5516966067864</v>
      </c>
      <c r="Q102" s="276"/>
      <c r="R102" s="1">
        <v>501</v>
      </c>
      <c r="S102" s="99">
        <f>S79+0.1</f>
        <v>0.2</v>
      </c>
      <c r="T102" s="1">
        <f t="shared" si="144"/>
        <v>0.4</v>
      </c>
      <c r="U102" s="99">
        <f t="shared" si="162"/>
        <v>1.756</v>
      </c>
      <c r="V102" s="1">
        <f t="shared" si="145"/>
        <v>1.7</v>
      </c>
      <c r="W102" s="272">
        <f t="shared" si="146"/>
        <v>29.2902195608782</v>
      </c>
      <c r="Y102" s="276"/>
      <c r="Z102" s="1">
        <v>501</v>
      </c>
      <c r="AA102" s="99">
        <f t="shared" si="133"/>
        <v>0.2</v>
      </c>
      <c r="AB102" s="1">
        <f t="shared" ref="AB102:AB114" si="167">AB79+0.2</f>
        <v>0.5</v>
      </c>
      <c r="AC102" s="99">
        <f t="shared" si="163"/>
        <v>1.856</v>
      </c>
      <c r="AD102" s="1">
        <f t="shared" si="148"/>
        <v>1.8</v>
      </c>
      <c r="AE102" s="272">
        <f t="shared" si="149"/>
        <v>32.0287425149701</v>
      </c>
      <c r="AG102" s="276"/>
      <c r="AH102" s="1">
        <v>501</v>
      </c>
      <c r="AI102" s="99">
        <f t="shared" si="135"/>
        <v>0.2</v>
      </c>
      <c r="AJ102" s="1">
        <f t="shared" si="150"/>
        <v>0.6</v>
      </c>
      <c r="AK102" s="99">
        <f t="shared" si="164"/>
        <v>1.956</v>
      </c>
      <c r="AL102" s="1">
        <f t="shared" si="151"/>
        <v>1.9</v>
      </c>
      <c r="AM102" s="272">
        <f t="shared" si="152"/>
        <v>34.7672654690619</v>
      </c>
      <c r="AO102" s="276"/>
      <c r="AP102" s="1">
        <v>501</v>
      </c>
      <c r="AQ102" s="99">
        <f t="shared" si="153"/>
        <v>0.2</v>
      </c>
      <c r="AR102" s="1">
        <f t="shared" si="154"/>
        <v>0.7</v>
      </c>
      <c r="AS102" s="99">
        <f t="shared" si="165"/>
        <v>2.056</v>
      </c>
      <c r="AT102" s="1">
        <f t="shared" si="155"/>
        <v>2</v>
      </c>
      <c r="AU102" s="272">
        <f t="shared" si="156"/>
        <v>37.5057884231537</v>
      </c>
      <c r="AV102" s="1"/>
      <c r="AW102" s="276"/>
      <c r="AX102" s="1">
        <v>501</v>
      </c>
      <c r="AY102" s="99">
        <f t="shared" si="138"/>
        <v>0.2</v>
      </c>
      <c r="AZ102" s="1">
        <f t="shared" si="157"/>
        <v>0.7</v>
      </c>
      <c r="BA102" s="99">
        <f t="shared" si="166"/>
        <v>2.156</v>
      </c>
      <c r="BB102" s="1">
        <f t="shared" si="158"/>
        <v>2</v>
      </c>
      <c r="BC102" s="272">
        <f t="shared" si="159"/>
        <v>40.1844311377246</v>
      </c>
    </row>
    <row r="103" spans="2:55">
      <c r="B103" s="1">
        <v>701</v>
      </c>
      <c r="C103" s="99">
        <f t="shared" ref="C103:C114" si="168">S103</f>
        <v>0.2</v>
      </c>
      <c r="D103" s="1">
        <v>0.4</v>
      </c>
      <c r="E103" s="99">
        <f t="shared" si="160"/>
        <v>1.78</v>
      </c>
      <c r="F103" s="1">
        <f t="shared" si="140"/>
        <v>1.6</v>
      </c>
      <c r="G103" s="272">
        <f t="shared" si="141"/>
        <v>21.0014265335235</v>
      </c>
      <c r="I103" s="276"/>
      <c r="J103" s="1">
        <v>701</v>
      </c>
      <c r="K103" s="99">
        <f t="shared" ref="K103:K114" si="169">S103</f>
        <v>0.2</v>
      </c>
      <c r="L103" s="1">
        <v>0.4</v>
      </c>
      <c r="M103" s="99">
        <f t="shared" si="161"/>
        <v>1.88</v>
      </c>
      <c r="N103" s="1">
        <f t="shared" si="142"/>
        <v>1.7</v>
      </c>
      <c r="O103" s="272">
        <f t="shared" si="143"/>
        <v>23.5292439372325</v>
      </c>
      <c r="Q103" s="276"/>
      <c r="R103" s="1">
        <v>701</v>
      </c>
      <c r="S103" s="99">
        <f t="shared" ref="S99:S114" si="170">S80+0.1</f>
        <v>0.2</v>
      </c>
      <c r="T103" s="1">
        <f t="shared" si="144"/>
        <v>0.4</v>
      </c>
      <c r="U103" s="99">
        <f t="shared" si="162"/>
        <v>1.98</v>
      </c>
      <c r="V103" s="1">
        <f t="shared" si="145"/>
        <v>1.8</v>
      </c>
      <c r="W103" s="272">
        <f t="shared" si="146"/>
        <v>26.0570613409415</v>
      </c>
      <c r="Y103" s="276"/>
      <c r="Z103" s="1">
        <v>701</v>
      </c>
      <c r="AA103" s="99">
        <f t="shared" si="133"/>
        <v>0.2</v>
      </c>
      <c r="AB103" s="1">
        <f t="shared" si="167"/>
        <v>0.5</v>
      </c>
      <c r="AC103" s="99">
        <f t="shared" si="163"/>
        <v>2.08</v>
      </c>
      <c r="AD103" s="1">
        <f t="shared" si="148"/>
        <v>1.9</v>
      </c>
      <c r="AE103" s="272">
        <f t="shared" si="149"/>
        <v>28.5848787446505</v>
      </c>
      <c r="AG103" s="276"/>
      <c r="AH103" s="1">
        <v>701</v>
      </c>
      <c r="AI103" s="99">
        <f t="shared" si="135"/>
        <v>0.2</v>
      </c>
      <c r="AJ103" s="1">
        <f t="shared" si="150"/>
        <v>0.6</v>
      </c>
      <c r="AK103" s="99">
        <f t="shared" si="164"/>
        <v>2.18</v>
      </c>
      <c r="AL103" s="1">
        <f t="shared" si="151"/>
        <v>2</v>
      </c>
      <c r="AM103" s="272">
        <f t="shared" si="152"/>
        <v>31.1126961483595</v>
      </c>
      <c r="AO103" s="276"/>
      <c r="AP103" s="1">
        <v>701</v>
      </c>
      <c r="AQ103" s="99">
        <f t="shared" si="153"/>
        <v>0.2</v>
      </c>
      <c r="AR103" s="1">
        <f t="shared" si="154"/>
        <v>0.7</v>
      </c>
      <c r="AS103" s="99">
        <f t="shared" si="165"/>
        <v>2.28</v>
      </c>
      <c r="AT103" s="1">
        <f t="shared" si="155"/>
        <v>2.1</v>
      </c>
      <c r="AU103" s="272">
        <f t="shared" si="156"/>
        <v>33.6405135520685</v>
      </c>
      <c r="AV103" s="1"/>
      <c r="AW103" s="276"/>
      <c r="AX103" s="1">
        <v>701</v>
      </c>
      <c r="AY103" s="99">
        <f t="shared" si="138"/>
        <v>0.2</v>
      </c>
      <c r="AZ103" s="1">
        <f t="shared" si="157"/>
        <v>0.7</v>
      </c>
      <c r="BA103" s="99">
        <f t="shared" si="166"/>
        <v>2.38</v>
      </c>
      <c r="BB103" s="1">
        <f t="shared" si="158"/>
        <v>2.1</v>
      </c>
      <c r="BC103" s="272">
        <f t="shared" si="159"/>
        <v>36.1255349500713</v>
      </c>
    </row>
    <row r="104" spans="2:55">
      <c r="B104" s="1">
        <v>901</v>
      </c>
      <c r="C104" s="99">
        <f t="shared" si="168"/>
        <v>0.2</v>
      </c>
      <c r="D104" s="1">
        <v>0.5</v>
      </c>
      <c r="E104" s="99">
        <f t="shared" si="160"/>
        <v>2.116</v>
      </c>
      <c r="F104" s="1">
        <f t="shared" si="140"/>
        <v>1.6</v>
      </c>
      <c r="G104" s="272">
        <f t="shared" si="141"/>
        <v>19.8273029966704</v>
      </c>
      <c r="I104" s="276"/>
      <c r="J104" s="1">
        <v>901</v>
      </c>
      <c r="K104" s="99">
        <f t="shared" si="169"/>
        <v>0.2</v>
      </c>
      <c r="L104" s="1">
        <v>0.5</v>
      </c>
      <c r="M104" s="99">
        <f t="shared" si="161"/>
        <v>2.216</v>
      </c>
      <c r="N104" s="1">
        <f t="shared" si="142"/>
        <v>1.7</v>
      </c>
      <c r="O104" s="272">
        <f t="shared" si="143"/>
        <v>22.2379578246393</v>
      </c>
      <c r="Q104" s="276"/>
      <c r="R104" s="1">
        <v>901</v>
      </c>
      <c r="S104" s="99">
        <f t="shared" si="170"/>
        <v>0.2</v>
      </c>
      <c r="T104" s="1">
        <f t="shared" si="144"/>
        <v>0.5</v>
      </c>
      <c r="U104" s="99">
        <f t="shared" si="162"/>
        <v>2.316</v>
      </c>
      <c r="V104" s="1">
        <f t="shared" si="145"/>
        <v>1.8</v>
      </c>
      <c r="W104" s="272">
        <f t="shared" si="146"/>
        <v>24.6486126526082</v>
      </c>
      <c r="Y104" s="276"/>
      <c r="Z104" s="1">
        <v>901</v>
      </c>
      <c r="AA104" s="99">
        <f t="shared" si="133"/>
        <v>0.2</v>
      </c>
      <c r="AB104" s="1">
        <f t="shared" si="167"/>
        <v>0.6</v>
      </c>
      <c r="AC104" s="99">
        <f t="shared" si="163"/>
        <v>2.416</v>
      </c>
      <c r="AD104" s="1">
        <f t="shared" si="148"/>
        <v>1.9</v>
      </c>
      <c r="AE104" s="272">
        <f t="shared" si="149"/>
        <v>27.0592674805771</v>
      </c>
      <c r="AG104" s="276"/>
      <c r="AH104" s="1">
        <v>901</v>
      </c>
      <c r="AI104" s="99">
        <f t="shared" si="135"/>
        <v>0.2</v>
      </c>
      <c r="AJ104" s="1">
        <f t="shared" si="150"/>
        <v>0.7</v>
      </c>
      <c r="AK104" s="99">
        <f t="shared" si="164"/>
        <v>2.516</v>
      </c>
      <c r="AL104" s="1">
        <f t="shared" si="151"/>
        <v>2</v>
      </c>
      <c r="AM104" s="272">
        <f t="shared" si="152"/>
        <v>29.4699223085461</v>
      </c>
      <c r="AO104" s="276"/>
      <c r="AP104" s="1">
        <v>901</v>
      </c>
      <c r="AQ104" s="99">
        <f t="shared" si="153"/>
        <v>0.2</v>
      </c>
      <c r="AR104" s="1">
        <f t="shared" si="154"/>
        <v>0.8</v>
      </c>
      <c r="AS104" s="99">
        <f t="shared" si="165"/>
        <v>2.616</v>
      </c>
      <c r="AT104" s="1">
        <f t="shared" si="155"/>
        <v>2.1</v>
      </c>
      <c r="AU104" s="272">
        <f t="shared" si="156"/>
        <v>31.880577136515</v>
      </c>
      <c r="AV104" s="1"/>
      <c r="AW104" s="276"/>
      <c r="AX104" s="1">
        <v>901</v>
      </c>
      <c r="AY104" s="99">
        <f t="shared" si="138"/>
        <v>0.2</v>
      </c>
      <c r="AZ104" s="1">
        <f t="shared" si="157"/>
        <v>0.8</v>
      </c>
      <c r="BA104" s="99">
        <f t="shared" si="166"/>
        <v>2.716</v>
      </c>
      <c r="BB104" s="1">
        <f t="shared" si="158"/>
        <v>2.1</v>
      </c>
      <c r="BC104" s="272">
        <f t="shared" si="159"/>
        <v>34.257935627081</v>
      </c>
    </row>
    <row r="105" spans="2:55">
      <c r="B105" s="1">
        <v>1001</v>
      </c>
      <c r="C105" s="99">
        <f t="shared" si="168"/>
        <v>0.3</v>
      </c>
      <c r="D105" s="1">
        <v>0.5</v>
      </c>
      <c r="E105" s="99">
        <f t="shared" si="160"/>
        <v>2.34</v>
      </c>
      <c r="F105" s="1">
        <f t="shared" si="140"/>
        <v>1.8</v>
      </c>
      <c r="G105" s="272">
        <f t="shared" si="141"/>
        <v>20.2557442557443</v>
      </c>
      <c r="I105" s="276"/>
      <c r="J105" s="1">
        <v>1001</v>
      </c>
      <c r="K105" s="99">
        <f t="shared" si="169"/>
        <v>0.3</v>
      </c>
      <c r="L105" s="1">
        <v>0.5</v>
      </c>
      <c r="M105" s="99">
        <f t="shared" si="161"/>
        <v>2.44</v>
      </c>
      <c r="N105" s="1">
        <f t="shared" si="142"/>
        <v>1.9</v>
      </c>
      <c r="O105" s="272">
        <f t="shared" si="143"/>
        <v>22.6253746253746</v>
      </c>
      <c r="Q105" s="276"/>
      <c r="R105" s="1">
        <v>1001</v>
      </c>
      <c r="S105" s="99">
        <f t="shared" si="170"/>
        <v>0.3</v>
      </c>
      <c r="T105" s="1">
        <f t="shared" si="144"/>
        <v>0.5</v>
      </c>
      <c r="U105" s="99">
        <f t="shared" si="162"/>
        <v>2.54</v>
      </c>
      <c r="V105" s="1">
        <f t="shared" si="145"/>
        <v>2</v>
      </c>
      <c r="W105" s="272">
        <f t="shared" si="146"/>
        <v>24.995004995005</v>
      </c>
      <c r="Y105" s="276"/>
      <c r="Z105" s="1">
        <v>1001</v>
      </c>
      <c r="AA105" s="99">
        <f t="shared" si="133"/>
        <v>0.3</v>
      </c>
      <c r="AB105" s="1">
        <f t="shared" si="167"/>
        <v>0.6</v>
      </c>
      <c r="AC105" s="99">
        <f t="shared" si="163"/>
        <v>2.64</v>
      </c>
      <c r="AD105" s="1">
        <f t="shared" si="148"/>
        <v>2.1</v>
      </c>
      <c r="AE105" s="272">
        <f t="shared" si="149"/>
        <v>27.3646353646354</v>
      </c>
      <c r="AG105" s="276"/>
      <c r="AH105" s="1">
        <v>1001</v>
      </c>
      <c r="AI105" s="99">
        <f t="shared" si="135"/>
        <v>0.3</v>
      </c>
      <c r="AJ105" s="1">
        <f t="shared" si="150"/>
        <v>0.7</v>
      </c>
      <c r="AK105" s="99">
        <f t="shared" si="164"/>
        <v>2.74</v>
      </c>
      <c r="AL105" s="1">
        <f t="shared" si="151"/>
        <v>2.2</v>
      </c>
      <c r="AM105" s="272">
        <f t="shared" si="152"/>
        <v>29.7342657342657</v>
      </c>
      <c r="AO105" s="276"/>
      <c r="AP105" s="1">
        <v>1001</v>
      </c>
      <c r="AQ105" s="99">
        <f t="shared" si="153"/>
        <v>0.3</v>
      </c>
      <c r="AR105" s="1">
        <f t="shared" si="154"/>
        <v>0.8</v>
      </c>
      <c r="AS105" s="99">
        <f t="shared" si="165"/>
        <v>2.84</v>
      </c>
      <c r="AT105" s="1">
        <f t="shared" si="155"/>
        <v>2.3</v>
      </c>
      <c r="AU105" s="272">
        <f t="shared" si="156"/>
        <v>32.1038961038961</v>
      </c>
      <c r="AV105" s="1"/>
      <c r="AW105" s="276"/>
      <c r="AX105" s="1">
        <v>1001</v>
      </c>
      <c r="AY105" s="99">
        <f t="shared" si="138"/>
        <v>0.3</v>
      </c>
      <c r="AZ105" s="1">
        <f t="shared" si="157"/>
        <v>0.8</v>
      </c>
      <c r="BA105" s="99">
        <f t="shared" si="166"/>
        <v>2.94</v>
      </c>
      <c r="BB105" s="1">
        <f t="shared" si="158"/>
        <v>2.3</v>
      </c>
      <c r="BC105" s="272">
        <f t="shared" si="159"/>
        <v>34.4435564435564</v>
      </c>
    </row>
    <row r="106" spans="2:55">
      <c r="B106" s="1">
        <v>1201</v>
      </c>
      <c r="C106" s="99">
        <f t="shared" si="168"/>
        <v>0.3</v>
      </c>
      <c r="D106" s="1">
        <v>0.6</v>
      </c>
      <c r="E106" s="99">
        <f t="shared" si="160"/>
        <v>2.452</v>
      </c>
      <c r="F106" s="1">
        <f t="shared" si="140"/>
        <v>2</v>
      </c>
      <c r="G106" s="272">
        <f t="shared" si="141"/>
        <v>18.9149042464613</v>
      </c>
      <c r="I106" s="276"/>
      <c r="J106" s="1">
        <v>1201</v>
      </c>
      <c r="K106" s="99">
        <f t="shared" si="169"/>
        <v>0.3</v>
      </c>
      <c r="L106" s="1">
        <v>0.6</v>
      </c>
      <c r="M106" s="99">
        <f t="shared" si="161"/>
        <v>2.552</v>
      </c>
      <c r="N106" s="1">
        <f t="shared" si="142"/>
        <v>2.1</v>
      </c>
      <c r="O106" s="272">
        <f t="shared" si="143"/>
        <v>21.2229808492923</v>
      </c>
      <c r="Q106" s="276"/>
      <c r="R106" s="1">
        <v>1201</v>
      </c>
      <c r="S106" s="99">
        <f t="shared" si="170"/>
        <v>0.3</v>
      </c>
      <c r="T106" s="1">
        <f t="shared" si="144"/>
        <v>0.6</v>
      </c>
      <c r="U106" s="99">
        <f t="shared" si="162"/>
        <v>2.652</v>
      </c>
      <c r="V106" s="1">
        <f t="shared" si="145"/>
        <v>2.2</v>
      </c>
      <c r="W106" s="272">
        <f t="shared" si="146"/>
        <v>23.5310574521232</v>
      </c>
      <c r="Y106" s="276"/>
      <c r="Z106" s="1">
        <v>1201</v>
      </c>
      <c r="AA106" s="99">
        <f t="shared" si="133"/>
        <v>0.3</v>
      </c>
      <c r="AB106" s="1">
        <f t="shared" si="167"/>
        <v>0.7</v>
      </c>
      <c r="AC106" s="99">
        <f t="shared" si="163"/>
        <v>2.752</v>
      </c>
      <c r="AD106" s="1">
        <f t="shared" si="148"/>
        <v>2.3</v>
      </c>
      <c r="AE106" s="272">
        <f t="shared" si="149"/>
        <v>25.8391340549542</v>
      </c>
      <c r="AG106" s="276"/>
      <c r="AH106" s="1">
        <v>1201</v>
      </c>
      <c r="AI106" s="99">
        <f t="shared" si="135"/>
        <v>0.3</v>
      </c>
      <c r="AJ106" s="1">
        <f t="shared" si="150"/>
        <v>0.8</v>
      </c>
      <c r="AK106" s="99">
        <f t="shared" si="164"/>
        <v>2.852</v>
      </c>
      <c r="AL106" s="1">
        <f t="shared" si="151"/>
        <v>2.4</v>
      </c>
      <c r="AM106" s="272">
        <f t="shared" si="152"/>
        <v>28.1472106577852</v>
      </c>
      <c r="AO106" s="276"/>
      <c r="AP106" s="1">
        <v>1201</v>
      </c>
      <c r="AQ106" s="99">
        <f t="shared" si="153"/>
        <v>0.3</v>
      </c>
      <c r="AR106" s="1">
        <f t="shared" si="154"/>
        <v>0.9</v>
      </c>
      <c r="AS106" s="99">
        <f t="shared" si="165"/>
        <v>2.952</v>
      </c>
      <c r="AT106" s="1">
        <f t="shared" si="155"/>
        <v>2.5</v>
      </c>
      <c r="AU106" s="272">
        <f t="shared" si="156"/>
        <v>30.4552872606162</v>
      </c>
      <c r="AV106" s="1"/>
      <c r="AW106" s="276"/>
      <c r="AX106" s="1">
        <v>1201</v>
      </c>
      <c r="AY106" s="99">
        <f t="shared" si="138"/>
        <v>0.3</v>
      </c>
      <c r="AZ106" s="1">
        <f t="shared" si="157"/>
        <v>0.9</v>
      </c>
      <c r="BA106" s="99">
        <f t="shared" si="166"/>
        <v>3.052</v>
      </c>
      <c r="BB106" s="1">
        <f t="shared" si="158"/>
        <v>2.5</v>
      </c>
      <c r="BC106" s="272">
        <f t="shared" si="159"/>
        <v>32.7383846794338</v>
      </c>
    </row>
    <row r="107" spans="2:55">
      <c r="B107" s="1">
        <v>1401</v>
      </c>
      <c r="C107" s="99">
        <f t="shared" si="168"/>
        <v>0.3</v>
      </c>
      <c r="D107" s="1">
        <v>0.6</v>
      </c>
      <c r="E107" s="99">
        <f t="shared" si="160"/>
        <v>2.564</v>
      </c>
      <c r="F107" s="1">
        <f t="shared" si="140"/>
        <v>2.1</v>
      </c>
      <c r="G107" s="272">
        <f t="shared" si="141"/>
        <v>17.9354746609565</v>
      </c>
      <c r="I107" s="276"/>
      <c r="J107" s="1">
        <v>1401</v>
      </c>
      <c r="K107" s="99">
        <f t="shared" si="169"/>
        <v>0.3</v>
      </c>
      <c r="L107" s="1">
        <v>0.6</v>
      </c>
      <c r="M107" s="99">
        <f t="shared" si="161"/>
        <v>2.664</v>
      </c>
      <c r="N107" s="1">
        <f t="shared" si="142"/>
        <v>2.2</v>
      </c>
      <c r="O107" s="272">
        <f t="shared" si="143"/>
        <v>20.1995717344754</v>
      </c>
      <c r="Q107" s="276"/>
      <c r="R107" s="1">
        <v>1401</v>
      </c>
      <c r="S107" s="99">
        <f t="shared" si="170"/>
        <v>0.3</v>
      </c>
      <c r="T107" s="1">
        <f t="shared" si="144"/>
        <v>0.6</v>
      </c>
      <c r="U107" s="99">
        <f t="shared" si="162"/>
        <v>2.764</v>
      </c>
      <c r="V107" s="1">
        <f t="shared" si="145"/>
        <v>2.3</v>
      </c>
      <c r="W107" s="272">
        <f t="shared" si="146"/>
        <v>22.4636688079943</v>
      </c>
      <c r="Y107" s="276"/>
      <c r="Z107" s="1">
        <v>1401</v>
      </c>
      <c r="AA107" s="99">
        <f t="shared" si="133"/>
        <v>0.3</v>
      </c>
      <c r="AB107" s="1">
        <f t="shared" si="167"/>
        <v>0.7</v>
      </c>
      <c r="AC107" s="99">
        <f t="shared" si="163"/>
        <v>2.864</v>
      </c>
      <c r="AD107" s="1">
        <f t="shared" si="148"/>
        <v>2.4</v>
      </c>
      <c r="AE107" s="272">
        <f t="shared" si="149"/>
        <v>24.7277658815132</v>
      </c>
      <c r="AG107" s="276"/>
      <c r="AH107" s="1">
        <v>1401</v>
      </c>
      <c r="AI107" s="99">
        <f t="shared" si="135"/>
        <v>0.3</v>
      </c>
      <c r="AJ107" s="1">
        <f t="shared" si="150"/>
        <v>0.8</v>
      </c>
      <c r="AK107" s="99">
        <f t="shared" si="164"/>
        <v>2.964</v>
      </c>
      <c r="AL107" s="1">
        <f t="shared" si="151"/>
        <v>2.5</v>
      </c>
      <c r="AM107" s="272">
        <f t="shared" si="152"/>
        <v>26.9918629550321</v>
      </c>
      <c r="AO107" s="276"/>
      <c r="AP107" s="1">
        <v>1401</v>
      </c>
      <c r="AQ107" s="99">
        <f t="shared" si="153"/>
        <v>0.3</v>
      </c>
      <c r="AR107" s="1">
        <f t="shared" si="154"/>
        <v>0.9</v>
      </c>
      <c r="AS107" s="99">
        <f t="shared" si="165"/>
        <v>3.064</v>
      </c>
      <c r="AT107" s="1">
        <f t="shared" si="155"/>
        <v>2.6</v>
      </c>
      <c r="AU107" s="272">
        <f t="shared" si="156"/>
        <v>29.255960028551</v>
      </c>
      <c r="AV107" s="1"/>
      <c r="AW107" s="276"/>
      <c r="AX107" s="1">
        <v>1401</v>
      </c>
      <c r="AY107" s="99">
        <f t="shared" si="138"/>
        <v>0.3</v>
      </c>
      <c r="AZ107" s="1">
        <f t="shared" si="157"/>
        <v>0.9</v>
      </c>
      <c r="BA107" s="99">
        <f t="shared" si="166"/>
        <v>3.164</v>
      </c>
      <c r="BB107" s="1">
        <f t="shared" si="158"/>
        <v>2.6</v>
      </c>
      <c r="BC107" s="272">
        <f t="shared" si="159"/>
        <v>31.4986438258387</v>
      </c>
    </row>
    <row r="108" spans="2:55">
      <c r="B108" s="1">
        <v>1601</v>
      </c>
      <c r="C108" s="99">
        <f t="shared" si="168"/>
        <v>0.3</v>
      </c>
      <c r="D108" s="1">
        <v>0.6</v>
      </c>
      <c r="E108" s="99">
        <f t="shared" si="160"/>
        <v>2.788</v>
      </c>
      <c r="F108" s="1">
        <f t="shared" si="140"/>
        <v>2.1</v>
      </c>
      <c r="G108" s="272">
        <f t="shared" si="141"/>
        <v>17.4198625858838</v>
      </c>
      <c r="I108" s="276"/>
      <c r="J108" s="1">
        <v>1601</v>
      </c>
      <c r="K108" s="99">
        <f t="shared" si="169"/>
        <v>0.3</v>
      </c>
      <c r="L108" s="1">
        <v>0.6</v>
      </c>
      <c r="M108" s="99">
        <f t="shared" si="161"/>
        <v>2.888</v>
      </c>
      <c r="N108" s="1">
        <f t="shared" si="142"/>
        <v>2.2</v>
      </c>
      <c r="O108" s="272">
        <f t="shared" si="143"/>
        <v>19.6509681449094</v>
      </c>
      <c r="Q108" s="276"/>
      <c r="R108" s="1">
        <v>1601</v>
      </c>
      <c r="S108" s="99">
        <f t="shared" si="170"/>
        <v>0.3</v>
      </c>
      <c r="T108" s="1">
        <f t="shared" si="144"/>
        <v>0.7</v>
      </c>
      <c r="U108" s="99">
        <f t="shared" si="162"/>
        <v>2.988</v>
      </c>
      <c r="V108" s="1">
        <f t="shared" si="145"/>
        <v>2.3</v>
      </c>
      <c r="W108" s="272">
        <f t="shared" si="146"/>
        <v>21.882073703935</v>
      </c>
      <c r="Y108" s="276"/>
      <c r="Z108" s="1">
        <v>1601</v>
      </c>
      <c r="AA108" s="99">
        <f t="shared" si="133"/>
        <v>0.3</v>
      </c>
      <c r="AB108" s="1">
        <f t="shared" si="167"/>
        <v>0.8</v>
      </c>
      <c r="AC108" s="99">
        <f t="shared" si="163"/>
        <v>3.088</v>
      </c>
      <c r="AD108" s="1">
        <f t="shared" si="148"/>
        <v>2.4</v>
      </c>
      <c r="AE108" s="272">
        <f t="shared" si="149"/>
        <v>24.1131792629607</v>
      </c>
      <c r="AG108" s="276"/>
      <c r="AH108" s="1">
        <v>1601</v>
      </c>
      <c r="AI108" s="99">
        <f t="shared" si="135"/>
        <v>0.3</v>
      </c>
      <c r="AJ108" s="1">
        <f t="shared" si="150"/>
        <v>0.9</v>
      </c>
      <c r="AK108" s="99">
        <f t="shared" si="164"/>
        <v>3.188</v>
      </c>
      <c r="AL108" s="1">
        <f t="shared" si="151"/>
        <v>2.5</v>
      </c>
      <c r="AM108" s="272">
        <f t="shared" si="152"/>
        <v>26.3442848219863</v>
      </c>
      <c r="AO108" s="276"/>
      <c r="AP108" s="1">
        <v>1601</v>
      </c>
      <c r="AQ108" s="99">
        <f t="shared" si="153"/>
        <v>0.3</v>
      </c>
      <c r="AR108" s="1">
        <f t="shared" si="154"/>
        <v>1</v>
      </c>
      <c r="AS108" s="99">
        <f t="shared" si="165"/>
        <v>3.288</v>
      </c>
      <c r="AT108" s="1">
        <f t="shared" si="155"/>
        <v>2.6</v>
      </c>
      <c r="AU108" s="272">
        <f t="shared" si="156"/>
        <v>28.5753903810119</v>
      </c>
      <c r="AV108" s="1"/>
      <c r="AW108" s="276"/>
      <c r="AX108" s="1">
        <v>1601</v>
      </c>
      <c r="AY108" s="99">
        <f t="shared" si="138"/>
        <v>0.3</v>
      </c>
      <c r="AZ108" s="1">
        <f t="shared" si="157"/>
        <v>1</v>
      </c>
      <c r="BA108" s="99">
        <f t="shared" si="166"/>
        <v>3.388</v>
      </c>
      <c r="BB108" s="1">
        <f t="shared" si="158"/>
        <v>2.6</v>
      </c>
      <c r="BC108" s="272">
        <f t="shared" si="159"/>
        <v>30.7877576514678</v>
      </c>
    </row>
    <row r="109" spans="2:55">
      <c r="B109" s="1">
        <v>1801</v>
      </c>
      <c r="C109" s="99">
        <f t="shared" si="168"/>
        <v>0.3</v>
      </c>
      <c r="D109" s="1">
        <v>0.6</v>
      </c>
      <c r="E109" s="99">
        <f t="shared" si="160"/>
        <v>3.012</v>
      </c>
      <c r="F109" s="1">
        <f t="shared" si="140"/>
        <v>2.1</v>
      </c>
      <c r="G109" s="272">
        <f t="shared" si="141"/>
        <v>17.0187673514714</v>
      </c>
      <c r="I109" s="276"/>
      <c r="J109" s="1">
        <v>1801</v>
      </c>
      <c r="K109" s="99">
        <f t="shared" si="169"/>
        <v>0.3</v>
      </c>
      <c r="L109" s="1">
        <v>0.6</v>
      </c>
      <c r="M109" s="99">
        <f t="shared" si="161"/>
        <v>3.112</v>
      </c>
      <c r="N109" s="1">
        <f t="shared" si="142"/>
        <v>2.2</v>
      </c>
      <c r="O109" s="272">
        <f t="shared" si="143"/>
        <v>19.2242087729039</v>
      </c>
      <c r="Q109" s="276"/>
      <c r="R109" s="1">
        <v>1801</v>
      </c>
      <c r="S109" s="99">
        <f t="shared" si="170"/>
        <v>0.3</v>
      </c>
      <c r="T109" s="1">
        <f t="shared" si="144"/>
        <v>0.7</v>
      </c>
      <c r="U109" s="99">
        <f t="shared" si="162"/>
        <v>3.212</v>
      </c>
      <c r="V109" s="1">
        <f t="shared" si="145"/>
        <v>2.3</v>
      </c>
      <c r="W109" s="272">
        <f t="shared" si="146"/>
        <v>21.4296501943365</v>
      </c>
      <c r="Y109" s="276"/>
      <c r="Z109" s="1">
        <v>1801</v>
      </c>
      <c r="AA109" s="99">
        <f t="shared" si="133"/>
        <v>0.3</v>
      </c>
      <c r="AB109" s="1">
        <f t="shared" si="167"/>
        <v>0.8</v>
      </c>
      <c r="AC109" s="99">
        <f t="shared" si="163"/>
        <v>3.312</v>
      </c>
      <c r="AD109" s="1">
        <f t="shared" si="148"/>
        <v>2.4</v>
      </c>
      <c r="AE109" s="272">
        <f t="shared" si="149"/>
        <v>23.635091615769</v>
      </c>
      <c r="AG109" s="276"/>
      <c r="AH109" s="1">
        <v>1801</v>
      </c>
      <c r="AI109" s="99">
        <f t="shared" si="135"/>
        <v>0.3</v>
      </c>
      <c r="AJ109" s="1">
        <f t="shared" si="150"/>
        <v>0.9</v>
      </c>
      <c r="AK109" s="99">
        <f t="shared" si="164"/>
        <v>3.412</v>
      </c>
      <c r="AL109" s="1">
        <f t="shared" si="151"/>
        <v>2.5</v>
      </c>
      <c r="AM109" s="272">
        <f t="shared" si="152"/>
        <v>25.8405330372016</v>
      </c>
      <c r="AO109" s="276"/>
      <c r="AP109" s="1">
        <v>1801</v>
      </c>
      <c r="AQ109" s="99">
        <f t="shared" si="153"/>
        <v>0.3</v>
      </c>
      <c r="AR109" s="1">
        <f t="shared" si="154"/>
        <v>1</v>
      </c>
      <c r="AS109" s="99">
        <f t="shared" si="165"/>
        <v>3.512</v>
      </c>
      <c r="AT109" s="1">
        <f t="shared" si="155"/>
        <v>2.6</v>
      </c>
      <c r="AU109" s="272">
        <f t="shared" si="156"/>
        <v>28.0459744586341</v>
      </c>
      <c r="AV109" s="1"/>
      <c r="AW109" s="276"/>
      <c r="AX109" s="1">
        <v>1801</v>
      </c>
      <c r="AY109" s="99">
        <f t="shared" si="138"/>
        <v>0.3</v>
      </c>
      <c r="AZ109" s="1">
        <f t="shared" si="157"/>
        <v>1</v>
      </c>
      <c r="BA109" s="99">
        <f t="shared" si="166"/>
        <v>3.612</v>
      </c>
      <c r="BB109" s="1">
        <f t="shared" si="158"/>
        <v>2.6</v>
      </c>
      <c r="BC109" s="272">
        <f t="shared" si="159"/>
        <v>30.234758467518</v>
      </c>
    </row>
    <row r="110" spans="2:55">
      <c r="B110" s="1">
        <v>2001</v>
      </c>
      <c r="C110" s="99">
        <f t="shared" si="168"/>
        <v>0.4</v>
      </c>
      <c r="D110" s="1">
        <v>0.7</v>
      </c>
      <c r="E110" s="99">
        <f t="shared" si="160"/>
        <v>3.236</v>
      </c>
      <c r="F110" s="1">
        <f t="shared" si="140"/>
        <v>2.3</v>
      </c>
      <c r="G110" s="272">
        <f t="shared" si="141"/>
        <v>17.0226886556722</v>
      </c>
      <c r="I110" s="276"/>
      <c r="J110" s="1">
        <v>2001</v>
      </c>
      <c r="K110" s="99">
        <f t="shared" si="169"/>
        <v>0.4</v>
      </c>
      <c r="L110" s="1">
        <v>0.7</v>
      </c>
      <c r="M110" s="99">
        <f t="shared" si="161"/>
        <v>3.336</v>
      </c>
      <c r="N110" s="1">
        <f t="shared" si="142"/>
        <v>2.4</v>
      </c>
      <c r="O110" s="272">
        <f t="shared" si="143"/>
        <v>19.2075962018991</v>
      </c>
      <c r="Q110" s="276"/>
      <c r="R110" s="1">
        <v>2001</v>
      </c>
      <c r="S110" s="99">
        <f t="shared" si="170"/>
        <v>0.4</v>
      </c>
      <c r="T110" s="1">
        <f t="shared" si="144"/>
        <v>0.8</v>
      </c>
      <c r="U110" s="99">
        <f t="shared" si="162"/>
        <v>3.436</v>
      </c>
      <c r="V110" s="1">
        <f t="shared" si="145"/>
        <v>2.5</v>
      </c>
      <c r="W110" s="272">
        <f t="shared" si="146"/>
        <v>21.3925037481259</v>
      </c>
      <c r="Y110" s="276"/>
      <c r="Z110" s="1">
        <v>2001</v>
      </c>
      <c r="AA110" s="99">
        <f t="shared" si="133"/>
        <v>0.4</v>
      </c>
      <c r="AB110" s="1">
        <f t="shared" si="167"/>
        <v>0.9</v>
      </c>
      <c r="AC110" s="99">
        <f t="shared" si="163"/>
        <v>3.536</v>
      </c>
      <c r="AD110" s="1">
        <f t="shared" si="148"/>
        <v>2.6</v>
      </c>
      <c r="AE110" s="272">
        <f t="shared" si="149"/>
        <v>23.5774112943528</v>
      </c>
      <c r="AG110" s="276"/>
      <c r="AH110" s="1">
        <v>2001</v>
      </c>
      <c r="AI110" s="99">
        <f t="shared" si="135"/>
        <v>0.4</v>
      </c>
      <c r="AJ110" s="1">
        <f t="shared" si="150"/>
        <v>1</v>
      </c>
      <c r="AK110" s="99">
        <f t="shared" si="164"/>
        <v>3.636</v>
      </c>
      <c r="AL110" s="1">
        <f t="shared" si="151"/>
        <v>2.7</v>
      </c>
      <c r="AM110" s="272">
        <f t="shared" si="152"/>
        <v>25.7623188405797</v>
      </c>
      <c r="AO110" s="276"/>
      <c r="AP110" s="1">
        <v>2001</v>
      </c>
      <c r="AQ110" s="99">
        <f t="shared" si="153"/>
        <v>0.4</v>
      </c>
      <c r="AR110" s="1">
        <f t="shared" si="154"/>
        <v>1.1</v>
      </c>
      <c r="AS110" s="99">
        <f t="shared" si="165"/>
        <v>3.736</v>
      </c>
      <c r="AT110" s="1">
        <f t="shared" si="155"/>
        <v>2.8</v>
      </c>
      <c r="AU110" s="272">
        <f t="shared" si="156"/>
        <v>27.9472263868066</v>
      </c>
      <c r="AV110" s="1"/>
      <c r="AW110" s="276"/>
      <c r="AX110" s="1">
        <v>2001</v>
      </c>
      <c r="AY110" s="99">
        <f t="shared" si="138"/>
        <v>0.4</v>
      </c>
      <c r="AZ110" s="1">
        <f t="shared" si="157"/>
        <v>1.1</v>
      </c>
      <c r="BA110" s="99">
        <f t="shared" si="166"/>
        <v>3.836</v>
      </c>
      <c r="BB110" s="1">
        <f t="shared" si="158"/>
        <v>2.8</v>
      </c>
      <c r="BC110" s="272">
        <f t="shared" si="159"/>
        <v>30.1171414292854</v>
      </c>
    </row>
    <row r="111" spans="2:55">
      <c r="B111" s="1">
        <v>2201</v>
      </c>
      <c r="C111" s="99">
        <f t="shared" si="168"/>
        <v>0.4</v>
      </c>
      <c r="D111" s="1">
        <v>0.7</v>
      </c>
      <c r="E111" s="99">
        <f t="shared" si="160"/>
        <v>3.46</v>
      </c>
      <c r="F111" s="1">
        <f t="shared" si="140"/>
        <v>2.3</v>
      </c>
      <c r="G111" s="272">
        <f t="shared" si="141"/>
        <v>16.7305770104498</v>
      </c>
      <c r="I111" s="276"/>
      <c r="J111" s="1">
        <v>2201</v>
      </c>
      <c r="K111" s="99">
        <f t="shared" si="169"/>
        <v>0.4</v>
      </c>
      <c r="L111" s="1">
        <v>0.7</v>
      </c>
      <c r="M111" s="99">
        <f t="shared" si="161"/>
        <v>3.56</v>
      </c>
      <c r="N111" s="1">
        <f t="shared" si="142"/>
        <v>2.4</v>
      </c>
      <c r="O111" s="272">
        <f t="shared" si="143"/>
        <v>18.8986824170831</v>
      </c>
      <c r="Q111" s="276"/>
      <c r="R111" s="1">
        <v>2201</v>
      </c>
      <c r="S111" s="99">
        <f t="shared" si="170"/>
        <v>0.4</v>
      </c>
      <c r="T111" s="1">
        <f t="shared" si="144"/>
        <v>0.8</v>
      </c>
      <c r="U111" s="99">
        <f t="shared" si="162"/>
        <v>3.66</v>
      </c>
      <c r="V111" s="1">
        <f t="shared" si="145"/>
        <v>2.5</v>
      </c>
      <c r="W111" s="272">
        <f t="shared" si="146"/>
        <v>21.0667878237165</v>
      </c>
      <c r="Y111" s="276"/>
      <c r="Z111" s="1">
        <v>2201</v>
      </c>
      <c r="AA111" s="99">
        <f t="shared" si="133"/>
        <v>0.4</v>
      </c>
      <c r="AB111" s="1">
        <f t="shared" si="167"/>
        <v>0.9</v>
      </c>
      <c r="AC111" s="99">
        <f t="shared" si="163"/>
        <v>3.76</v>
      </c>
      <c r="AD111" s="1">
        <f t="shared" si="148"/>
        <v>2.6</v>
      </c>
      <c r="AE111" s="272">
        <f t="shared" si="149"/>
        <v>23.2348932303498</v>
      </c>
      <c r="AG111" s="276"/>
      <c r="AH111" s="1">
        <v>2201</v>
      </c>
      <c r="AI111" s="99">
        <f t="shared" si="135"/>
        <v>0.4</v>
      </c>
      <c r="AJ111" s="1">
        <f t="shared" si="150"/>
        <v>1</v>
      </c>
      <c r="AK111" s="99">
        <f t="shared" si="164"/>
        <v>3.86</v>
      </c>
      <c r="AL111" s="1">
        <f t="shared" si="151"/>
        <v>2.7</v>
      </c>
      <c r="AM111" s="272">
        <f t="shared" si="152"/>
        <v>25.4029986369832</v>
      </c>
      <c r="AO111" s="276"/>
      <c r="AP111" s="1">
        <v>2201</v>
      </c>
      <c r="AQ111" s="99">
        <f t="shared" si="153"/>
        <v>0.4</v>
      </c>
      <c r="AR111" s="1">
        <f t="shared" si="154"/>
        <v>1.1</v>
      </c>
      <c r="AS111" s="99">
        <f t="shared" si="165"/>
        <v>3.96</v>
      </c>
      <c r="AT111" s="1">
        <f t="shared" si="155"/>
        <v>2.8</v>
      </c>
      <c r="AU111" s="272">
        <f t="shared" si="156"/>
        <v>27.5711040436165</v>
      </c>
      <c r="AV111" s="1"/>
      <c r="AW111" s="276"/>
      <c r="AX111" s="1">
        <v>2201</v>
      </c>
      <c r="AY111" s="99">
        <f t="shared" si="138"/>
        <v>0.4</v>
      </c>
      <c r="AZ111" s="1">
        <f t="shared" si="157"/>
        <v>1.1</v>
      </c>
      <c r="BA111" s="99">
        <f t="shared" si="166"/>
        <v>4.06</v>
      </c>
      <c r="BB111" s="1">
        <f t="shared" si="158"/>
        <v>2.8</v>
      </c>
      <c r="BC111" s="272">
        <f t="shared" si="159"/>
        <v>29.7255792821445</v>
      </c>
    </row>
    <row r="112" spans="2:55">
      <c r="B112" s="1">
        <v>2401</v>
      </c>
      <c r="C112" s="99">
        <f t="shared" si="168"/>
        <v>0.4</v>
      </c>
      <c r="D112" s="1">
        <v>0.8</v>
      </c>
      <c r="E112" s="99">
        <f t="shared" si="160"/>
        <v>3.572</v>
      </c>
      <c r="F112" s="1">
        <f t="shared" si="140"/>
        <v>2.3</v>
      </c>
      <c r="G112" s="272">
        <f t="shared" si="141"/>
        <v>16.3285297792586</v>
      </c>
      <c r="I112" s="276"/>
      <c r="J112" s="1">
        <v>2401</v>
      </c>
      <c r="K112" s="99">
        <f t="shared" si="169"/>
        <v>0.4</v>
      </c>
      <c r="L112" s="1">
        <v>0.8</v>
      </c>
      <c r="M112" s="99">
        <f t="shared" si="161"/>
        <v>3.672</v>
      </c>
      <c r="N112" s="1">
        <f t="shared" si="142"/>
        <v>2.4</v>
      </c>
      <c r="O112" s="272">
        <f t="shared" si="143"/>
        <v>18.4826322365681</v>
      </c>
      <c r="Q112" s="276"/>
      <c r="R112" s="1">
        <v>2401</v>
      </c>
      <c r="S112" s="99">
        <f t="shared" si="170"/>
        <v>0.4</v>
      </c>
      <c r="T112" s="1">
        <f t="shared" si="144"/>
        <v>0.9</v>
      </c>
      <c r="U112" s="99">
        <f t="shared" si="162"/>
        <v>3.772</v>
      </c>
      <c r="V112" s="1">
        <f t="shared" si="145"/>
        <v>2.5</v>
      </c>
      <c r="W112" s="272">
        <f t="shared" si="146"/>
        <v>20.6367346938776</v>
      </c>
      <c r="Y112" s="276"/>
      <c r="Z112" s="1">
        <v>2401</v>
      </c>
      <c r="AA112" s="99">
        <f t="shared" si="133"/>
        <v>0.4</v>
      </c>
      <c r="AB112" s="1">
        <f t="shared" si="167"/>
        <v>1</v>
      </c>
      <c r="AC112" s="99">
        <f t="shared" si="163"/>
        <v>3.872</v>
      </c>
      <c r="AD112" s="1">
        <f t="shared" si="148"/>
        <v>2.6</v>
      </c>
      <c r="AE112" s="272">
        <f t="shared" si="149"/>
        <v>22.790837151187</v>
      </c>
      <c r="AG112" s="276"/>
      <c r="AH112" s="1">
        <v>2401</v>
      </c>
      <c r="AI112" s="99">
        <f t="shared" si="135"/>
        <v>0.4</v>
      </c>
      <c r="AJ112" s="1">
        <f t="shared" si="150"/>
        <v>1.1</v>
      </c>
      <c r="AK112" s="99">
        <f t="shared" si="164"/>
        <v>3.972</v>
      </c>
      <c r="AL112" s="1">
        <f t="shared" si="151"/>
        <v>2.7</v>
      </c>
      <c r="AM112" s="272">
        <f t="shared" si="152"/>
        <v>24.9449396084965</v>
      </c>
      <c r="AO112" s="276"/>
      <c r="AP112" s="1">
        <v>2401</v>
      </c>
      <c r="AQ112" s="99">
        <f t="shared" si="153"/>
        <v>0.4</v>
      </c>
      <c r="AR112" s="1">
        <f t="shared" si="154"/>
        <v>1.2</v>
      </c>
      <c r="AS112" s="99">
        <f t="shared" si="165"/>
        <v>4.072</v>
      </c>
      <c r="AT112" s="1">
        <f t="shared" si="155"/>
        <v>2.8</v>
      </c>
      <c r="AU112" s="272">
        <f t="shared" si="156"/>
        <v>27.0990420658059</v>
      </c>
      <c r="AV112" s="1"/>
      <c r="AW112" s="276"/>
      <c r="AX112" s="1">
        <v>2401</v>
      </c>
      <c r="AY112" s="99">
        <f t="shared" si="138"/>
        <v>0.4</v>
      </c>
      <c r="AZ112" s="1">
        <f t="shared" si="157"/>
        <v>1.2</v>
      </c>
      <c r="BA112" s="99">
        <f t="shared" si="166"/>
        <v>4.172</v>
      </c>
      <c r="BB112" s="1">
        <f t="shared" si="158"/>
        <v>2.8</v>
      </c>
      <c r="BC112" s="272">
        <f t="shared" si="159"/>
        <v>29.2406497292795</v>
      </c>
    </row>
    <row r="113" spans="2:58">
      <c r="B113" s="1">
        <v>2601</v>
      </c>
      <c r="C113" s="99">
        <f t="shared" si="168"/>
        <v>0.5</v>
      </c>
      <c r="D113" s="1">
        <v>0.8</v>
      </c>
      <c r="E113" s="99">
        <f t="shared" si="160"/>
        <v>3.684</v>
      </c>
      <c r="F113" s="1">
        <f t="shared" si="140"/>
        <v>2.3</v>
      </c>
      <c r="G113" s="272">
        <f t="shared" si="141"/>
        <v>16.2151480199923</v>
      </c>
      <c r="I113" s="276"/>
      <c r="J113" s="1">
        <v>2601</v>
      </c>
      <c r="K113" s="99">
        <f t="shared" si="169"/>
        <v>0.5</v>
      </c>
      <c r="L113" s="1">
        <v>0.8</v>
      </c>
      <c r="M113" s="99">
        <f t="shared" si="161"/>
        <v>3.784</v>
      </c>
      <c r="N113" s="1">
        <f t="shared" si="142"/>
        <v>2.4</v>
      </c>
      <c r="O113" s="272">
        <f t="shared" si="143"/>
        <v>18.3574009996155</v>
      </c>
      <c r="Q113" s="276"/>
      <c r="R113" s="1">
        <v>2601</v>
      </c>
      <c r="S113" s="99">
        <f t="shared" si="170"/>
        <v>0.5</v>
      </c>
      <c r="T113" s="1">
        <f t="shared" si="144"/>
        <v>0.9</v>
      </c>
      <c r="U113" s="99">
        <f t="shared" si="162"/>
        <v>3.884</v>
      </c>
      <c r="V113" s="1">
        <f t="shared" si="145"/>
        <v>2.5</v>
      </c>
      <c r="W113" s="272">
        <f t="shared" si="146"/>
        <v>20.4996539792388</v>
      </c>
      <c r="Y113" s="276"/>
      <c r="Z113" s="1">
        <v>2601</v>
      </c>
      <c r="AA113" s="99">
        <f t="shared" si="133"/>
        <v>0.5</v>
      </c>
      <c r="AB113" s="1">
        <f t="shared" si="167"/>
        <v>1</v>
      </c>
      <c r="AC113" s="99">
        <f t="shared" si="163"/>
        <v>3.984</v>
      </c>
      <c r="AD113" s="1">
        <f t="shared" si="148"/>
        <v>2.6</v>
      </c>
      <c r="AE113" s="272">
        <f t="shared" si="149"/>
        <v>22.641906958862</v>
      </c>
      <c r="AG113" s="276"/>
      <c r="AH113" s="1">
        <v>2601</v>
      </c>
      <c r="AI113" s="99">
        <f t="shared" si="135"/>
        <v>0.5</v>
      </c>
      <c r="AJ113" s="1">
        <f t="shared" si="150"/>
        <v>1.1</v>
      </c>
      <c r="AK113" s="99">
        <f t="shared" si="164"/>
        <v>4.084</v>
      </c>
      <c r="AL113" s="1">
        <f t="shared" si="151"/>
        <v>2.7</v>
      </c>
      <c r="AM113" s="272">
        <f t="shared" si="152"/>
        <v>24.7841599384852</v>
      </c>
      <c r="AO113" s="276"/>
      <c r="AP113" s="1">
        <v>2601</v>
      </c>
      <c r="AQ113" s="99">
        <f t="shared" si="153"/>
        <v>0.5</v>
      </c>
      <c r="AR113" s="1">
        <f t="shared" si="154"/>
        <v>1.2</v>
      </c>
      <c r="AS113" s="99">
        <f t="shared" si="165"/>
        <v>4.184</v>
      </c>
      <c r="AT113" s="1">
        <f t="shared" si="155"/>
        <v>2.8</v>
      </c>
      <c r="AU113" s="272">
        <f t="shared" si="156"/>
        <v>26.9264129181084</v>
      </c>
      <c r="AV113" s="1"/>
      <c r="AW113" s="276"/>
      <c r="AX113" s="1">
        <v>2601</v>
      </c>
      <c r="AY113" s="99">
        <f t="shared" si="138"/>
        <v>0.5</v>
      </c>
      <c r="AZ113" s="1">
        <f t="shared" si="157"/>
        <v>1.2</v>
      </c>
      <c r="BA113" s="99">
        <f t="shared" si="166"/>
        <v>4.284</v>
      </c>
      <c r="BB113" s="1">
        <f t="shared" si="158"/>
        <v>2.8</v>
      </c>
      <c r="BC113" s="272">
        <f t="shared" si="159"/>
        <v>29.0571318723568</v>
      </c>
    </row>
    <row r="114" spans="2:58">
      <c r="B114" s="1">
        <v>2801</v>
      </c>
      <c r="C114" s="99">
        <f t="shared" si="168"/>
        <v>0.5</v>
      </c>
      <c r="D114" s="1">
        <v>0.8</v>
      </c>
      <c r="E114" s="99">
        <f t="shared" si="160"/>
        <v>4.132</v>
      </c>
      <c r="F114" s="1">
        <f t="shared" si="140"/>
        <v>2.3</v>
      </c>
      <c r="G114" s="272">
        <f t="shared" si="141"/>
        <v>16.3151731524456</v>
      </c>
      <c r="I114" s="276"/>
      <c r="J114" s="1">
        <v>2801</v>
      </c>
      <c r="K114" s="99">
        <f t="shared" si="169"/>
        <v>0.5</v>
      </c>
      <c r="L114" s="1">
        <v>0.8</v>
      </c>
      <c r="M114" s="99">
        <f t="shared" si="161"/>
        <v>4.232</v>
      </c>
      <c r="N114" s="1">
        <f t="shared" si="142"/>
        <v>2.4</v>
      </c>
      <c r="O114" s="272">
        <f t="shared" si="143"/>
        <v>18.4472688325598</v>
      </c>
      <c r="Q114" s="276"/>
      <c r="R114" s="1">
        <v>2801</v>
      </c>
      <c r="S114" s="99">
        <f t="shared" si="170"/>
        <v>0.5</v>
      </c>
      <c r="T114" s="1">
        <f t="shared" si="144"/>
        <v>0.9</v>
      </c>
      <c r="U114" s="99">
        <f t="shared" si="162"/>
        <v>4.332</v>
      </c>
      <c r="V114" s="1">
        <f t="shared" si="145"/>
        <v>2.5</v>
      </c>
      <c r="W114" s="272">
        <f t="shared" si="146"/>
        <v>20.579364512674</v>
      </c>
      <c r="Y114" s="276"/>
      <c r="Z114" s="1">
        <v>2801</v>
      </c>
      <c r="AA114" s="99">
        <f t="shared" si="133"/>
        <v>0.5</v>
      </c>
      <c r="AB114" s="1">
        <f t="shared" si="167"/>
        <v>1</v>
      </c>
      <c r="AC114" s="99">
        <f t="shared" si="163"/>
        <v>4.432</v>
      </c>
      <c r="AD114" s="1">
        <f t="shared" si="148"/>
        <v>2.6</v>
      </c>
      <c r="AE114" s="272">
        <f t="shared" si="149"/>
        <v>22.7114601927883</v>
      </c>
      <c r="AG114" s="276"/>
      <c r="AH114" s="1">
        <v>2801</v>
      </c>
      <c r="AI114" s="99">
        <f t="shared" si="135"/>
        <v>0.5</v>
      </c>
      <c r="AJ114" s="1">
        <f t="shared" si="150"/>
        <v>1.1</v>
      </c>
      <c r="AK114" s="99">
        <f t="shared" si="164"/>
        <v>4.532</v>
      </c>
      <c r="AL114" s="1">
        <f t="shared" si="151"/>
        <v>2.7</v>
      </c>
      <c r="AM114" s="272">
        <f t="shared" si="152"/>
        <v>24.8435558729025</v>
      </c>
      <c r="AO114" s="276"/>
      <c r="AP114" s="1">
        <v>2801</v>
      </c>
      <c r="AQ114" s="99">
        <f t="shared" si="153"/>
        <v>0.5</v>
      </c>
      <c r="AR114" s="1">
        <f t="shared" si="154"/>
        <v>1.2</v>
      </c>
      <c r="AS114" s="99">
        <f t="shared" si="165"/>
        <v>4.632</v>
      </c>
      <c r="AT114" s="1">
        <f t="shared" si="155"/>
        <v>2.8</v>
      </c>
      <c r="AU114" s="272">
        <f t="shared" si="156"/>
        <v>26.9756515530168</v>
      </c>
      <c r="AV114" s="1"/>
      <c r="AW114" s="276"/>
      <c r="AX114" s="1">
        <v>2801</v>
      </c>
      <c r="AY114" s="99">
        <f t="shared" si="138"/>
        <v>0.5</v>
      </c>
      <c r="AZ114" s="1">
        <f t="shared" si="157"/>
        <v>1.2</v>
      </c>
      <c r="BA114" s="99">
        <f t="shared" si="166"/>
        <v>4.732</v>
      </c>
      <c r="BB114" s="1">
        <f t="shared" si="158"/>
        <v>2.8</v>
      </c>
      <c r="BC114" s="272">
        <f t="shared" si="159"/>
        <v>29.0970367725812</v>
      </c>
    </row>
    <row r="115" spans="2:58">
      <c r="I115" s="269"/>
      <c r="Q115" s="269"/>
      <c r="Y115" s="269"/>
      <c r="AA115" s="99"/>
      <c r="AG115" s="269"/>
      <c r="AM115" s="272"/>
      <c r="AO115" s="269"/>
      <c r="AW115" s="269"/>
    </row>
    <row r="116" spans="2:58">
      <c r="B116" s="268" t="s">
        <v>91</v>
      </c>
      <c r="C116" s="268" t="s">
        <v>124</v>
      </c>
      <c r="I116" s="269"/>
      <c r="J116" s="268" t="s">
        <v>91</v>
      </c>
      <c r="K116" s="268"/>
      <c r="L116" s="268" t="s">
        <v>124</v>
      </c>
      <c r="Q116" s="269"/>
      <c r="R116" s="268" t="s">
        <v>91</v>
      </c>
      <c r="S116" s="268"/>
      <c r="T116" s="268" t="s">
        <v>124</v>
      </c>
      <c r="Y116" s="269"/>
      <c r="Z116" s="268" t="s">
        <v>91</v>
      </c>
      <c r="AA116" s="268"/>
      <c r="AB116" s="268" t="s">
        <v>124</v>
      </c>
      <c r="AG116" s="269"/>
      <c r="AH116" s="268" t="s">
        <v>91</v>
      </c>
      <c r="AI116" s="268"/>
      <c r="AJ116" s="268" t="s">
        <v>124</v>
      </c>
      <c r="AO116" s="269"/>
      <c r="AP116" s="268" t="s">
        <v>91</v>
      </c>
      <c r="AQ116" s="268"/>
      <c r="AR116" s="268" t="s">
        <v>124</v>
      </c>
      <c r="AW116" s="269"/>
      <c r="AX116" s="268" t="s">
        <v>91</v>
      </c>
      <c r="AY116" s="268"/>
      <c r="AZ116" s="268" t="s">
        <v>124</v>
      </c>
    </row>
    <row r="117" spans="2:58">
      <c r="B117" s="270" t="s">
        <v>92</v>
      </c>
      <c r="C117" s="270" t="s">
        <v>93</v>
      </c>
      <c r="I117" s="269"/>
      <c r="J117" s="270" t="s">
        <v>92</v>
      </c>
      <c r="K117" s="270"/>
      <c r="L117" s="270" t="s">
        <v>94</v>
      </c>
      <c r="Q117" s="269"/>
      <c r="R117" s="270" t="s">
        <v>92</v>
      </c>
      <c r="S117" s="270"/>
      <c r="T117" s="270" t="s">
        <v>95</v>
      </c>
      <c r="Y117" s="269"/>
      <c r="Z117" s="270" t="s">
        <v>92</v>
      </c>
      <c r="AA117" s="270"/>
      <c r="AB117" s="270" t="s">
        <v>96</v>
      </c>
      <c r="AG117" s="269"/>
      <c r="AH117" s="270" t="s">
        <v>92</v>
      </c>
      <c r="AI117" s="270"/>
      <c r="AJ117" s="270" t="s">
        <v>97</v>
      </c>
      <c r="AO117" s="269"/>
      <c r="AP117" s="270" t="s">
        <v>92</v>
      </c>
      <c r="AQ117" s="270"/>
      <c r="AR117" s="270" t="s">
        <v>98</v>
      </c>
      <c r="AW117" s="269"/>
      <c r="AX117" s="270" t="s">
        <v>92</v>
      </c>
      <c r="AY117" s="270"/>
      <c r="AZ117" s="270" t="s">
        <v>99</v>
      </c>
    </row>
    <row r="118" spans="2:58">
      <c r="B118" s="271" t="s">
        <v>100</v>
      </c>
      <c r="C118" s="271"/>
      <c r="D118" s="271">
        <v>12</v>
      </c>
      <c r="F118" s="59"/>
      <c r="G118" s="282">
        <f>AVERAGE(G122:G137)</f>
        <v>23.5213979313276</v>
      </c>
      <c r="H118" s="59"/>
      <c r="I118" s="269"/>
      <c r="J118" s="271" t="s">
        <v>100</v>
      </c>
      <c r="K118" s="271"/>
      <c r="L118" s="271">
        <v>14</v>
      </c>
      <c r="N118" s="59"/>
      <c r="O118" s="282">
        <f>AVERAGE(O122:O137)</f>
        <v>26.1820359637681</v>
      </c>
      <c r="P118" s="59"/>
      <c r="Q118" s="269"/>
      <c r="R118" s="271" t="s">
        <v>100</v>
      </c>
      <c r="S118" s="271"/>
      <c r="T118" s="271">
        <v>16</v>
      </c>
      <c r="V118" s="59"/>
      <c r="W118" s="283">
        <f>AVERAGE(W122:W137)</f>
        <v>28.8426739962086</v>
      </c>
      <c r="X118" s="59"/>
      <c r="Y118" s="269"/>
      <c r="Z118" s="271" t="s">
        <v>100</v>
      </c>
      <c r="AA118" s="271"/>
      <c r="AB118" s="271">
        <v>18</v>
      </c>
      <c r="AD118" s="59"/>
      <c r="AE118" s="283">
        <f>AVERAGE(AE122:AE137)</f>
        <v>32.110384815216</v>
      </c>
      <c r="AF118" s="59"/>
      <c r="AG118" s="269"/>
      <c r="AH118" s="271" t="s">
        <v>100</v>
      </c>
      <c r="AI118" s="271"/>
      <c r="AJ118" s="271">
        <v>20</v>
      </c>
      <c r="AL118" s="59"/>
      <c r="AM118" s="272">
        <f>AVERAGE(AM122:AM137)</f>
        <v>35.3780956342235</v>
      </c>
      <c r="AN118" s="59"/>
      <c r="AO118" s="269"/>
      <c r="AP118" s="271" t="s">
        <v>100</v>
      </c>
      <c r="AQ118" s="271"/>
      <c r="AR118" s="271">
        <v>22</v>
      </c>
      <c r="AT118" s="273"/>
      <c r="AU118" s="272">
        <f>AVERAGE(AU122:AU137)</f>
        <v>38.645806453231</v>
      </c>
      <c r="AV118" s="273"/>
      <c r="AW118" s="269"/>
      <c r="AX118" s="271" t="s">
        <v>100</v>
      </c>
      <c r="AY118" s="271"/>
      <c r="AZ118" s="271">
        <v>24</v>
      </c>
      <c r="BB118" s="273"/>
      <c r="BC118" s="272">
        <f>AVERAGE(BC122:BC137)</f>
        <v>41.9135172722384</v>
      </c>
      <c r="BE118" s="267">
        <f>AVERAGE(BC118,AU118,AM118,AE118,W118,O118,G118)</f>
        <v>32.3705588666019</v>
      </c>
      <c r="BF118" s="267">
        <f>BE118-AVERAGE(AZ118,AR118,AJ118,AB118,T118,L118,D118)</f>
        <v>14.3705588666019</v>
      </c>
    </row>
    <row r="119" spans="2:58">
      <c r="B119" s="1" t="s">
        <v>101</v>
      </c>
      <c r="C119" s="1" t="s">
        <v>8</v>
      </c>
      <c r="D119" s="1" t="s">
        <v>102</v>
      </c>
      <c r="E119" s="1" t="s">
        <v>9</v>
      </c>
      <c r="F119" s="1" t="s">
        <v>103</v>
      </c>
      <c r="I119" s="269"/>
      <c r="J119" s="1" t="s">
        <v>101</v>
      </c>
      <c r="K119" s="1" t="s">
        <v>8</v>
      </c>
      <c r="L119" s="1" t="s">
        <v>102</v>
      </c>
      <c r="M119" s="1" t="s">
        <v>9</v>
      </c>
      <c r="N119" s="1" t="s">
        <v>103</v>
      </c>
      <c r="Q119" s="269"/>
      <c r="R119" s="1" t="s">
        <v>101</v>
      </c>
      <c r="S119" s="1" t="s">
        <v>8</v>
      </c>
      <c r="T119" s="1" t="s">
        <v>102</v>
      </c>
      <c r="U119" s="1" t="s">
        <v>9</v>
      </c>
      <c r="V119" s="1" t="s">
        <v>103</v>
      </c>
      <c r="W119" s="1" t="s">
        <v>104</v>
      </c>
      <c r="Y119" s="269"/>
      <c r="Z119" s="1" t="s">
        <v>101</v>
      </c>
      <c r="AA119" s="1"/>
      <c r="AB119" s="1" t="s">
        <v>102</v>
      </c>
      <c r="AC119" s="1" t="s">
        <v>9</v>
      </c>
      <c r="AD119" s="1" t="s">
        <v>103</v>
      </c>
      <c r="AG119" s="269"/>
      <c r="AH119" s="1" t="s">
        <v>101</v>
      </c>
      <c r="AI119" s="1"/>
      <c r="AJ119" s="1" t="s">
        <v>102</v>
      </c>
      <c r="AK119" s="1" t="s">
        <v>9</v>
      </c>
      <c r="AL119" s="1" t="s">
        <v>103</v>
      </c>
      <c r="AO119" s="269"/>
      <c r="AP119" s="1" t="s">
        <v>101</v>
      </c>
      <c r="AQ119" s="1"/>
      <c r="AR119" s="1" t="s">
        <v>102</v>
      </c>
      <c r="AS119" s="1" t="s">
        <v>9</v>
      </c>
      <c r="AT119" s="99" t="s">
        <v>103</v>
      </c>
      <c r="AW119" s="269"/>
      <c r="AX119" s="1" t="s">
        <v>101</v>
      </c>
      <c r="AY119" s="1"/>
      <c r="AZ119" s="1" t="s">
        <v>102</v>
      </c>
      <c r="BA119" s="1" t="s">
        <v>9</v>
      </c>
      <c r="BB119" s="99" t="s">
        <v>103</v>
      </c>
    </row>
    <row r="120" spans="2:58">
      <c r="B120" s="1">
        <v>0</v>
      </c>
      <c r="C120" s="99">
        <f>K120</f>
        <v>0</v>
      </c>
      <c r="D120" s="1">
        <v>0</v>
      </c>
      <c r="E120" s="1">
        <v>0</v>
      </c>
      <c r="F120" s="1">
        <f>F97+0.1</f>
        <v>0.2</v>
      </c>
      <c r="G120" s="272" t="e">
        <f>(C120*5900+E120*3400+F120*300+B120*$D$118)/B120</f>
        <v>#DIV/0!</v>
      </c>
      <c r="I120" s="269"/>
      <c r="J120" s="1">
        <v>0</v>
      </c>
      <c r="K120" s="99">
        <f>S120</f>
        <v>0</v>
      </c>
      <c r="L120" s="1">
        <v>0</v>
      </c>
      <c r="M120" s="1">
        <v>0</v>
      </c>
      <c r="N120" s="1">
        <f>F120+0.1</f>
        <v>0.3</v>
      </c>
      <c r="O120" s="272" t="e">
        <f>(K120*5900+M120*3400+N120*300+J120*$L$118)/J120</f>
        <v>#DIV/0!</v>
      </c>
      <c r="Q120" s="269"/>
      <c r="R120" s="1">
        <v>0</v>
      </c>
      <c r="S120" s="99">
        <v>0</v>
      </c>
      <c r="T120" s="1">
        <v>0</v>
      </c>
      <c r="U120" s="1">
        <v>0</v>
      </c>
      <c r="V120" s="1">
        <f>N120+0.1</f>
        <v>0.4</v>
      </c>
      <c r="W120" s="272" t="e">
        <f>(S120*5900+U120*3400+V120*300+R120*$T$118)/R120</f>
        <v>#DIV/0!</v>
      </c>
      <c r="Y120" s="269"/>
      <c r="Z120" s="1">
        <v>0</v>
      </c>
      <c r="AA120" s="99">
        <f>S120</f>
        <v>0</v>
      </c>
      <c r="AB120" s="1">
        <v>0</v>
      </c>
      <c r="AC120" s="1">
        <v>0</v>
      </c>
      <c r="AD120" s="1">
        <f>V120+0.1</f>
        <v>0.5</v>
      </c>
      <c r="AE120" s="272" t="e">
        <f>(AA120*5900+AC120*3400+AD120*300+Z120*$AB$118)/Z120</f>
        <v>#DIV/0!</v>
      </c>
      <c r="AG120" s="269"/>
      <c r="AH120" s="1">
        <v>0</v>
      </c>
      <c r="AI120" s="99">
        <f>AA120</f>
        <v>0</v>
      </c>
      <c r="AJ120" s="1">
        <v>0</v>
      </c>
      <c r="AK120" s="1">
        <v>0</v>
      </c>
      <c r="AL120" s="1">
        <f>AD120+0.1</f>
        <v>0.6</v>
      </c>
      <c r="AM120" s="272" t="e">
        <f>(AI120*5900+AK120*2300+AL120*300+AH120*$AJ$118)/AH120</f>
        <v>#DIV/0!</v>
      </c>
      <c r="AO120" s="269"/>
      <c r="AP120" s="1">
        <v>0</v>
      </c>
      <c r="AQ120" s="99">
        <f>AI120</f>
        <v>0</v>
      </c>
      <c r="AR120" s="1">
        <v>0</v>
      </c>
      <c r="AS120" s="1">
        <v>0</v>
      </c>
      <c r="AT120" s="1">
        <f>AL120+0.1</f>
        <v>0.7</v>
      </c>
      <c r="AU120" s="272" t="e">
        <f>(AQ120*5900+AS120*2300+AT120*300+AP120*$AR$118)/AP120</f>
        <v>#DIV/0!</v>
      </c>
      <c r="AV120" s="1"/>
      <c r="AW120" s="269"/>
      <c r="AX120" s="1">
        <v>0</v>
      </c>
      <c r="AY120" s="1">
        <f>AQ120</f>
        <v>0</v>
      </c>
      <c r="AZ120" s="1">
        <v>0</v>
      </c>
      <c r="BA120" s="1">
        <v>0</v>
      </c>
      <c r="BB120" s="1">
        <f>AT120+0.1</f>
        <v>0.8</v>
      </c>
      <c r="BC120" s="272" t="e">
        <f>(AY120*5300+BA120*2300+BB120*300+AX120*$AZ$118)/AX120</f>
        <v>#DIV/0!</v>
      </c>
    </row>
    <row r="121" spans="2:58">
      <c r="B121" s="1">
        <v>1</v>
      </c>
      <c r="C121" s="99">
        <f t="shared" ref="C121:C137" si="171">K121</f>
        <v>0</v>
      </c>
      <c r="D121" s="1">
        <v>0</v>
      </c>
      <c r="E121" s="99">
        <f>E98+0.15</f>
        <v>0.81</v>
      </c>
      <c r="F121" s="1">
        <f t="shared" ref="F121:F137" si="172">F98+0.1</f>
        <v>1</v>
      </c>
      <c r="G121" s="272">
        <f>(C121*5900+E121*3400+F121*300+$D$118*B121)/B121</f>
        <v>3066</v>
      </c>
      <c r="I121" s="276"/>
      <c r="J121" s="1">
        <v>1</v>
      </c>
      <c r="K121" s="99">
        <f t="shared" ref="K121:K137" si="173">S121</f>
        <v>0</v>
      </c>
      <c r="L121" s="1">
        <v>0</v>
      </c>
      <c r="M121" s="99">
        <f>E121+0.2</f>
        <v>1.01</v>
      </c>
      <c r="N121" s="1">
        <f t="shared" ref="N121:N137" si="174">F121+0.1</f>
        <v>1.1</v>
      </c>
      <c r="O121" s="272">
        <f>(K121*5900+M121*3400+N121*300+J121*$L$118)/J121</f>
        <v>3778</v>
      </c>
      <c r="Q121" s="276"/>
      <c r="R121" s="1">
        <v>1</v>
      </c>
      <c r="S121" s="99">
        <v>0</v>
      </c>
      <c r="T121" s="1">
        <v>0</v>
      </c>
      <c r="U121" s="99">
        <f>M121+0.3</f>
        <v>1.31</v>
      </c>
      <c r="V121" s="1">
        <f t="shared" ref="V121:V137" si="175">N121+0.1</f>
        <v>1.2</v>
      </c>
      <c r="W121" s="272">
        <f>(S121*5900+U121*3400+V121*300+$T$118*R121)/R121</f>
        <v>4830</v>
      </c>
      <c r="Y121" s="276"/>
      <c r="Z121" s="1">
        <v>1</v>
      </c>
      <c r="AA121" s="99">
        <f t="shared" ref="AA121:AA137" si="176">S121</f>
        <v>0</v>
      </c>
      <c r="AB121" s="1">
        <v>0</v>
      </c>
      <c r="AC121" s="99">
        <f>U121+0.2</f>
        <v>1.51</v>
      </c>
      <c r="AD121" s="1">
        <f t="shared" ref="AD121:AD137" si="177">V121+0.1</f>
        <v>1.3</v>
      </c>
      <c r="AE121" s="272">
        <f>(AA121*5900+AC121*3400+AD121*300+Z121*$AB$118)/Z121</f>
        <v>5542</v>
      </c>
      <c r="AG121" s="276"/>
      <c r="AH121" s="1">
        <v>1</v>
      </c>
      <c r="AI121" s="99">
        <f t="shared" ref="AI121:AI137" si="178">AA121</f>
        <v>0</v>
      </c>
      <c r="AJ121" s="1">
        <v>0</v>
      </c>
      <c r="AK121" s="99">
        <f>AC121+0.4</f>
        <v>1.91</v>
      </c>
      <c r="AL121" s="1">
        <f t="shared" ref="AL121:AL137" si="179">AD121+0.1</f>
        <v>1.4</v>
      </c>
      <c r="AM121" s="272">
        <f>(AI121*5900+AK121*3400+AL121*300+AH121*$AJ$118)/AH121</f>
        <v>6934</v>
      </c>
      <c r="AO121" s="276"/>
      <c r="AP121" s="1">
        <v>1</v>
      </c>
      <c r="AQ121" s="99">
        <f t="shared" ref="AQ121:AQ137" si="180">AI121</f>
        <v>0</v>
      </c>
      <c r="AR121" s="1">
        <v>0</v>
      </c>
      <c r="AS121" s="99">
        <f>AS122</f>
        <v>1.56</v>
      </c>
      <c r="AT121" s="1">
        <f t="shared" ref="AT121:AT137" si="181">AL121+0.1</f>
        <v>1.5</v>
      </c>
      <c r="AU121" s="272">
        <f>(AQ121*5900+AS121*3400+AT121*300+AP121*$AR$118)/AP121</f>
        <v>5776</v>
      </c>
      <c r="AV121" s="1"/>
      <c r="AW121" s="276"/>
      <c r="AX121" s="1">
        <v>1</v>
      </c>
      <c r="AY121" s="1">
        <f t="shared" ref="AY121:AY137" si="182">AQ121</f>
        <v>0</v>
      </c>
      <c r="AZ121" s="1">
        <v>0</v>
      </c>
      <c r="BA121" s="99">
        <f>AS121+0.2</f>
        <v>1.76</v>
      </c>
      <c r="BB121" s="1">
        <f t="shared" ref="BB121:BB137" si="183">AT121+0.1</f>
        <v>1.6</v>
      </c>
      <c r="BC121" s="272">
        <f>(AY121*5900+BA121*3400+BB121*300+$AZ$118*AX121)/AX121</f>
        <v>6488</v>
      </c>
    </row>
    <row r="122" spans="2:58">
      <c r="B122" s="1">
        <v>101</v>
      </c>
      <c r="C122" s="99">
        <f t="shared" si="171"/>
        <v>0</v>
      </c>
      <c r="D122" s="1">
        <v>0.3</v>
      </c>
      <c r="E122" s="99">
        <f>E99+0.1</f>
        <v>0.76</v>
      </c>
      <c r="F122" s="1">
        <f t="shared" si="172"/>
        <v>1</v>
      </c>
      <c r="G122" s="272">
        <f t="shared" ref="G122:G137" si="184">(C122*5900+E122*3400+F122*300+$D$118*B122)/B122</f>
        <v>40.5544554455445</v>
      </c>
      <c r="I122" s="276"/>
      <c r="J122" s="1">
        <v>101</v>
      </c>
      <c r="K122" s="99">
        <f t="shared" si="173"/>
        <v>0</v>
      </c>
      <c r="L122" s="1">
        <v>0.3</v>
      </c>
      <c r="M122" s="99">
        <f>E122+0.1</f>
        <v>0.86</v>
      </c>
      <c r="N122" s="1">
        <f t="shared" si="174"/>
        <v>1.1</v>
      </c>
      <c r="O122" s="272">
        <f t="shared" ref="O122:O137" si="185">(K122*5900+M122*3400+N122*300+J122*$L$118)/J122</f>
        <v>46.2178217821782</v>
      </c>
      <c r="Q122" s="276"/>
      <c r="R122" s="1">
        <v>101</v>
      </c>
      <c r="S122" s="99">
        <v>0</v>
      </c>
      <c r="T122" s="1">
        <f t="shared" ref="T122:T137" si="186">T99+0.1</f>
        <v>0.4</v>
      </c>
      <c r="U122" s="99">
        <f>M122+0.1</f>
        <v>0.96</v>
      </c>
      <c r="V122" s="1">
        <f t="shared" si="175"/>
        <v>1.2</v>
      </c>
      <c r="W122" s="272">
        <f t="shared" ref="W122:W137" si="187">(S122*5900+U122*3400+V122*300+$T$118*R122)/R122</f>
        <v>51.8811881188119</v>
      </c>
      <c r="Y122" s="276"/>
      <c r="Z122" s="1">
        <v>101</v>
      </c>
      <c r="AA122" s="99">
        <f t="shared" si="176"/>
        <v>0</v>
      </c>
      <c r="AB122" s="1">
        <f t="shared" ref="AB122:AB124" si="188">AB99+0.1</f>
        <v>0.5</v>
      </c>
      <c r="AC122" s="99">
        <f t="shared" ref="AC122:AC137" si="189">U122+0.2</f>
        <v>1.16</v>
      </c>
      <c r="AD122" s="1">
        <f t="shared" si="177"/>
        <v>1.3</v>
      </c>
      <c r="AE122" s="272">
        <f t="shared" ref="AE122:AE137" si="190">(AA122*5900+AC122*3400+AD122*300+Z122*$AB$118)/Z122</f>
        <v>60.9108910891089</v>
      </c>
      <c r="AG122" s="276"/>
      <c r="AH122" s="1">
        <v>101</v>
      </c>
      <c r="AI122" s="99">
        <f t="shared" si="178"/>
        <v>0</v>
      </c>
      <c r="AJ122" s="1">
        <f t="shared" ref="AJ122:AJ137" si="191">AB122+0.1</f>
        <v>0.6</v>
      </c>
      <c r="AK122" s="99">
        <f>AC122+0.2</f>
        <v>1.36</v>
      </c>
      <c r="AL122" s="1">
        <f t="shared" si="179"/>
        <v>1.4</v>
      </c>
      <c r="AM122" s="272">
        <f t="shared" ref="AM122:AM137" si="192">(AI122*5900+AK122*3400+AL122*300+AH122*$AJ$118)/AH122</f>
        <v>69.9405940594059</v>
      </c>
      <c r="AO122" s="276"/>
      <c r="AP122" s="1">
        <v>101</v>
      </c>
      <c r="AQ122" s="99">
        <f t="shared" si="180"/>
        <v>0</v>
      </c>
      <c r="AR122" s="1">
        <f t="shared" ref="AR122:AR137" si="193">AJ122+0.1</f>
        <v>0.7</v>
      </c>
      <c r="AS122" s="99">
        <f>AK122+0.2</f>
        <v>1.56</v>
      </c>
      <c r="AT122" s="1">
        <f t="shared" si="181"/>
        <v>1.5</v>
      </c>
      <c r="AU122" s="272">
        <f t="shared" ref="AU122:AU137" si="194">(AQ122*5900+AS122*3400+AT122*300+AP122*$AR$118)/AP122</f>
        <v>78.970297029703</v>
      </c>
      <c r="AV122" s="1"/>
      <c r="AW122" s="276"/>
      <c r="AX122" s="1">
        <v>101</v>
      </c>
      <c r="AY122" s="1">
        <f t="shared" si="182"/>
        <v>0</v>
      </c>
      <c r="AZ122" s="1">
        <f t="shared" ref="AZ122:AZ137" si="195">AR122</f>
        <v>0.7</v>
      </c>
      <c r="BA122" s="99">
        <f t="shared" ref="BA122:BA137" si="196">AS122+0.2</f>
        <v>1.76</v>
      </c>
      <c r="BB122" s="1">
        <f t="shared" si="183"/>
        <v>1.6</v>
      </c>
      <c r="BC122" s="272">
        <f t="shared" ref="BC122:BC137" si="197">(AY122*5900+BA122*3400+BB122*300+$AZ$118*AX122)/AX122</f>
        <v>88</v>
      </c>
    </row>
    <row r="123" spans="2:58">
      <c r="B123" s="1">
        <v>201</v>
      </c>
      <c r="C123" s="99">
        <f t="shared" si="171"/>
        <v>0</v>
      </c>
      <c r="D123" s="1">
        <v>0.3</v>
      </c>
      <c r="E123" s="99">
        <f t="shared" ref="E123:E137" si="198">E100+0.1</f>
        <v>1.096</v>
      </c>
      <c r="F123" s="1">
        <f t="shared" si="172"/>
        <v>1.4</v>
      </c>
      <c r="G123" s="272">
        <f t="shared" si="184"/>
        <v>32.628855721393</v>
      </c>
      <c r="I123" s="276"/>
      <c r="J123" s="1">
        <v>201</v>
      </c>
      <c r="K123" s="99">
        <f t="shared" si="173"/>
        <v>0</v>
      </c>
      <c r="L123" s="1">
        <v>0.3</v>
      </c>
      <c r="M123" s="99">
        <f t="shared" ref="M123:M137" si="199">E123+0.1</f>
        <v>1.196</v>
      </c>
      <c r="N123" s="1">
        <f t="shared" si="174"/>
        <v>1.5</v>
      </c>
      <c r="O123" s="272">
        <f t="shared" si="185"/>
        <v>36.4696517412935</v>
      </c>
      <c r="Q123" s="276"/>
      <c r="R123" s="1">
        <v>201</v>
      </c>
      <c r="S123" s="99">
        <v>0</v>
      </c>
      <c r="T123" s="1">
        <f t="shared" si="186"/>
        <v>0.4</v>
      </c>
      <c r="U123" s="99">
        <f t="shared" ref="U123:U137" si="200">M123+0.1</f>
        <v>1.296</v>
      </c>
      <c r="V123" s="1">
        <f t="shared" si="175"/>
        <v>1.6</v>
      </c>
      <c r="W123" s="272">
        <f t="shared" si="187"/>
        <v>40.310447761194</v>
      </c>
      <c r="Y123" s="276"/>
      <c r="Z123" s="1">
        <v>201</v>
      </c>
      <c r="AA123" s="99">
        <f t="shared" si="176"/>
        <v>0</v>
      </c>
      <c r="AB123" s="1">
        <f t="shared" si="188"/>
        <v>0.5</v>
      </c>
      <c r="AC123" s="99">
        <f t="shared" si="189"/>
        <v>1.496</v>
      </c>
      <c r="AD123" s="1">
        <f t="shared" si="177"/>
        <v>1.7</v>
      </c>
      <c r="AE123" s="272">
        <f t="shared" si="190"/>
        <v>45.8427860696518</v>
      </c>
      <c r="AG123" s="276"/>
      <c r="AH123" s="1">
        <v>201</v>
      </c>
      <c r="AI123" s="99">
        <f t="shared" si="178"/>
        <v>0</v>
      </c>
      <c r="AJ123" s="1">
        <f t="shared" si="191"/>
        <v>0.6</v>
      </c>
      <c r="AK123" s="99">
        <f t="shared" ref="AK123:AK137" si="201">AC123+0.2</f>
        <v>1.696</v>
      </c>
      <c r="AL123" s="1">
        <f t="shared" si="179"/>
        <v>1.8</v>
      </c>
      <c r="AM123" s="272">
        <f t="shared" si="192"/>
        <v>51.3751243781095</v>
      </c>
      <c r="AO123" s="276"/>
      <c r="AP123" s="1">
        <v>201</v>
      </c>
      <c r="AQ123" s="99">
        <f t="shared" si="180"/>
        <v>0</v>
      </c>
      <c r="AR123" s="1">
        <f t="shared" si="193"/>
        <v>0.7</v>
      </c>
      <c r="AS123" s="99">
        <f t="shared" ref="AS123:AS137" si="202">AK123+0.2</f>
        <v>1.896</v>
      </c>
      <c r="AT123" s="1">
        <f t="shared" si="181"/>
        <v>1.9</v>
      </c>
      <c r="AU123" s="272">
        <f t="shared" si="194"/>
        <v>56.9074626865672</v>
      </c>
      <c r="AV123" s="1"/>
      <c r="AW123" s="276"/>
      <c r="AX123" s="1">
        <v>201</v>
      </c>
      <c r="AY123" s="1">
        <f t="shared" si="182"/>
        <v>0</v>
      </c>
      <c r="AZ123" s="1">
        <f t="shared" si="195"/>
        <v>0.7</v>
      </c>
      <c r="BA123" s="99">
        <f t="shared" si="196"/>
        <v>2.096</v>
      </c>
      <c r="BB123" s="1">
        <f t="shared" si="183"/>
        <v>2</v>
      </c>
      <c r="BC123" s="272">
        <f t="shared" si="197"/>
        <v>62.4398009950249</v>
      </c>
    </row>
    <row r="124" spans="2:58">
      <c r="B124" s="1">
        <v>301</v>
      </c>
      <c r="C124" s="99">
        <f t="shared" si="171"/>
        <v>0</v>
      </c>
      <c r="D124" s="1">
        <v>0.3</v>
      </c>
      <c r="E124" s="99">
        <f t="shared" si="198"/>
        <v>1.32</v>
      </c>
      <c r="F124" s="1">
        <f t="shared" si="172"/>
        <v>1.5</v>
      </c>
      <c r="G124" s="272">
        <f t="shared" si="184"/>
        <v>28.4053156146179</v>
      </c>
      <c r="I124" s="276"/>
      <c r="J124" s="1">
        <v>301</v>
      </c>
      <c r="K124" s="99">
        <f t="shared" si="173"/>
        <v>0</v>
      </c>
      <c r="L124" s="1">
        <v>0.3</v>
      </c>
      <c r="M124" s="99">
        <f t="shared" si="199"/>
        <v>1.42</v>
      </c>
      <c r="N124" s="1">
        <f t="shared" si="174"/>
        <v>1.6</v>
      </c>
      <c r="O124" s="272">
        <f t="shared" si="185"/>
        <v>31.6345514950166</v>
      </c>
      <c r="Q124" s="276"/>
      <c r="R124" s="1">
        <v>301</v>
      </c>
      <c r="S124" s="99">
        <v>0</v>
      </c>
      <c r="T124" s="1">
        <f t="shared" si="186"/>
        <v>0.4</v>
      </c>
      <c r="U124" s="99">
        <f t="shared" si="200"/>
        <v>1.52</v>
      </c>
      <c r="V124" s="1">
        <f t="shared" si="175"/>
        <v>1.7</v>
      </c>
      <c r="W124" s="272">
        <f t="shared" si="187"/>
        <v>34.8637873754153</v>
      </c>
      <c r="Y124" s="276"/>
      <c r="Z124" s="1">
        <v>301</v>
      </c>
      <c r="AA124" s="99">
        <f t="shared" si="176"/>
        <v>0</v>
      </c>
      <c r="AB124" s="1">
        <f t="shared" si="188"/>
        <v>0.5</v>
      </c>
      <c r="AC124" s="99">
        <f t="shared" si="189"/>
        <v>1.72</v>
      </c>
      <c r="AD124" s="1">
        <f t="shared" si="177"/>
        <v>1.8</v>
      </c>
      <c r="AE124" s="272">
        <f t="shared" si="190"/>
        <v>39.2225913621263</v>
      </c>
      <c r="AG124" s="276"/>
      <c r="AH124" s="1">
        <v>301</v>
      </c>
      <c r="AI124" s="99">
        <f t="shared" si="178"/>
        <v>0</v>
      </c>
      <c r="AJ124" s="1">
        <f t="shared" si="191"/>
        <v>0.6</v>
      </c>
      <c r="AK124" s="99">
        <f t="shared" si="201"/>
        <v>1.92</v>
      </c>
      <c r="AL124" s="1">
        <f t="shared" si="179"/>
        <v>1.9</v>
      </c>
      <c r="AM124" s="272">
        <f t="shared" si="192"/>
        <v>43.5813953488372</v>
      </c>
      <c r="AO124" s="276"/>
      <c r="AP124" s="1">
        <v>301</v>
      </c>
      <c r="AQ124" s="99">
        <f t="shared" si="180"/>
        <v>0</v>
      </c>
      <c r="AR124" s="1">
        <f t="shared" si="193"/>
        <v>0.7</v>
      </c>
      <c r="AS124" s="99">
        <f t="shared" si="202"/>
        <v>2.12</v>
      </c>
      <c r="AT124" s="1">
        <f t="shared" si="181"/>
        <v>2</v>
      </c>
      <c r="AU124" s="272">
        <f t="shared" si="194"/>
        <v>47.9401993355482</v>
      </c>
      <c r="AV124" s="1"/>
      <c r="AW124" s="276"/>
      <c r="AX124" s="1">
        <v>301</v>
      </c>
      <c r="AY124" s="1">
        <f t="shared" si="182"/>
        <v>0</v>
      </c>
      <c r="AZ124" s="1">
        <f t="shared" si="195"/>
        <v>0.7</v>
      </c>
      <c r="BA124" s="99">
        <f t="shared" si="196"/>
        <v>2.32</v>
      </c>
      <c r="BB124" s="1">
        <f t="shared" si="183"/>
        <v>2.1</v>
      </c>
      <c r="BC124" s="272">
        <f t="shared" si="197"/>
        <v>52.2990033222591</v>
      </c>
    </row>
    <row r="125" spans="2:58">
      <c r="B125" s="1">
        <v>501</v>
      </c>
      <c r="C125" s="99">
        <f t="shared" si="171"/>
        <v>0.3</v>
      </c>
      <c r="D125" s="1">
        <v>0.4</v>
      </c>
      <c r="E125" s="99">
        <f t="shared" si="198"/>
        <v>1.656</v>
      </c>
      <c r="F125" s="1">
        <f t="shared" si="172"/>
        <v>1.6</v>
      </c>
      <c r="G125" s="272">
        <f t="shared" si="184"/>
        <v>27.7293413173653</v>
      </c>
      <c r="I125" s="276"/>
      <c r="J125" s="1">
        <v>501</v>
      </c>
      <c r="K125" s="99">
        <f t="shared" si="173"/>
        <v>0.3</v>
      </c>
      <c r="L125" s="1">
        <v>0.4</v>
      </c>
      <c r="M125" s="99">
        <f t="shared" si="199"/>
        <v>1.756</v>
      </c>
      <c r="N125" s="1">
        <f t="shared" si="174"/>
        <v>1.7</v>
      </c>
      <c r="O125" s="272">
        <f t="shared" si="185"/>
        <v>30.4678642714571</v>
      </c>
      <c r="Q125" s="276"/>
      <c r="R125" s="1">
        <v>501</v>
      </c>
      <c r="S125" s="99">
        <f>S102+0.1</f>
        <v>0.3</v>
      </c>
      <c r="T125" s="1">
        <f t="shared" si="186"/>
        <v>0.5</v>
      </c>
      <c r="U125" s="99">
        <f t="shared" si="200"/>
        <v>1.856</v>
      </c>
      <c r="V125" s="1">
        <f t="shared" si="175"/>
        <v>1.8</v>
      </c>
      <c r="W125" s="272">
        <f t="shared" si="187"/>
        <v>33.2063872255489</v>
      </c>
      <c r="Y125" s="276"/>
      <c r="Z125" s="1">
        <v>501</v>
      </c>
      <c r="AA125" s="99">
        <f t="shared" si="176"/>
        <v>0.3</v>
      </c>
      <c r="AB125" s="1">
        <f t="shared" ref="AB125:AB137" si="203">AB102+0.2</f>
        <v>0.7</v>
      </c>
      <c r="AC125" s="99">
        <f t="shared" si="189"/>
        <v>2.056</v>
      </c>
      <c r="AD125" s="1">
        <f t="shared" si="177"/>
        <v>1.9</v>
      </c>
      <c r="AE125" s="272">
        <f t="shared" si="190"/>
        <v>36.6235528942116</v>
      </c>
      <c r="AG125" s="276"/>
      <c r="AH125" s="1">
        <v>501</v>
      </c>
      <c r="AI125" s="99">
        <f t="shared" si="178"/>
        <v>0.3</v>
      </c>
      <c r="AJ125" s="1">
        <f t="shared" si="191"/>
        <v>0.8</v>
      </c>
      <c r="AK125" s="99">
        <f t="shared" si="201"/>
        <v>2.256</v>
      </c>
      <c r="AL125" s="1">
        <f t="shared" si="179"/>
        <v>2</v>
      </c>
      <c r="AM125" s="272">
        <f t="shared" si="192"/>
        <v>40.0407185628743</v>
      </c>
      <c r="AO125" s="276"/>
      <c r="AP125" s="1">
        <v>501</v>
      </c>
      <c r="AQ125" s="99">
        <f t="shared" si="180"/>
        <v>0.3</v>
      </c>
      <c r="AR125" s="1">
        <f t="shared" si="193"/>
        <v>0.9</v>
      </c>
      <c r="AS125" s="99">
        <f t="shared" si="202"/>
        <v>2.456</v>
      </c>
      <c r="AT125" s="1">
        <f t="shared" si="181"/>
        <v>2.1</v>
      </c>
      <c r="AU125" s="272">
        <f t="shared" si="194"/>
        <v>43.4578842315369</v>
      </c>
      <c r="AV125" s="1"/>
      <c r="AW125" s="276"/>
      <c r="AX125" s="1">
        <v>501</v>
      </c>
      <c r="AY125" s="1">
        <f t="shared" si="182"/>
        <v>0.3</v>
      </c>
      <c r="AZ125" s="1">
        <f t="shared" si="195"/>
        <v>0.9</v>
      </c>
      <c r="BA125" s="99">
        <f t="shared" si="196"/>
        <v>2.656</v>
      </c>
      <c r="BB125" s="1">
        <f t="shared" si="183"/>
        <v>2.2</v>
      </c>
      <c r="BC125" s="272">
        <f t="shared" si="197"/>
        <v>46.8750499001996</v>
      </c>
    </row>
    <row r="126" spans="2:58">
      <c r="B126" s="1">
        <v>701</v>
      </c>
      <c r="C126" s="99">
        <f t="shared" si="171"/>
        <v>0.3</v>
      </c>
      <c r="D126" s="1">
        <v>0.4</v>
      </c>
      <c r="E126" s="99">
        <f t="shared" si="198"/>
        <v>1.88</v>
      </c>
      <c r="F126" s="1">
        <f t="shared" si="172"/>
        <v>1.7</v>
      </c>
      <c r="G126" s="272">
        <f t="shared" si="184"/>
        <v>24.3708987161198</v>
      </c>
      <c r="I126" s="276"/>
      <c r="J126" s="1">
        <v>701</v>
      </c>
      <c r="K126" s="99">
        <f t="shared" si="173"/>
        <v>0.3</v>
      </c>
      <c r="L126" s="1">
        <v>0.4</v>
      </c>
      <c r="M126" s="99">
        <f t="shared" si="199"/>
        <v>1.98</v>
      </c>
      <c r="N126" s="1">
        <f t="shared" si="174"/>
        <v>1.8</v>
      </c>
      <c r="O126" s="272">
        <f t="shared" si="185"/>
        <v>26.8987161198288</v>
      </c>
      <c r="Q126" s="276"/>
      <c r="R126" s="1">
        <v>701</v>
      </c>
      <c r="S126" s="99">
        <f t="shared" ref="S126:S137" si="204">S103+0.1</f>
        <v>0.3</v>
      </c>
      <c r="T126" s="1">
        <f t="shared" si="186"/>
        <v>0.5</v>
      </c>
      <c r="U126" s="99">
        <f t="shared" si="200"/>
        <v>2.08</v>
      </c>
      <c r="V126" s="1">
        <f t="shared" si="175"/>
        <v>1.9</v>
      </c>
      <c r="W126" s="272">
        <f t="shared" si="187"/>
        <v>29.4265335235378</v>
      </c>
      <c r="Y126" s="276"/>
      <c r="Z126" s="1">
        <v>701</v>
      </c>
      <c r="AA126" s="99">
        <f t="shared" si="176"/>
        <v>0.3</v>
      </c>
      <c r="AB126" s="1">
        <f t="shared" si="203"/>
        <v>0.7</v>
      </c>
      <c r="AC126" s="99">
        <f t="shared" si="189"/>
        <v>2.28</v>
      </c>
      <c r="AD126" s="1">
        <f t="shared" si="177"/>
        <v>2</v>
      </c>
      <c r="AE126" s="272">
        <f t="shared" si="190"/>
        <v>32.4393723252496</v>
      </c>
      <c r="AG126" s="276"/>
      <c r="AH126" s="1">
        <v>701</v>
      </c>
      <c r="AI126" s="99">
        <f t="shared" si="178"/>
        <v>0.3</v>
      </c>
      <c r="AJ126" s="1">
        <f t="shared" si="191"/>
        <v>0.8</v>
      </c>
      <c r="AK126" s="99">
        <f t="shared" si="201"/>
        <v>2.48</v>
      </c>
      <c r="AL126" s="1">
        <f t="shared" si="179"/>
        <v>2.1</v>
      </c>
      <c r="AM126" s="272">
        <f t="shared" si="192"/>
        <v>35.4522111269615</v>
      </c>
      <c r="AO126" s="276"/>
      <c r="AP126" s="1">
        <v>701</v>
      </c>
      <c r="AQ126" s="99">
        <f t="shared" si="180"/>
        <v>0.3</v>
      </c>
      <c r="AR126" s="1">
        <f t="shared" si="193"/>
        <v>0.9</v>
      </c>
      <c r="AS126" s="99">
        <f t="shared" si="202"/>
        <v>2.68</v>
      </c>
      <c r="AT126" s="1">
        <f t="shared" si="181"/>
        <v>2.2</v>
      </c>
      <c r="AU126" s="272">
        <f t="shared" si="194"/>
        <v>38.4650499286733</v>
      </c>
      <c r="AV126" s="1"/>
      <c r="AW126" s="276"/>
      <c r="AX126" s="1">
        <v>701</v>
      </c>
      <c r="AY126" s="1">
        <f t="shared" si="182"/>
        <v>0.3</v>
      </c>
      <c r="AZ126" s="1">
        <f t="shared" si="195"/>
        <v>0.9</v>
      </c>
      <c r="BA126" s="99">
        <f t="shared" si="196"/>
        <v>2.88</v>
      </c>
      <c r="BB126" s="1">
        <f t="shared" si="183"/>
        <v>2.3</v>
      </c>
      <c r="BC126" s="272">
        <f t="shared" si="197"/>
        <v>41.4778887303852</v>
      </c>
    </row>
    <row r="127" spans="2:58">
      <c r="B127" s="1">
        <v>901</v>
      </c>
      <c r="C127" s="99">
        <f t="shared" si="171"/>
        <v>0.3</v>
      </c>
      <c r="D127" s="1">
        <v>0.5</v>
      </c>
      <c r="E127" s="99">
        <f t="shared" si="198"/>
        <v>2.216</v>
      </c>
      <c r="F127" s="1">
        <f t="shared" si="172"/>
        <v>1.7</v>
      </c>
      <c r="G127" s="272">
        <f t="shared" si="184"/>
        <v>22.8927857935627</v>
      </c>
      <c r="I127" s="276"/>
      <c r="J127" s="1">
        <v>901</v>
      </c>
      <c r="K127" s="99">
        <f t="shared" si="173"/>
        <v>0.3</v>
      </c>
      <c r="L127" s="1">
        <v>0.5</v>
      </c>
      <c r="M127" s="99">
        <f t="shared" si="199"/>
        <v>2.316</v>
      </c>
      <c r="N127" s="1">
        <f t="shared" si="174"/>
        <v>1.8</v>
      </c>
      <c r="O127" s="272">
        <f t="shared" si="185"/>
        <v>25.3034406215316</v>
      </c>
      <c r="Q127" s="276"/>
      <c r="R127" s="1">
        <v>901</v>
      </c>
      <c r="S127" s="99">
        <f t="shared" si="204"/>
        <v>0.3</v>
      </c>
      <c r="T127" s="1">
        <f t="shared" si="186"/>
        <v>0.6</v>
      </c>
      <c r="U127" s="99">
        <f t="shared" si="200"/>
        <v>2.416</v>
      </c>
      <c r="V127" s="1">
        <f t="shared" si="175"/>
        <v>1.9</v>
      </c>
      <c r="W127" s="272">
        <f t="shared" si="187"/>
        <v>27.7140954495006</v>
      </c>
      <c r="Y127" s="276"/>
      <c r="Z127" s="1">
        <v>901</v>
      </c>
      <c r="AA127" s="99">
        <f t="shared" si="176"/>
        <v>0.3</v>
      </c>
      <c r="AB127" s="1">
        <f t="shared" si="203"/>
        <v>0.8</v>
      </c>
      <c r="AC127" s="99">
        <f t="shared" si="189"/>
        <v>2.616</v>
      </c>
      <c r="AD127" s="1">
        <f t="shared" si="177"/>
        <v>2</v>
      </c>
      <c r="AE127" s="272">
        <f t="shared" si="190"/>
        <v>30.5021087680355</v>
      </c>
      <c r="AG127" s="276"/>
      <c r="AH127" s="1">
        <v>901</v>
      </c>
      <c r="AI127" s="99">
        <f t="shared" si="178"/>
        <v>0.3</v>
      </c>
      <c r="AJ127" s="1">
        <f t="shared" si="191"/>
        <v>0.9</v>
      </c>
      <c r="AK127" s="99">
        <f t="shared" si="201"/>
        <v>2.816</v>
      </c>
      <c r="AL127" s="1">
        <f t="shared" si="179"/>
        <v>2.1</v>
      </c>
      <c r="AM127" s="272">
        <f t="shared" si="192"/>
        <v>33.2901220865705</v>
      </c>
      <c r="AO127" s="276"/>
      <c r="AP127" s="1">
        <v>901</v>
      </c>
      <c r="AQ127" s="99">
        <f t="shared" si="180"/>
        <v>0.3</v>
      </c>
      <c r="AR127" s="1">
        <f t="shared" si="193"/>
        <v>1</v>
      </c>
      <c r="AS127" s="99">
        <f t="shared" si="202"/>
        <v>3.016</v>
      </c>
      <c r="AT127" s="1">
        <f t="shared" si="181"/>
        <v>2.2</v>
      </c>
      <c r="AU127" s="272">
        <f t="shared" si="194"/>
        <v>36.0781354051054</v>
      </c>
      <c r="AV127" s="1"/>
      <c r="AW127" s="276"/>
      <c r="AX127" s="1">
        <v>901</v>
      </c>
      <c r="AY127" s="1">
        <f t="shared" si="182"/>
        <v>0.3</v>
      </c>
      <c r="AZ127" s="1">
        <f t="shared" si="195"/>
        <v>1</v>
      </c>
      <c r="BA127" s="99">
        <f t="shared" si="196"/>
        <v>3.216</v>
      </c>
      <c r="BB127" s="1">
        <f t="shared" si="183"/>
        <v>2.3</v>
      </c>
      <c r="BC127" s="272">
        <f t="shared" si="197"/>
        <v>38.8661487236404</v>
      </c>
    </row>
    <row r="128" spans="2:58">
      <c r="B128" s="1">
        <v>1001</v>
      </c>
      <c r="C128" s="99">
        <f t="shared" si="171"/>
        <v>0.4</v>
      </c>
      <c r="D128" s="1">
        <v>0.5</v>
      </c>
      <c r="E128" s="99">
        <f t="shared" si="198"/>
        <v>2.44</v>
      </c>
      <c r="F128" s="1">
        <f t="shared" si="172"/>
        <v>1.9</v>
      </c>
      <c r="G128" s="272">
        <f t="shared" si="184"/>
        <v>23.2147852147852</v>
      </c>
      <c r="I128" s="276"/>
      <c r="J128" s="1">
        <v>1001</v>
      </c>
      <c r="K128" s="99">
        <f t="shared" si="173"/>
        <v>0.4</v>
      </c>
      <c r="L128" s="1">
        <v>0.5</v>
      </c>
      <c r="M128" s="99">
        <f t="shared" si="199"/>
        <v>2.54</v>
      </c>
      <c r="N128" s="1">
        <f t="shared" si="174"/>
        <v>2</v>
      </c>
      <c r="O128" s="272">
        <f t="shared" si="185"/>
        <v>25.5844155844156</v>
      </c>
      <c r="Q128" s="276"/>
      <c r="R128" s="1">
        <v>1001</v>
      </c>
      <c r="S128" s="99">
        <f t="shared" si="204"/>
        <v>0.4</v>
      </c>
      <c r="T128" s="1">
        <f t="shared" si="186"/>
        <v>0.6</v>
      </c>
      <c r="U128" s="99">
        <f t="shared" si="200"/>
        <v>2.64</v>
      </c>
      <c r="V128" s="1">
        <f t="shared" si="175"/>
        <v>2.1</v>
      </c>
      <c r="W128" s="272">
        <f t="shared" si="187"/>
        <v>27.954045954046</v>
      </c>
      <c r="Y128" s="276"/>
      <c r="Z128" s="1">
        <v>1001</v>
      </c>
      <c r="AA128" s="99">
        <f t="shared" si="176"/>
        <v>0.4</v>
      </c>
      <c r="AB128" s="1">
        <f t="shared" si="203"/>
        <v>0.8</v>
      </c>
      <c r="AC128" s="99">
        <f t="shared" si="189"/>
        <v>2.84</v>
      </c>
      <c r="AD128" s="1">
        <f t="shared" si="177"/>
        <v>2.2</v>
      </c>
      <c r="AE128" s="272">
        <f t="shared" si="190"/>
        <v>30.6633366633367</v>
      </c>
      <c r="AG128" s="276"/>
      <c r="AH128" s="1">
        <v>1001</v>
      </c>
      <c r="AI128" s="99">
        <f t="shared" si="178"/>
        <v>0.4</v>
      </c>
      <c r="AJ128" s="1">
        <f t="shared" si="191"/>
        <v>0.9</v>
      </c>
      <c r="AK128" s="99">
        <f t="shared" si="201"/>
        <v>3.04</v>
      </c>
      <c r="AL128" s="1">
        <f t="shared" si="179"/>
        <v>2.3</v>
      </c>
      <c r="AM128" s="272">
        <f t="shared" si="192"/>
        <v>33.3726273726274</v>
      </c>
      <c r="AO128" s="276"/>
      <c r="AP128" s="1">
        <v>1001</v>
      </c>
      <c r="AQ128" s="99">
        <f t="shared" si="180"/>
        <v>0.4</v>
      </c>
      <c r="AR128" s="1">
        <f t="shared" si="193"/>
        <v>1</v>
      </c>
      <c r="AS128" s="99">
        <f t="shared" si="202"/>
        <v>3.24</v>
      </c>
      <c r="AT128" s="1">
        <f t="shared" si="181"/>
        <v>2.4</v>
      </c>
      <c r="AU128" s="272">
        <f t="shared" si="194"/>
        <v>36.0819180819181</v>
      </c>
      <c r="AV128" s="1"/>
      <c r="AW128" s="276"/>
      <c r="AX128" s="1">
        <v>1001</v>
      </c>
      <c r="AY128" s="1">
        <f t="shared" si="182"/>
        <v>0.4</v>
      </c>
      <c r="AZ128" s="1">
        <f t="shared" si="195"/>
        <v>1</v>
      </c>
      <c r="BA128" s="99">
        <f t="shared" si="196"/>
        <v>3.44</v>
      </c>
      <c r="BB128" s="1">
        <f t="shared" si="183"/>
        <v>2.5</v>
      </c>
      <c r="BC128" s="272">
        <f t="shared" si="197"/>
        <v>38.7912087912088</v>
      </c>
    </row>
    <row r="129" spans="2:55">
      <c r="B129" s="1">
        <v>1201</v>
      </c>
      <c r="C129" s="99">
        <f t="shared" si="171"/>
        <v>0.4</v>
      </c>
      <c r="D129" s="1">
        <v>0.6</v>
      </c>
      <c r="E129" s="99">
        <f t="shared" si="198"/>
        <v>2.552</v>
      </c>
      <c r="F129" s="1">
        <f t="shared" si="172"/>
        <v>2.1</v>
      </c>
      <c r="G129" s="272">
        <f t="shared" si="184"/>
        <v>21.7142381348876</v>
      </c>
      <c r="I129" s="276"/>
      <c r="J129" s="1">
        <v>1201</v>
      </c>
      <c r="K129" s="99">
        <f t="shared" si="173"/>
        <v>0.4</v>
      </c>
      <c r="L129" s="1">
        <v>0.6</v>
      </c>
      <c r="M129" s="99">
        <f t="shared" si="199"/>
        <v>2.652</v>
      </c>
      <c r="N129" s="1">
        <f t="shared" si="174"/>
        <v>2.2</v>
      </c>
      <c r="O129" s="272">
        <f t="shared" si="185"/>
        <v>24.0223147377186</v>
      </c>
      <c r="Q129" s="276"/>
      <c r="R129" s="1">
        <v>1201</v>
      </c>
      <c r="S129" s="99">
        <f t="shared" si="204"/>
        <v>0.4</v>
      </c>
      <c r="T129" s="1">
        <f t="shared" si="186"/>
        <v>0.7</v>
      </c>
      <c r="U129" s="99">
        <f t="shared" si="200"/>
        <v>2.752</v>
      </c>
      <c r="V129" s="1">
        <f t="shared" si="175"/>
        <v>2.3</v>
      </c>
      <c r="W129" s="272">
        <f t="shared" si="187"/>
        <v>26.3303913405495</v>
      </c>
      <c r="Y129" s="276"/>
      <c r="Z129" s="1">
        <v>1201</v>
      </c>
      <c r="AA129" s="99">
        <f t="shared" si="176"/>
        <v>0.4</v>
      </c>
      <c r="AB129" s="1">
        <f t="shared" si="203"/>
        <v>0.9</v>
      </c>
      <c r="AC129" s="99">
        <f t="shared" si="189"/>
        <v>2.952</v>
      </c>
      <c r="AD129" s="1">
        <f t="shared" si="177"/>
        <v>2.4</v>
      </c>
      <c r="AE129" s="272">
        <f t="shared" si="190"/>
        <v>28.9215653621982</v>
      </c>
      <c r="AG129" s="276"/>
      <c r="AH129" s="1">
        <v>1201</v>
      </c>
      <c r="AI129" s="99">
        <f t="shared" si="178"/>
        <v>0.4</v>
      </c>
      <c r="AJ129" s="1">
        <f t="shared" si="191"/>
        <v>1</v>
      </c>
      <c r="AK129" s="99">
        <f t="shared" si="201"/>
        <v>3.152</v>
      </c>
      <c r="AL129" s="1">
        <f t="shared" si="179"/>
        <v>2.5</v>
      </c>
      <c r="AM129" s="272">
        <f t="shared" si="192"/>
        <v>31.5127393838468</v>
      </c>
      <c r="AO129" s="276"/>
      <c r="AP129" s="1">
        <v>1201</v>
      </c>
      <c r="AQ129" s="99">
        <f t="shared" si="180"/>
        <v>0.4</v>
      </c>
      <c r="AR129" s="1">
        <f t="shared" si="193"/>
        <v>1.1</v>
      </c>
      <c r="AS129" s="99">
        <f t="shared" si="202"/>
        <v>3.352</v>
      </c>
      <c r="AT129" s="1">
        <f t="shared" si="181"/>
        <v>2.6</v>
      </c>
      <c r="AU129" s="272">
        <f t="shared" si="194"/>
        <v>34.1039134054954</v>
      </c>
      <c r="AV129" s="1"/>
      <c r="AW129" s="276"/>
      <c r="AX129" s="1">
        <v>1201</v>
      </c>
      <c r="AY129" s="1">
        <f t="shared" si="182"/>
        <v>0.4</v>
      </c>
      <c r="AZ129" s="1">
        <f t="shared" si="195"/>
        <v>1.1</v>
      </c>
      <c r="BA129" s="99">
        <f t="shared" si="196"/>
        <v>3.552</v>
      </c>
      <c r="BB129" s="1">
        <f t="shared" si="183"/>
        <v>2.7</v>
      </c>
      <c r="BC129" s="272">
        <f t="shared" si="197"/>
        <v>36.6950874271441</v>
      </c>
    </row>
    <row r="130" spans="2:55">
      <c r="B130" s="1">
        <v>1401</v>
      </c>
      <c r="C130" s="99">
        <f t="shared" si="171"/>
        <v>0.4</v>
      </c>
      <c r="D130" s="1">
        <v>0.6</v>
      </c>
      <c r="E130" s="99">
        <f t="shared" si="198"/>
        <v>2.664</v>
      </c>
      <c r="F130" s="1">
        <f t="shared" si="172"/>
        <v>2.2</v>
      </c>
      <c r="G130" s="272">
        <f t="shared" si="184"/>
        <v>20.6206995003569</v>
      </c>
      <c r="I130" s="276"/>
      <c r="J130" s="1">
        <v>1401</v>
      </c>
      <c r="K130" s="99">
        <f t="shared" si="173"/>
        <v>0.4</v>
      </c>
      <c r="L130" s="1">
        <v>0.6</v>
      </c>
      <c r="M130" s="99">
        <f t="shared" si="199"/>
        <v>2.764</v>
      </c>
      <c r="N130" s="1">
        <f t="shared" si="174"/>
        <v>2.3</v>
      </c>
      <c r="O130" s="272">
        <f t="shared" si="185"/>
        <v>22.8847965738758</v>
      </c>
      <c r="Q130" s="276"/>
      <c r="R130" s="1">
        <v>1401</v>
      </c>
      <c r="S130" s="99">
        <f t="shared" si="204"/>
        <v>0.4</v>
      </c>
      <c r="T130" s="1">
        <f t="shared" si="186"/>
        <v>0.7</v>
      </c>
      <c r="U130" s="99">
        <f t="shared" si="200"/>
        <v>2.864</v>
      </c>
      <c r="V130" s="1">
        <f t="shared" si="175"/>
        <v>2.4</v>
      </c>
      <c r="W130" s="272">
        <f t="shared" si="187"/>
        <v>25.1488936473947</v>
      </c>
      <c r="Y130" s="276"/>
      <c r="Z130" s="1">
        <v>1401</v>
      </c>
      <c r="AA130" s="99">
        <f t="shared" si="176"/>
        <v>0.4</v>
      </c>
      <c r="AB130" s="1">
        <f t="shared" si="203"/>
        <v>0.9</v>
      </c>
      <c r="AC130" s="99">
        <f t="shared" si="189"/>
        <v>3.064</v>
      </c>
      <c r="AD130" s="1">
        <f t="shared" si="177"/>
        <v>2.5</v>
      </c>
      <c r="AE130" s="272">
        <f t="shared" si="190"/>
        <v>27.6556745182013</v>
      </c>
      <c r="AG130" s="276"/>
      <c r="AH130" s="1">
        <v>1401</v>
      </c>
      <c r="AI130" s="99">
        <f t="shared" si="178"/>
        <v>0.4</v>
      </c>
      <c r="AJ130" s="1">
        <f t="shared" si="191"/>
        <v>1</v>
      </c>
      <c r="AK130" s="99">
        <f t="shared" si="201"/>
        <v>3.264</v>
      </c>
      <c r="AL130" s="1">
        <f t="shared" si="179"/>
        <v>2.6</v>
      </c>
      <c r="AM130" s="272">
        <f t="shared" si="192"/>
        <v>30.1624553890079</v>
      </c>
      <c r="AO130" s="276"/>
      <c r="AP130" s="1">
        <v>1401</v>
      </c>
      <c r="AQ130" s="99">
        <f t="shared" si="180"/>
        <v>0.4</v>
      </c>
      <c r="AR130" s="1">
        <f t="shared" si="193"/>
        <v>1.1</v>
      </c>
      <c r="AS130" s="99">
        <f t="shared" si="202"/>
        <v>3.464</v>
      </c>
      <c r="AT130" s="1">
        <f t="shared" si="181"/>
        <v>2.7</v>
      </c>
      <c r="AU130" s="272">
        <f t="shared" si="194"/>
        <v>32.6692362598144</v>
      </c>
      <c r="AV130" s="1"/>
      <c r="AW130" s="276"/>
      <c r="AX130" s="1">
        <v>1401</v>
      </c>
      <c r="AY130" s="1">
        <f t="shared" si="182"/>
        <v>0.4</v>
      </c>
      <c r="AZ130" s="1">
        <f t="shared" si="195"/>
        <v>1.1</v>
      </c>
      <c r="BA130" s="99">
        <f t="shared" si="196"/>
        <v>3.664</v>
      </c>
      <c r="BB130" s="1">
        <f t="shared" si="183"/>
        <v>2.8</v>
      </c>
      <c r="BC130" s="272">
        <f t="shared" si="197"/>
        <v>35.176017130621</v>
      </c>
    </row>
    <row r="131" spans="2:55">
      <c r="B131" s="1">
        <v>1601</v>
      </c>
      <c r="C131" s="99">
        <f t="shared" si="171"/>
        <v>0.4</v>
      </c>
      <c r="D131" s="1">
        <v>0.6</v>
      </c>
      <c r="E131" s="99">
        <f t="shared" si="198"/>
        <v>2.888</v>
      </c>
      <c r="F131" s="1">
        <f t="shared" si="172"/>
        <v>2.2</v>
      </c>
      <c r="G131" s="272">
        <f t="shared" si="184"/>
        <v>20.0194878201124</v>
      </c>
      <c r="I131" s="276"/>
      <c r="J131" s="1">
        <v>1601</v>
      </c>
      <c r="K131" s="99">
        <f t="shared" si="173"/>
        <v>0.4</v>
      </c>
      <c r="L131" s="1">
        <v>0.6</v>
      </c>
      <c r="M131" s="99">
        <f t="shared" si="199"/>
        <v>2.988</v>
      </c>
      <c r="N131" s="1">
        <f t="shared" si="174"/>
        <v>2.3</v>
      </c>
      <c r="O131" s="272">
        <f t="shared" si="185"/>
        <v>22.250593379138</v>
      </c>
      <c r="Q131" s="276"/>
      <c r="R131" s="1">
        <v>1601</v>
      </c>
      <c r="S131" s="99">
        <f t="shared" si="204"/>
        <v>0.4</v>
      </c>
      <c r="T131" s="1">
        <f t="shared" si="186"/>
        <v>0.8</v>
      </c>
      <c r="U131" s="99">
        <f t="shared" si="200"/>
        <v>3.088</v>
      </c>
      <c r="V131" s="1">
        <f t="shared" si="175"/>
        <v>2.4</v>
      </c>
      <c r="W131" s="272">
        <f t="shared" si="187"/>
        <v>24.4816989381636</v>
      </c>
      <c r="Y131" s="276"/>
      <c r="Z131" s="1">
        <v>1601</v>
      </c>
      <c r="AA131" s="99">
        <f t="shared" si="176"/>
        <v>0.4</v>
      </c>
      <c r="AB131" s="1">
        <f t="shared" si="203"/>
        <v>1</v>
      </c>
      <c r="AC131" s="99">
        <f t="shared" si="189"/>
        <v>3.288</v>
      </c>
      <c r="AD131" s="1">
        <f t="shared" si="177"/>
        <v>2.5</v>
      </c>
      <c r="AE131" s="272">
        <f t="shared" si="190"/>
        <v>26.9251717676452</v>
      </c>
      <c r="AG131" s="276"/>
      <c r="AH131" s="1">
        <v>1601</v>
      </c>
      <c r="AI131" s="99">
        <f t="shared" si="178"/>
        <v>0.4</v>
      </c>
      <c r="AJ131" s="1">
        <f t="shared" si="191"/>
        <v>1.1</v>
      </c>
      <c r="AK131" s="99">
        <f t="shared" si="201"/>
        <v>3.488</v>
      </c>
      <c r="AL131" s="1">
        <f t="shared" si="179"/>
        <v>2.6</v>
      </c>
      <c r="AM131" s="272">
        <f t="shared" si="192"/>
        <v>29.3686445971268</v>
      </c>
      <c r="AO131" s="276"/>
      <c r="AP131" s="1">
        <v>1601</v>
      </c>
      <c r="AQ131" s="99">
        <f t="shared" si="180"/>
        <v>0.4</v>
      </c>
      <c r="AR131" s="1">
        <f t="shared" si="193"/>
        <v>1.2</v>
      </c>
      <c r="AS131" s="99">
        <f t="shared" si="202"/>
        <v>3.688</v>
      </c>
      <c r="AT131" s="1">
        <f t="shared" si="181"/>
        <v>2.7</v>
      </c>
      <c r="AU131" s="272">
        <f t="shared" si="194"/>
        <v>31.8121174266084</v>
      </c>
      <c r="AV131" s="1"/>
      <c r="AW131" s="276"/>
      <c r="AX131" s="1">
        <v>1601</v>
      </c>
      <c r="AY131" s="1">
        <f t="shared" si="182"/>
        <v>0.4</v>
      </c>
      <c r="AZ131" s="1">
        <f t="shared" si="195"/>
        <v>1.2</v>
      </c>
      <c r="BA131" s="99">
        <f t="shared" si="196"/>
        <v>3.888</v>
      </c>
      <c r="BB131" s="1">
        <f t="shared" si="183"/>
        <v>2.8</v>
      </c>
      <c r="BC131" s="272">
        <f t="shared" si="197"/>
        <v>34.2555902560899</v>
      </c>
    </row>
    <row r="132" spans="2:55">
      <c r="B132" s="1">
        <v>1801</v>
      </c>
      <c r="C132" s="99">
        <f t="shared" si="171"/>
        <v>0.4</v>
      </c>
      <c r="D132" s="1">
        <v>0.6</v>
      </c>
      <c r="E132" s="99">
        <f t="shared" si="198"/>
        <v>3.112</v>
      </c>
      <c r="F132" s="1">
        <f t="shared" si="172"/>
        <v>2.2</v>
      </c>
      <c r="G132" s="272">
        <f t="shared" si="184"/>
        <v>19.5518045530261</v>
      </c>
      <c r="I132" s="276"/>
      <c r="J132" s="1">
        <v>1801</v>
      </c>
      <c r="K132" s="99">
        <f t="shared" si="173"/>
        <v>0.4</v>
      </c>
      <c r="L132" s="1">
        <v>0.6</v>
      </c>
      <c r="M132" s="99">
        <f t="shared" si="199"/>
        <v>3.212</v>
      </c>
      <c r="N132" s="1">
        <f t="shared" si="174"/>
        <v>2.3</v>
      </c>
      <c r="O132" s="272">
        <f t="shared" si="185"/>
        <v>21.7572459744586</v>
      </c>
      <c r="Q132" s="276"/>
      <c r="R132" s="1">
        <v>1801</v>
      </c>
      <c r="S132" s="99">
        <f t="shared" si="204"/>
        <v>0.4</v>
      </c>
      <c r="T132" s="1">
        <f t="shared" si="186"/>
        <v>0.8</v>
      </c>
      <c r="U132" s="99">
        <f t="shared" si="200"/>
        <v>3.312</v>
      </c>
      <c r="V132" s="1">
        <f t="shared" si="175"/>
        <v>2.4</v>
      </c>
      <c r="W132" s="272">
        <f t="shared" si="187"/>
        <v>23.9626873958912</v>
      </c>
      <c r="Y132" s="276"/>
      <c r="Z132" s="1">
        <v>1801</v>
      </c>
      <c r="AA132" s="99">
        <f t="shared" si="176"/>
        <v>0.4</v>
      </c>
      <c r="AB132" s="1">
        <f t="shared" si="203"/>
        <v>1</v>
      </c>
      <c r="AC132" s="99">
        <f t="shared" si="189"/>
        <v>3.512</v>
      </c>
      <c r="AD132" s="1">
        <f t="shared" si="177"/>
        <v>2.5</v>
      </c>
      <c r="AE132" s="272">
        <f t="shared" si="190"/>
        <v>26.3569128262077</v>
      </c>
      <c r="AG132" s="276"/>
      <c r="AH132" s="1">
        <v>1801</v>
      </c>
      <c r="AI132" s="99">
        <f t="shared" si="178"/>
        <v>0.4</v>
      </c>
      <c r="AJ132" s="1">
        <f t="shared" si="191"/>
        <v>1.1</v>
      </c>
      <c r="AK132" s="99">
        <f t="shared" si="201"/>
        <v>3.712</v>
      </c>
      <c r="AL132" s="1">
        <f t="shared" si="179"/>
        <v>2.6</v>
      </c>
      <c r="AM132" s="272">
        <f t="shared" si="192"/>
        <v>28.7511382565242</v>
      </c>
      <c r="AO132" s="276"/>
      <c r="AP132" s="1">
        <v>1801</v>
      </c>
      <c r="AQ132" s="99">
        <f t="shared" si="180"/>
        <v>0.4</v>
      </c>
      <c r="AR132" s="1">
        <f t="shared" si="193"/>
        <v>1.2</v>
      </c>
      <c r="AS132" s="99">
        <f t="shared" si="202"/>
        <v>3.912</v>
      </c>
      <c r="AT132" s="1">
        <f t="shared" si="181"/>
        <v>2.7</v>
      </c>
      <c r="AU132" s="272">
        <f t="shared" si="194"/>
        <v>31.1453636868406</v>
      </c>
      <c r="AV132" s="1"/>
      <c r="AW132" s="276"/>
      <c r="AX132" s="1">
        <v>1801</v>
      </c>
      <c r="AY132" s="1">
        <f t="shared" si="182"/>
        <v>0.4</v>
      </c>
      <c r="AZ132" s="1">
        <f t="shared" si="195"/>
        <v>1.2</v>
      </c>
      <c r="BA132" s="99">
        <f t="shared" si="196"/>
        <v>4.112</v>
      </c>
      <c r="BB132" s="1">
        <f t="shared" si="183"/>
        <v>2.8</v>
      </c>
      <c r="BC132" s="272">
        <f t="shared" si="197"/>
        <v>33.5395891171571</v>
      </c>
    </row>
    <row r="133" spans="2:55">
      <c r="B133" s="1">
        <v>2001</v>
      </c>
      <c r="C133" s="99">
        <f t="shared" si="171"/>
        <v>0.5</v>
      </c>
      <c r="D133" s="1">
        <v>0.7</v>
      </c>
      <c r="E133" s="99">
        <f t="shared" si="198"/>
        <v>3.336</v>
      </c>
      <c r="F133" s="1">
        <f t="shared" si="172"/>
        <v>2.4</v>
      </c>
      <c r="G133" s="272">
        <f t="shared" si="184"/>
        <v>19.5024487756122</v>
      </c>
      <c r="I133" s="276"/>
      <c r="J133" s="1">
        <v>2001</v>
      </c>
      <c r="K133" s="99">
        <f t="shared" si="173"/>
        <v>0.5</v>
      </c>
      <c r="L133" s="1">
        <v>0.7</v>
      </c>
      <c r="M133" s="99">
        <f t="shared" si="199"/>
        <v>3.436</v>
      </c>
      <c r="N133" s="1">
        <f t="shared" si="174"/>
        <v>2.5</v>
      </c>
      <c r="O133" s="272">
        <f t="shared" si="185"/>
        <v>21.6873563218391</v>
      </c>
      <c r="Q133" s="276"/>
      <c r="R133" s="1">
        <v>2001</v>
      </c>
      <c r="S133" s="99">
        <f t="shared" si="204"/>
        <v>0.5</v>
      </c>
      <c r="T133" s="1">
        <f t="shared" si="186"/>
        <v>0.9</v>
      </c>
      <c r="U133" s="99">
        <f t="shared" si="200"/>
        <v>3.536</v>
      </c>
      <c r="V133" s="1">
        <f t="shared" si="175"/>
        <v>2.6</v>
      </c>
      <c r="W133" s="272">
        <f t="shared" si="187"/>
        <v>23.872263868066</v>
      </c>
      <c r="Y133" s="276"/>
      <c r="Z133" s="1">
        <v>2001</v>
      </c>
      <c r="AA133" s="99">
        <f t="shared" si="176"/>
        <v>0.5</v>
      </c>
      <c r="AB133" s="1">
        <f t="shared" si="203"/>
        <v>1.1</v>
      </c>
      <c r="AC133" s="99">
        <f t="shared" si="189"/>
        <v>3.736</v>
      </c>
      <c r="AD133" s="1">
        <f t="shared" si="177"/>
        <v>2.7</v>
      </c>
      <c r="AE133" s="272">
        <f t="shared" si="190"/>
        <v>26.2270864567716</v>
      </c>
      <c r="AG133" s="276"/>
      <c r="AH133" s="1">
        <v>2001</v>
      </c>
      <c r="AI133" s="99">
        <f t="shared" si="178"/>
        <v>0.5</v>
      </c>
      <c r="AJ133" s="1">
        <f t="shared" si="191"/>
        <v>1.2</v>
      </c>
      <c r="AK133" s="99">
        <f t="shared" si="201"/>
        <v>3.936</v>
      </c>
      <c r="AL133" s="1">
        <f t="shared" si="179"/>
        <v>2.8</v>
      </c>
      <c r="AM133" s="272">
        <f t="shared" si="192"/>
        <v>28.5819090454773</v>
      </c>
      <c r="AO133" s="276"/>
      <c r="AP133" s="1">
        <v>2001</v>
      </c>
      <c r="AQ133" s="99">
        <f t="shared" si="180"/>
        <v>0.5</v>
      </c>
      <c r="AR133" s="1">
        <f t="shared" si="193"/>
        <v>1.3</v>
      </c>
      <c r="AS133" s="99">
        <f t="shared" si="202"/>
        <v>4.136</v>
      </c>
      <c r="AT133" s="1">
        <f t="shared" si="181"/>
        <v>2.9</v>
      </c>
      <c r="AU133" s="272">
        <f t="shared" si="194"/>
        <v>30.9367316341829</v>
      </c>
      <c r="AV133" s="1"/>
      <c r="AW133" s="276"/>
      <c r="AX133" s="1">
        <v>2001</v>
      </c>
      <c r="AY133" s="1">
        <f t="shared" si="182"/>
        <v>0.5</v>
      </c>
      <c r="AZ133" s="1">
        <f t="shared" si="195"/>
        <v>1.3</v>
      </c>
      <c r="BA133" s="99">
        <f t="shared" si="196"/>
        <v>4.336</v>
      </c>
      <c r="BB133" s="1">
        <f t="shared" si="183"/>
        <v>3</v>
      </c>
      <c r="BC133" s="272">
        <f t="shared" si="197"/>
        <v>33.2915542228885</v>
      </c>
    </row>
    <row r="134" spans="2:55">
      <c r="B134" s="1">
        <v>2201</v>
      </c>
      <c r="C134" s="99">
        <f t="shared" si="171"/>
        <v>0.5</v>
      </c>
      <c r="D134" s="1">
        <v>0.7</v>
      </c>
      <c r="E134" s="99">
        <f t="shared" si="198"/>
        <v>3.56</v>
      </c>
      <c r="F134" s="1">
        <f t="shared" si="172"/>
        <v>2.4</v>
      </c>
      <c r="G134" s="272">
        <f t="shared" si="184"/>
        <v>19.1667423898228</v>
      </c>
      <c r="I134" s="276"/>
      <c r="J134" s="1">
        <v>2201</v>
      </c>
      <c r="K134" s="99">
        <f t="shared" si="173"/>
        <v>0.5</v>
      </c>
      <c r="L134" s="1">
        <v>0.7</v>
      </c>
      <c r="M134" s="99">
        <f t="shared" si="199"/>
        <v>3.66</v>
      </c>
      <c r="N134" s="1">
        <f t="shared" si="174"/>
        <v>2.5</v>
      </c>
      <c r="O134" s="272">
        <f t="shared" si="185"/>
        <v>21.3348477964562</v>
      </c>
      <c r="Q134" s="276"/>
      <c r="R134" s="1">
        <v>2201</v>
      </c>
      <c r="S134" s="99">
        <f t="shared" si="204"/>
        <v>0.5</v>
      </c>
      <c r="T134" s="1">
        <f t="shared" si="186"/>
        <v>0.9</v>
      </c>
      <c r="U134" s="99">
        <f t="shared" si="200"/>
        <v>3.76</v>
      </c>
      <c r="V134" s="1">
        <f t="shared" si="175"/>
        <v>2.6</v>
      </c>
      <c r="W134" s="272">
        <f t="shared" si="187"/>
        <v>23.5029532030895</v>
      </c>
      <c r="Y134" s="276"/>
      <c r="Z134" s="1">
        <v>2201</v>
      </c>
      <c r="AA134" s="99">
        <f t="shared" si="176"/>
        <v>0.5</v>
      </c>
      <c r="AB134" s="1">
        <f t="shared" si="203"/>
        <v>1.1</v>
      </c>
      <c r="AC134" s="99">
        <f t="shared" si="189"/>
        <v>3.96</v>
      </c>
      <c r="AD134" s="1">
        <f t="shared" si="177"/>
        <v>2.7</v>
      </c>
      <c r="AE134" s="272">
        <f t="shared" si="190"/>
        <v>25.8255338482508</v>
      </c>
      <c r="AG134" s="276"/>
      <c r="AH134" s="1">
        <v>2201</v>
      </c>
      <c r="AI134" s="99">
        <f t="shared" si="178"/>
        <v>0.5</v>
      </c>
      <c r="AJ134" s="1">
        <f t="shared" si="191"/>
        <v>1.2</v>
      </c>
      <c r="AK134" s="99">
        <f t="shared" si="201"/>
        <v>4.16</v>
      </c>
      <c r="AL134" s="1">
        <f t="shared" si="179"/>
        <v>2.8</v>
      </c>
      <c r="AM134" s="272">
        <f t="shared" si="192"/>
        <v>28.1481144934121</v>
      </c>
      <c r="AO134" s="276"/>
      <c r="AP134" s="1">
        <v>2201</v>
      </c>
      <c r="AQ134" s="99">
        <f t="shared" si="180"/>
        <v>0.5</v>
      </c>
      <c r="AR134" s="1">
        <f t="shared" si="193"/>
        <v>1.3</v>
      </c>
      <c r="AS134" s="99">
        <f t="shared" si="202"/>
        <v>4.36</v>
      </c>
      <c r="AT134" s="1">
        <f t="shared" si="181"/>
        <v>2.9</v>
      </c>
      <c r="AU134" s="272">
        <f t="shared" si="194"/>
        <v>30.4706951385734</v>
      </c>
      <c r="AV134" s="1"/>
      <c r="AW134" s="276"/>
      <c r="AX134" s="1">
        <v>2201</v>
      </c>
      <c r="AY134" s="1">
        <f t="shared" si="182"/>
        <v>0.5</v>
      </c>
      <c r="AZ134" s="1">
        <f t="shared" si="195"/>
        <v>1.3</v>
      </c>
      <c r="BA134" s="99">
        <f t="shared" si="196"/>
        <v>4.56</v>
      </c>
      <c r="BB134" s="1">
        <f t="shared" si="183"/>
        <v>3</v>
      </c>
      <c r="BC134" s="272">
        <f t="shared" si="197"/>
        <v>32.7932757837347</v>
      </c>
    </row>
    <row r="135" spans="2:55">
      <c r="B135" s="1">
        <v>2401</v>
      </c>
      <c r="C135" s="99">
        <f t="shared" si="171"/>
        <v>0.5</v>
      </c>
      <c r="D135" s="1">
        <v>0.8</v>
      </c>
      <c r="E135" s="99">
        <f t="shared" si="198"/>
        <v>3.672</v>
      </c>
      <c r="F135" s="1">
        <f t="shared" si="172"/>
        <v>2.4</v>
      </c>
      <c r="G135" s="272">
        <f t="shared" si="184"/>
        <v>18.7283631820075</v>
      </c>
      <c r="I135" s="276"/>
      <c r="J135" s="1">
        <v>2401</v>
      </c>
      <c r="K135" s="99">
        <f t="shared" si="173"/>
        <v>0.5</v>
      </c>
      <c r="L135" s="1">
        <v>0.8</v>
      </c>
      <c r="M135" s="99">
        <f t="shared" si="199"/>
        <v>3.772</v>
      </c>
      <c r="N135" s="1">
        <f t="shared" si="174"/>
        <v>2.5</v>
      </c>
      <c r="O135" s="272">
        <f t="shared" si="185"/>
        <v>20.882465639317</v>
      </c>
      <c r="Q135" s="276"/>
      <c r="R135" s="1">
        <v>2401</v>
      </c>
      <c r="S135" s="99">
        <f t="shared" si="204"/>
        <v>0.5</v>
      </c>
      <c r="T135" s="1">
        <f t="shared" si="186"/>
        <v>1</v>
      </c>
      <c r="U135" s="99">
        <f t="shared" si="200"/>
        <v>3.872</v>
      </c>
      <c r="V135" s="1">
        <f t="shared" si="175"/>
        <v>2.6</v>
      </c>
      <c r="W135" s="272">
        <f t="shared" si="187"/>
        <v>23.0365680966264</v>
      </c>
      <c r="Y135" s="276"/>
      <c r="Z135" s="1">
        <v>2401</v>
      </c>
      <c r="AA135" s="99">
        <f t="shared" si="176"/>
        <v>0.5</v>
      </c>
      <c r="AB135" s="1">
        <f t="shared" si="203"/>
        <v>1.2</v>
      </c>
      <c r="AC135" s="99">
        <f t="shared" si="189"/>
        <v>4.072</v>
      </c>
      <c r="AD135" s="1">
        <f t="shared" si="177"/>
        <v>2.7</v>
      </c>
      <c r="AE135" s="272">
        <f t="shared" si="190"/>
        <v>25.3322782174094</v>
      </c>
      <c r="AG135" s="276"/>
      <c r="AH135" s="1">
        <v>2401</v>
      </c>
      <c r="AI135" s="99">
        <f t="shared" si="178"/>
        <v>0.5</v>
      </c>
      <c r="AJ135" s="1">
        <f t="shared" si="191"/>
        <v>1.3</v>
      </c>
      <c r="AK135" s="99">
        <f t="shared" si="201"/>
        <v>4.272</v>
      </c>
      <c r="AL135" s="1">
        <f t="shared" si="179"/>
        <v>2.8</v>
      </c>
      <c r="AM135" s="272">
        <f t="shared" si="192"/>
        <v>27.6279883381924</v>
      </c>
      <c r="AO135" s="276"/>
      <c r="AP135" s="1">
        <v>2401</v>
      </c>
      <c r="AQ135" s="99">
        <f t="shared" si="180"/>
        <v>0.5</v>
      </c>
      <c r="AR135" s="1">
        <f t="shared" si="193"/>
        <v>1.4</v>
      </c>
      <c r="AS135" s="99">
        <f t="shared" si="202"/>
        <v>4.472</v>
      </c>
      <c r="AT135" s="1">
        <f t="shared" si="181"/>
        <v>2.9</v>
      </c>
      <c r="AU135" s="272">
        <f t="shared" si="194"/>
        <v>29.9236984589754</v>
      </c>
      <c r="AV135" s="1"/>
      <c r="AW135" s="276"/>
      <c r="AX135" s="1">
        <v>2401</v>
      </c>
      <c r="AY135" s="1">
        <f t="shared" si="182"/>
        <v>0.5</v>
      </c>
      <c r="AZ135" s="1">
        <f t="shared" si="195"/>
        <v>1.4</v>
      </c>
      <c r="BA135" s="99">
        <f t="shared" si="196"/>
        <v>4.672</v>
      </c>
      <c r="BB135" s="1">
        <f t="shared" si="183"/>
        <v>3</v>
      </c>
      <c r="BC135" s="272">
        <f t="shared" si="197"/>
        <v>32.2194085797584</v>
      </c>
    </row>
    <row r="136" spans="2:55">
      <c r="B136" s="1">
        <v>2601</v>
      </c>
      <c r="C136" s="99">
        <f t="shared" si="171"/>
        <v>0.6</v>
      </c>
      <c r="D136" s="1">
        <v>0.8</v>
      </c>
      <c r="E136" s="99">
        <f t="shared" si="198"/>
        <v>3.784</v>
      </c>
      <c r="F136" s="1">
        <f t="shared" si="172"/>
        <v>2.4</v>
      </c>
      <c r="G136" s="272">
        <f t="shared" si="184"/>
        <v>18.5842368319877</v>
      </c>
      <c r="I136" s="276"/>
      <c r="J136" s="1">
        <v>2601</v>
      </c>
      <c r="K136" s="99">
        <f t="shared" si="173"/>
        <v>0.6</v>
      </c>
      <c r="L136" s="1">
        <v>0.8</v>
      </c>
      <c r="M136" s="99">
        <f t="shared" si="199"/>
        <v>3.884</v>
      </c>
      <c r="N136" s="1">
        <f t="shared" si="174"/>
        <v>2.5</v>
      </c>
      <c r="O136" s="272">
        <f t="shared" si="185"/>
        <v>20.7264898116109</v>
      </c>
      <c r="Q136" s="276"/>
      <c r="R136" s="1">
        <v>2601</v>
      </c>
      <c r="S136" s="99">
        <f t="shared" si="204"/>
        <v>0.6</v>
      </c>
      <c r="T136" s="1">
        <f t="shared" si="186"/>
        <v>1</v>
      </c>
      <c r="U136" s="99">
        <f t="shared" si="200"/>
        <v>3.984</v>
      </c>
      <c r="V136" s="1">
        <f t="shared" si="175"/>
        <v>2.6</v>
      </c>
      <c r="W136" s="272">
        <f t="shared" si="187"/>
        <v>22.8687427912341</v>
      </c>
      <c r="Y136" s="276"/>
      <c r="Z136" s="1">
        <v>2601</v>
      </c>
      <c r="AA136" s="99">
        <f t="shared" si="176"/>
        <v>0.6</v>
      </c>
      <c r="AB136" s="1">
        <f t="shared" si="203"/>
        <v>1.2</v>
      </c>
      <c r="AC136" s="99">
        <f t="shared" si="189"/>
        <v>4.184</v>
      </c>
      <c r="AD136" s="1">
        <f t="shared" si="177"/>
        <v>2.7</v>
      </c>
      <c r="AE136" s="272">
        <f t="shared" si="190"/>
        <v>25.1417147251057</v>
      </c>
      <c r="AG136" s="276"/>
      <c r="AH136" s="1">
        <v>2601</v>
      </c>
      <c r="AI136" s="99">
        <f t="shared" si="178"/>
        <v>0.6</v>
      </c>
      <c r="AJ136" s="1">
        <f t="shared" si="191"/>
        <v>1.3</v>
      </c>
      <c r="AK136" s="99">
        <f t="shared" si="201"/>
        <v>4.384</v>
      </c>
      <c r="AL136" s="1">
        <f t="shared" si="179"/>
        <v>2.8</v>
      </c>
      <c r="AM136" s="272">
        <f t="shared" si="192"/>
        <v>27.4146866589773</v>
      </c>
      <c r="AO136" s="276"/>
      <c r="AP136" s="1">
        <v>2601</v>
      </c>
      <c r="AQ136" s="99">
        <f t="shared" si="180"/>
        <v>0.6</v>
      </c>
      <c r="AR136" s="1">
        <f t="shared" si="193"/>
        <v>1.4</v>
      </c>
      <c r="AS136" s="99">
        <f t="shared" si="202"/>
        <v>4.584</v>
      </c>
      <c r="AT136" s="1">
        <f t="shared" si="181"/>
        <v>2.9</v>
      </c>
      <c r="AU136" s="272">
        <f t="shared" si="194"/>
        <v>29.6876585928489</v>
      </c>
      <c r="AV136" s="1"/>
      <c r="AW136" s="276"/>
      <c r="AX136" s="1">
        <v>2601</v>
      </c>
      <c r="AY136" s="1">
        <f t="shared" si="182"/>
        <v>0.6</v>
      </c>
      <c r="AZ136" s="1">
        <f t="shared" si="195"/>
        <v>1.4</v>
      </c>
      <c r="BA136" s="99">
        <f t="shared" si="196"/>
        <v>4.784</v>
      </c>
      <c r="BB136" s="1">
        <f t="shared" si="183"/>
        <v>3</v>
      </c>
      <c r="BC136" s="272">
        <f t="shared" si="197"/>
        <v>31.9606305267205</v>
      </c>
    </row>
    <row r="137" spans="2:55">
      <c r="B137" s="1">
        <v>2801</v>
      </c>
      <c r="C137" s="99">
        <f t="shared" si="171"/>
        <v>0.6</v>
      </c>
      <c r="D137" s="1">
        <v>0.8</v>
      </c>
      <c r="E137" s="99">
        <f t="shared" si="198"/>
        <v>4.232</v>
      </c>
      <c r="F137" s="1">
        <f t="shared" si="172"/>
        <v>2.4</v>
      </c>
      <c r="G137" s="272">
        <f t="shared" si="184"/>
        <v>18.6579078900393</v>
      </c>
      <c r="I137" s="276"/>
      <c r="J137" s="1">
        <v>2801</v>
      </c>
      <c r="K137" s="99">
        <f t="shared" si="173"/>
        <v>0.6</v>
      </c>
      <c r="L137" s="1">
        <v>0.8</v>
      </c>
      <c r="M137" s="99">
        <f t="shared" si="199"/>
        <v>4.332</v>
      </c>
      <c r="N137" s="1">
        <f t="shared" si="174"/>
        <v>2.5</v>
      </c>
      <c r="O137" s="272">
        <f t="shared" si="185"/>
        <v>20.7900035701535</v>
      </c>
      <c r="Q137" s="276"/>
      <c r="R137" s="1">
        <v>2801</v>
      </c>
      <c r="S137" s="99">
        <f t="shared" si="204"/>
        <v>0.6</v>
      </c>
      <c r="T137" s="1">
        <f t="shared" si="186"/>
        <v>1</v>
      </c>
      <c r="U137" s="99">
        <f t="shared" si="200"/>
        <v>4.432</v>
      </c>
      <c r="V137" s="1">
        <f t="shared" si="175"/>
        <v>2.6</v>
      </c>
      <c r="W137" s="272">
        <f t="shared" si="187"/>
        <v>22.9220992502678</v>
      </c>
      <c r="Y137" s="276"/>
      <c r="Z137" s="1">
        <v>2801</v>
      </c>
      <c r="AA137" s="99">
        <f t="shared" si="176"/>
        <v>0.6</v>
      </c>
      <c r="AB137" s="1">
        <f t="shared" si="203"/>
        <v>1.2</v>
      </c>
      <c r="AC137" s="99">
        <f t="shared" si="189"/>
        <v>4.632</v>
      </c>
      <c r="AD137" s="1">
        <f t="shared" si="177"/>
        <v>2.7</v>
      </c>
      <c r="AE137" s="272">
        <f t="shared" si="190"/>
        <v>25.1755801499464</v>
      </c>
      <c r="AG137" s="276"/>
      <c r="AH137" s="1">
        <v>2801</v>
      </c>
      <c r="AI137" s="99">
        <f t="shared" si="178"/>
        <v>0.6</v>
      </c>
      <c r="AJ137" s="1">
        <f t="shared" si="191"/>
        <v>1.3</v>
      </c>
      <c r="AK137" s="99">
        <f t="shared" si="201"/>
        <v>4.832</v>
      </c>
      <c r="AL137" s="1">
        <f t="shared" si="179"/>
        <v>2.8</v>
      </c>
      <c r="AM137" s="272">
        <f t="shared" si="192"/>
        <v>27.4290610496251</v>
      </c>
      <c r="AO137" s="276"/>
      <c r="AP137" s="1">
        <v>2801</v>
      </c>
      <c r="AQ137" s="99">
        <f t="shared" si="180"/>
        <v>0.6</v>
      </c>
      <c r="AR137" s="1">
        <f t="shared" si="193"/>
        <v>1.4</v>
      </c>
      <c r="AS137" s="99">
        <f t="shared" si="202"/>
        <v>5.032</v>
      </c>
      <c r="AT137" s="1">
        <f t="shared" si="181"/>
        <v>2.9</v>
      </c>
      <c r="AU137" s="272">
        <f t="shared" si="194"/>
        <v>29.6825419493038</v>
      </c>
      <c r="AV137" s="1"/>
      <c r="AW137" s="276"/>
      <c r="AX137" s="1">
        <v>2801</v>
      </c>
      <c r="AY137" s="1">
        <f t="shared" si="182"/>
        <v>0.6</v>
      </c>
      <c r="AZ137" s="1">
        <f t="shared" si="195"/>
        <v>1.4</v>
      </c>
      <c r="BA137" s="99">
        <f t="shared" si="196"/>
        <v>5.232</v>
      </c>
      <c r="BB137" s="1">
        <f t="shared" si="183"/>
        <v>3</v>
      </c>
      <c r="BC137" s="272">
        <f t="shared" si="197"/>
        <v>31.9360228489825</v>
      </c>
    </row>
    <row r="142" spans="2:55">
      <c r="G142" s="1">
        <f>AVERAGE(G3,G25,G49,G72,G95,G118,O3,O26,O49,O72,O95,O118,W3,W26,W49,W72,W95,W118,AE3,AE26,AE49,AE72,AE95,AE118,AM3,AM26,AM49,AM72,AM95,AM118,AU3,AU26,AU49,AU72,AU95,AU118,)</f>
        <v>20.1445280853911</v>
      </c>
    </row>
  </sheetData>
  <pageMargins left="0.75" right="0.75" top="1" bottom="1" header="0.5" footer="0.5"/>
  <pageSetup paperSize="9" orientation="portrait"/>
  <headerFooter/>
  <ignoredErrors>
    <ignoredError sqref="S34 BA54:BA68 BA76:BA90 BA99:BA114 AK122:AK1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8"/>
  <sheetViews>
    <sheetView topLeftCell="C3" workbookViewId="0">
      <selection activeCell="Z9" sqref="Z9"/>
    </sheetView>
  </sheetViews>
  <sheetFormatPr defaultColWidth="9" defaultRowHeight="16.5"/>
  <cols>
    <col min="1" max="1" width="9" style="502"/>
    <col min="2" max="2" width="4.25" style="503" customWidth="1"/>
    <col min="3" max="11" width="11.75" style="502" customWidth="1"/>
    <col min="12" max="12" width="4.875" style="502" customWidth="1"/>
    <col min="13" max="16384" width="9" style="502"/>
  </cols>
  <sheetData>
    <row r="3" ht="45" customHeight="1" spans="2:12">
      <c r="B3" s="504" t="s">
        <v>125</v>
      </c>
      <c r="C3" s="505"/>
      <c r="D3" s="505"/>
      <c r="E3" s="505"/>
      <c r="F3" s="505"/>
      <c r="G3" s="505"/>
      <c r="H3" s="505"/>
      <c r="I3" s="505"/>
      <c r="J3" s="505"/>
      <c r="K3" s="505"/>
      <c r="L3" s="506"/>
    </row>
    <row r="4" ht="23.1" customHeight="1" spans="2:12">
      <c r="B4" s="507"/>
      <c r="C4" s="508"/>
      <c r="D4" s="508"/>
      <c r="E4" s="508"/>
      <c r="F4" s="508"/>
      <c r="G4" s="508"/>
      <c r="H4" s="508"/>
      <c r="I4" s="508"/>
      <c r="J4" s="508"/>
      <c r="K4" s="508"/>
      <c r="L4" s="509"/>
    </row>
    <row r="5" ht="27.95" customHeight="1" spans="2:12">
      <c r="B5" s="507"/>
      <c r="C5" s="510" t="s">
        <v>126</v>
      </c>
      <c r="D5" s="510"/>
      <c r="E5" s="508"/>
      <c r="F5" s="508"/>
      <c r="G5" s="508"/>
      <c r="H5" s="508"/>
      <c r="I5" s="508"/>
      <c r="J5" s="508"/>
      <c r="K5" s="508"/>
      <c r="L5" s="509"/>
    </row>
    <row r="6" ht="30" customHeight="1" spans="2:12">
      <c r="B6" s="511"/>
      <c r="C6" s="512" t="s">
        <v>127</v>
      </c>
      <c r="D6" s="513"/>
      <c r="E6" s="513"/>
      <c r="F6" s="513"/>
      <c r="G6" s="513"/>
      <c r="H6" s="513"/>
      <c r="I6" s="513"/>
      <c r="J6" s="513"/>
      <c r="K6" s="514"/>
      <c r="L6" s="511"/>
    </row>
    <row r="7" ht="30" customHeight="1" spans="2:12">
      <c r="B7" s="511"/>
      <c r="C7" s="515"/>
      <c r="D7" s="289"/>
      <c r="E7" s="289"/>
      <c r="F7" s="289"/>
      <c r="G7" s="289"/>
      <c r="H7" s="289"/>
      <c r="I7" s="289"/>
      <c r="J7" s="289"/>
      <c r="K7" s="516"/>
      <c r="L7" s="511"/>
    </row>
    <row r="8" ht="30" customHeight="1" spans="2:12">
      <c r="B8" s="511"/>
      <c r="C8" s="515"/>
      <c r="D8" s="289"/>
      <c r="E8" s="289"/>
      <c r="F8" s="289"/>
      <c r="G8" s="289"/>
      <c r="H8" s="289"/>
      <c r="I8" s="289"/>
      <c r="J8" s="289"/>
      <c r="K8" s="516"/>
      <c r="L8" s="511"/>
    </row>
    <row r="9" ht="30" customHeight="1" spans="2:12">
      <c r="B9" s="511"/>
      <c r="C9" s="517"/>
      <c r="D9" s="518"/>
      <c r="E9" s="518"/>
      <c r="F9" s="518"/>
      <c r="G9" s="518"/>
      <c r="H9" s="518"/>
      <c r="I9" s="518"/>
      <c r="J9" s="518"/>
      <c r="K9" s="519"/>
      <c r="L9" s="511"/>
    </row>
    <row r="10" ht="24" customHeight="1" spans="2:12">
      <c r="B10" s="507"/>
      <c r="C10" s="520"/>
      <c r="D10" s="520"/>
      <c r="E10" s="520"/>
      <c r="F10" s="520"/>
      <c r="G10" s="520"/>
      <c r="H10" s="520"/>
      <c r="I10" s="520"/>
      <c r="J10" s="520"/>
      <c r="K10" s="520"/>
      <c r="L10" s="521"/>
    </row>
    <row r="11" ht="29.1" customHeight="1" spans="2:12">
      <c r="B11" s="507"/>
      <c r="C11" s="510" t="s">
        <v>128</v>
      </c>
      <c r="D11" s="510"/>
      <c r="E11" s="508"/>
      <c r="F11" s="508"/>
      <c r="G11" s="508"/>
      <c r="H11" s="508"/>
      <c r="I11" s="508"/>
      <c r="J11" s="508"/>
      <c r="K11" s="508"/>
      <c r="L11" s="509"/>
    </row>
    <row r="12" ht="30" customHeight="1" spans="2:12">
      <c r="B12" s="507"/>
      <c r="C12" s="522" t="s">
        <v>129</v>
      </c>
      <c r="D12" s="523" t="s">
        <v>130</v>
      </c>
      <c r="E12" s="523"/>
      <c r="F12" s="523"/>
      <c r="G12" s="523"/>
      <c r="H12" s="523"/>
      <c r="I12" s="523"/>
      <c r="J12" s="523"/>
      <c r="K12" s="523"/>
      <c r="L12" s="509"/>
    </row>
    <row r="13" ht="30" customHeight="1" spans="2:12">
      <c r="B13" s="507"/>
      <c r="C13" s="522" t="s">
        <v>131</v>
      </c>
      <c r="D13" s="523" t="s">
        <v>132</v>
      </c>
      <c r="E13" s="523"/>
      <c r="F13" s="523"/>
      <c r="G13" s="523"/>
      <c r="H13" s="523"/>
      <c r="I13" s="523"/>
      <c r="J13" s="523"/>
      <c r="K13" s="523"/>
      <c r="L13" s="509"/>
    </row>
    <row r="14" ht="30" customHeight="1" spans="2:12">
      <c r="B14" s="507"/>
      <c r="C14" s="522" t="s">
        <v>133</v>
      </c>
      <c r="D14" s="523" t="s">
        <v>134</v>
      </c>
      <c r="E14" s="523"/>
      <c r="F14" s="523"/>
      <c r="G14" s="523"/>
      <c r="H14" s="523"/>
      <c r="I14" s="523"/>
      <c r="J14" s="523"/>
      <c r="K14" s="523"/>
      <c r="L14" s="509"/>
    </row>
    <row r="15" ht="30" customHeight="1" spans="2:12">
      <c r="B15" s="507"/>
      <c r="C15" s="522" t="s">
        <v>135</v>
      </c>
      <c r="D15" s="523" t="s">
        <v>136</v>
      </c>
      <c r="E15" s="523"/>
      <c r="F15" s="523"/>
      <c r="G15" s="523"/>
      <c r="H15" s="523"/>
      <c r="I15" s="523"/>
      <c r="J15" s="523"/>
      <c r="K15" s="523"/>
      <c r="L15" s="509"/>
    </row>
    <row r="16" ht="30" customHeight="1" spans="2:12">
      <c r="B16" s="507"/>
      <c r="C16" s="522" t="s">
        <v>137</v>
      </c>
      <c r="D16" s="523" t="s">
        <v>138</v>
      </c>
      <c r="E16" s="523"/>
      <c r="F16" s="523"/>
      <c r="G16" s="523"/>
      <c r="H16" s="523"/>
      <c r="I16" s="523"/>
      <c r="J16" s="523"/>
      <c r="K16" s="523"/>
      <c r="L16" s="509"/>
    </row>
    <row r="17" ht="30" customHeight="1" spans="2:12">
      <c r="B17" s="507"/>
      <c r="C17" s="522" t="s">
        <v>139</v>
      </c>
      <c r="D17" s="523" t="s">
        <v>140</v>
      </c>
      <c r="E17" s="523"/>
      <c r="F17" s="523"/>
      <c r="G17" s="523"/>
      <c r="H17" s="523"/>
      <c r="I17" s="523"/>
      <c r="J17" s="523"/>
      <c r="K17" s="523"/>
      <c r="L17" s="509"/>
    </row>
    <row r="18" ht="30.95" customHeight="1" spans="2:12">
      <c r="B18" s="524"/>
      <c r="C18" s="525"/>
      <c r="D18" s="525"/>
      <c r="E18" s="525"/>
      <c r="F18" s="525"/>
      <c r="G18" s="525"/>
      <c r="H18" s="525"/>
      <c r="I18" s="525"/>
      <c r="J18" s="525"/>
      <c r="K18" s="525"/>
      <c r="L18" s="521"/>
    </row>
  </sheetData>
  <mergeCells count="16">
    <mergeCell ref="B3:L3"/>
    <mergeCell ref="B4:L4"/>
    <mergeCell ref="C5:D5"/>
    <mergeCell ref="E5:L5"/>
    <mergeCell ref="B10:K10"/>
    <mergeCell ref="C11:D11"/>
    <mergeCell ref="D12:K12"/>
    <mergeCell ref="D13:K13"/>
    <mergeCell ref="D14:K14"/>
    <mergeCell ref="D15:K15"/>
    <mergeCell ref="D16:K16"/>
    <mergeCell ref="D17:K17"/>
    <mergeCell ref="B18:K18"/>
    <mergeCell ref="B5:B9"/>
    <mergeCell ref="L6:L18"/>
    <mergeCell ref="C6:K9"/>
  </mergeCells>
  <hyperlinks>
    <hyperlink ref="D12:K12" location="'①【国内】研究资源成本估算 (v1.0)'!A1" display="【国内】研究资源成本估算"/>
    <hyperlink ref="D13:K13" location="'②【海外】研究资源成本估算 (v1.0)'!A1" display="【海外】研究资源成本估算"/>
    <hyperlink ref="D14:K14" location="'③【国内】常规用户招募-难度等级评估'!A1" display="【国内】常规用户招募-难度等级评估"/>
    <hyperlink ref="D15:K15" location="'④【国内】特殊&amp;小众用户招募-难度等级评估'!A1" display="【国内】特殊&amp;小众用户招募-难度等级评估"/>
    <hyperlink ref="D16:K16" location="'⑤【国内】问卷调研-难度等级评估'!A1" display="【国内】问卷调研-难度等级评估"/>
    <hyperlink ref="D17:K17" location="⑥【概览】发包相关费用标准!A1" display="【概览】发包相关费用标准"/>
  </hyperlink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1:O21"/>
  <sheetViews>
    <sheetView workbookViewId="0">
      <selection activeCell="G36" sqref="G36"/>
    </sheetView>
  </sheetViews>
  <sheetFormatPr defaultColWidth="9" defaultRowHeight="13.5"/>
  <sheetData>
    <row r="11" spans="14:15">
      <c r="N11" t="s">
        <v>8</v>
      </c>
      <c r="O11">
        <v>7200</v>
      </c>
    </row>
    <row r="12" spans="14:15">
      <c r="N12" t="s">
        <v>9</v>
      </c>
      <c r="O12">
        <v>3000</v>
      </c>
    </row>
    <row r="13" spans="14:15">
      <c r="N13" t="s">
        <v>10</v>
      </c>
      <c r="O13">
        <v>1300</v>
      </c>
    </row>
    <row r="14" spans="14:15">
      <c r="N14" t="s">
        <v>103</v>
      </c>
      <c r="O14">
        <v>300</v>
      </c>
    </row>
    <row r="21" spans="13:13">
      <c r="M21" t="s">
        <v>141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showGridLines="0" tabSelected="1" topLeftCell="A32" workbookViewId="0">
      <selection activeCell="G36" sqref="G36"/>
    </sheetView>
  </sheetViews>
  <sheetFormatPr defaultColWidth="9" defaultRowHeight="16.5"/>
  <cols>
    <col min="1" max="1" width="13.25" style="1" customWidth="1"/>
    <col min="2" max="2" width="20" style="1" customWidth="1"/>
    <col min="3" max="3" width="26.5" style="1" customWidth="1"/>
    <col min="4" max="4" width="10.75" style="1" customWidth="1"/>
    <col min="5" max="5" width="23.625" style="1" customWidth="1"/>
    <col min="6" max="6" width="12.25" style="1" customWidth="1"/>
    <col min="7" max="7" width="14.75" style="1" customWidth="1"/>
    <col min="8" max="8" width="11.875" style="1" customWidth="1"/>
    <col min="9" max="9" width="17.125" style="1" customWidth="1"/>
    <col min="10" max="10" width="11.625" style="1" customWidth="1"/>
    <col min="11" max="11" width="16.375" style="99" customWidth="1"/>
    <col min="12" max="12" width="11.875" style="99" customWidth="1"/>
    <col min="13" max="13" width="15" style="99" customWidth="1"/>
    <col min="14" max="14" width="11.875" style="99" customWidth="1"/>
    <col min="15" max="15" width="14" style="99" customWidth="1"/>
    <col min="16" max="16" width="11.875" style="99" customWidth="1"/>
    <col min="17" max="22" width="11.875" style="99" hidden="1" customWidth="1"/>
    <col min="23" max="24" width="11.875" style="99" customWidth="1"/>
    <col min="25" max="26" width="12.625" style="1" customWidth="1"/>
    <col min="27" max="27" width="14.5" style="1" hidden="1" customWidth="1"/>
    <col min="28" max="28" width="9" style="1" hidden="1" customWidth="1"/>
    <col min="29" max="16384" width="9" style="1"/>
  </cols>
  <sheetData>
    <row r="1" ht="35.1" customHeight="1" spans="1:28">
      <c r="A1" s="3" t="s">
        <v>142</v>
      </c>
      <c r="B1" s="3"/>
    </row>
    <row r="2" ht="51" customHeight="1" spans="1:28">
      <c r="A2" s="284"/>
      <c r="B2" s="200" t="s">
        <v>143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32" customHeight="1" spans="1:28">
      <c r="A3" s="202" t="s">
        <v>144</v>
      </c>
      <c r="B3" s="457" t="s">
        <v>145</v>
      </c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</row>
    <row r="4" customFormat="1" ht="27" customHeight="1" spans="1:28">
      <c r="A4" s="202"/>
      <c r="B4" s="459" t="s">
        <v>146</v>
      </c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1"/>
      <c r="Y4" s="462"/>
      <c r="Z4" s="462"/>
    </row>
    <row r="5" customFormat="1" ht="27" customHeight="1" spans="1:28">
      <c r="A5" s="202"/>
      <c r="B5" s="459" t="s">
        <v>147</v>
      </c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P5" s="460"/>
      <c r="Q5" s="460"/>
      <c r="R5" s="460"/>
      <c r="S5" s="460"/>
      <c r="T5" s="460"/>
      <c r="U5" s="460"/>
      <c r="V5" s="460"/>
      <c r="W5" s="460"/>
      <c r="X5" s="461"/>
      <c r="Y5" s="462"/>
      <c r="Z5" s="462"/>
    </row>
    <row r="6" ht="48" customHeight="1" spans="1:28">
      <c r="A6" s="463" t="s">
        <v>148</v>
      </c>
      <c r="B6" s="463" t="s">
        <v>149</v>
      </c>
      <c r="C6" s="463" t="s">
        <v>150</v>
      </c>
      <c r="D6" s="463" t="s">
        <v>151</v>
      </c>
      <c r="E6" s="463"/>
      <c r="F6" s="464" t="s">
        <v>152</v>
      </c>
      <c r="G6" s="464"/>
      <c r="H6" s="464" t="s">
        <v>153</v>
      </c>
      <c r="I6" s="464" t="s">
        <v>154</v>
      </c>
      <c r="J6" s="464"/>
      <c r="K6" s="465" t="s">
        <v>155</v>
      </c>
      <c r="L6" s="465" t="s">
        <v>8</v>
      </c>
      <c r="M6" s="465" t="s">
        <v>9</v>
      </c>
      <c r="N6" s="465" t="s">
        <v>10</v>
      </c>
      <c r="O6" s="465" t="s">
        <v>103</v>
      </c>
      <c r="P6" s="466" t="s">
        <v>156</v>
      </c>
      <c r="Q6" s="465" t="s">
        <v>8</v>
      </c>
      <c r="R6" s="465" t="s">
        <v>9</v>
      </c>
      <c r="S6" s="465" t="s">
        <v>10</v>
      </c>
      <c r="T6" s="465" t="s">
        <v>103</v>
      </c>
      <c r="U6" s="467"/>
      <c r="V6" s="467"/>
      <c r="W6" s="466" t="s">
        <v>157</v>
      </c>
      <c r="X6" s="466" t="s">
        <v>158</v>
      </c>
      <c r="Y6" s="230" t="s">
        <v>159</v>
      </c>
      <c r="Z6" s="466" t="s">
        <v>160</v>
      </c>
      <c r="AA6" s="468" t="s">
        <v>156</v>
      </c>
    </row>
    <row r="7" ht="36" customHeight="1" spans="1:28">
      <c r="A7" s="220" t="s">
        <v>161</v>
      </c>
      <c r="B7" s="469" t="s">
        <v>162</v>
      </c>
      <c r="C7" s="470" t="s">
        <v>163</v>
      </c>
      <c r="D7" s="471" t="s">
        <v>164</v>
      </c>
      <c r="E7" s="472" t="s">
        <v>4</v>
      </c>
      <c r="F7" s="471" t="s">
        <v>165</v>
      </c>
      <c r="G7" s="473">
        <v>3</v>
      </c>
      <c r="H7" s="474" t="s">
        <v>166</v>
      </c>
      <c r="I7" s="471" t="s">
        <v>167</v>
      </c>
      <c r="J7" s="473">
        <v>50</v>
      </c>
      <c r="K7" s="213">
        <f>IF(G7&lt;2,0.8,IF(G7&lt;=4,1,IF(AND(G7&gt;4,G7&lt;6),1.05,1.08)))</f>
        <v>1</v>
      </c>
      <c r="L7" s="213">
        <f ca="1">Q7*K7</f>
        <v>1.04</v>
      </c>
      <c r="M7" s="213">
        <f ca="1">R7*K7</f>
        <v>3.6</v>
      </c>
      <c r="N7" s="213">
        <f ca="1">S7*K7</f>
        <v>5.225</v>
      </c>
      <c r="O7" s="213">
        <f ca="1">T7*K7</f>
        <v>9.48</v>
      </c>
      <c r="P7" s="213">
        <f ca="1">AA7</f>
        <v>549.8</v>
      </c>
      <c r="Q7" s="475" cm="1">
        <f ca="1" t="array" ref="Q7">LOOKUP(1,0/(('【国内】用户招募成本估算（完整版）'!$D$4:$D$82=H7)*('【国内】用户招募成本估算（完整版）'!$E$4:$E$82=E7)*('【国内】用户招募成本估算（完整版）'!$C$4:$C$82=C7)*('【国内】用户招募成本估算（完整版）'!$B$4:$B$82=$B$7)),'【国内】用户招募成本估算（完整版）'!$H$4:$H$82)</f>
        <v>1.04</v>
      </c>
      <c r="R7" s="213" cm="1">
        <f ca="1" t="array" ref="R7">LOOKUP(1,0/(('【国内】用户招募成本估算（完整版）'!$D$4:$D$82=H7)*('【国内】用户招募成本估算（完整版）'!$E$4:$E$82=E7)*('【国内】用户招募成本估算（完整版）'!$C$4:$C$82=C7)*('【国内】用户招募成本估算（完整版）'!$B$4:$B$82=$B$7)),'【国内】用户招募成本估算（完整版）'!$I$4:$I$82)</f>
        <v>3.6</v>
      </c>
      <c r="S7" s="213" cm="1">
        <f ca="1" t="array" ref="S7">LOOKUP(1,0/(('【国内】用户招募成本估算（完整版）'!$D$4:$D$82=H7)*('【国内】用户招募成本估算（完整版）'!$E$4:$E$82=E7)*('【国内】用户招募成本估算（完整版）'!$C$4:$C$82=C7)*('【国内】用户招募成本估算（完整版）'!$B$4:$B$82=$B$7)),'【国内】用户招募成本估算（完整版）'!$J$4:$J$82)</f>
        <v>5.225</v>
      </c>
      <c r="T7" s="213" cm="1">
        <f ca="1" t="array" ref="T7">LOOKUP(1,0/(('【国内】用户招募成本估算（完整版）'!$D$4:$D$82=H7)*('【国内】用户招募成本估算（完整版）'!$E$4:$E$82=E7)*('【国内】用户招募成本估算（完整版）'!$C$4:$C$82=C7)*('【国内】用户招募成本估算（完整版）'!$B$4:$B$82=$B$7)),'【国内】用户招募成本估算（完整版）'!$K$4:$K$82)</f>
        <v>9.48</v>
      </c>
      <c r="U7" s="467"/>
      <c r="V7" s="467"/>
      <c r="W7" s="213">
        <f ca="1">L7+M7+N7+O7</f>
        <v>19.345</v>
      </c>
      <c r="X7" s="213">
        <f>IF($E$7="一级难度",'【国内】用户招募成本估算（完整版）'!M4,IF($E$7="二级难度",'【国内】用户招募成本估算（完整版）'!M5,IF($E$7="三级难度",'【国内】用户招募成本估算（完整版）'!M6,IF($E$7="四级难度",'【国内】用户招募成本估算（完整版）'!M7,IF($E$7="五级难度",'【国内】用户招募成本估算（完整版）'!M8,IF($E$7="六级难度",'【国内】用户招募成本估算（完整版）'!#REF!))))))</f>
        <v>15000</v>
      </c>
      <c r="Y7" s="213">
        <f>IF($E$7="一级难度",'【国内】用户招募成本估算（完整版）'!N4,IF($E$7="二级难度",'【国内】用户招募成本估算（完整版）'!N5,IF($E$7="三级难度",'【国内】用户招募成本估算（完整版）'!N6,IF($E$7="四级难度",'【国内】用户招募成本估算（完整版）'!N7,IF($E$7="五级难度",'【国内】用户招募成本估算（完整版）'!N8,IF($E$7="六级难度",'【国内】用户招募成本估算（完整版）'!#REF!))))))</f>
        <v>2500</v>
      </c>
      <c r="Z7" s="213">
        <f t="shared" ref="Z7:Z11" si="0">J7*20</f>
        <v>1000</v>
      </c>
      <c r="AA7" s="1">
        <f ca="1">(L7*5900+M7*3400+N7*1200+O7*300)/J7</f>
        <v>549.8</v>
      </c>
      <c r="AB7" s="1">
        <f ca="1">P7*J7</f>
        <v>27490</v>
      </c>
    </row>
    <row r="8" ht="36" customHeight="1" spans="1:28">
      <c r="A8" s="220" t="s">
        <v>168</v>
      </c>
      <c r="B8" s="469"/>
      <c r="C8" s="470" t="s">
        <v>169</v>
      </c>
      <c r="D8" s="471"/>
      <c r="E8" s="472" t="s">
        <v>4</v>
      </c>
      <c r="F8" s="471"/>
      <c r="G8" s="473">
        <v>1.5</v>
      </c>
      <c r="H8" s="474" t="s">
        <v>170</v>
      </c>
      <c r="I8" s="471"/>
      <c r="J8" s="473">
        <v>10</v>
      </c>
      <c r="K8" s="213">
        <f>IF(G8&lt;2,0.8,IF(G8&lt;=4,1,IF(AND(G8&gt;4,G8&lt;6),1.05,1.08)))</f>
        <v>0.8</v>
      </c>
      <c r="L8" s="213">
        <f ca="1">Q8*K8</f>
        <v>0</v>
      </c>
      <c r="M8" s="213">
        <f ca="1">R8*K8</f>
        <v>0</v>
      </c>
      <c r="N8" s="213">
        <f ca="1">S8*K8</f>
        <v>3.4048</v>
      </c>
      <c r="O8" s="213">
        <f ca="1">T8*K8</f>
        <v>2.72</v>
      </c>
      <c r="P8" s="213">
        <f ca="1" t="shared" ref="P8:P16" si="1">AA8</f>
        <v>490.176</v>
      </c>
      <c r="Q8" s="475" cm="1">
        <f ca="1" t="array" ref="Q8">LOOKUP(1,0/(('【国内】用户招募成本估算（完整版）'!$D$4:$D$82=H8)*('【国内】用户招募成本估算（完整版）'!$E$4:$E$82=E8)*('【国内】用户招募成本估算（完整版）'!$C$4:$C$82=C8)*('【国内】用户招募成本估算（完整版）'!$B$4:$B$82=$B$7)),'【国内】用户招募成本估算（完整版）'!$H$4:$H$82)</f>
        <v>0</v>
      </c>
      <c r="R8" s="213" cm="1">
        <f ca="1" t="array" ref="R8">LOOKUP(1,0/(('【国内】用户招募成本估算（完整版）'!$D$4:$D$82=H8)*('【国内】用户招募成本估算（完整版）'!$E$4:$E$82=E8)*('【国内】用户招募成本估算（完整版）'!$C$4:$C$82=C8)*('【国内】用户招募成本估算（完整版）'!$B$4:$B$82=$B$7)),'【国内】用户招募成本估算（完整版）'!$I$4:$I$82)</f>
        <v>0</v>
      </c>
      <c r="S8" s="213" cm="1">
        <f ca="1" t="array" ref="S8">LOOKUP(1,0/(('【国内】用户招募成本估算（完整版）'!$D$4:$D$82=H8)*('【国内】用户招募成本估算（完整版）'!$E$4:$E$82=E8)*('【国内】用户招募成本估算（完整版）'!$C$4:$C$82=C8)*('【国内】用户招募成本估算（完整版）'!$B$4:$B$82=$B$7)),'【国内】用户招募成本估算（完整版）'!$J$4:$J$82)</f>
        <v>4.256</v>
      </c>
      <c r="T8" s="213" cm="1">
        <f ca="1" t="array" ref="T8">LOOKUP(1,0/(('【国内】用户招募成本估算（完整版）'!$D$4:$D$82=H8)*('【国内】用户招募成本估算（完整版）'!$E$4:$E$82=E8)*('【国内】用户招募成本估算（完整版）'!$C$4:$C$82=C8)*('【国内】用户招募成本估算（完整版）'!$B$4:$B$82=$B$7)),'【国内】用户招募成本估算（完整版）'!$K$4:$K$82)</f>
        <v>3.4</v>
      </c>
      <c r="U8" s="467"/>
      <c r="V8" s="467"/>
      <c r="W8" s="213">
        <f ca="1" t="shared" ref="W8:W16" si="2">L8+M8+N8+O8</f>
        <v>6.1248</v>
      </c>
      <c r="X8" s="213">
        <f>IF($E$8="一级难度",'【国内】用户招募成本估算（完整版）'!M19,IF($E$8="二级难度",'【国内】用户招募成本估算（完整版）'!M20,IF($E$8="三级难度",'【国内】用户招募成本估算（完整版）'!M21,IF($E$8="四级难度",'【国内】用户招募成本估算（完整版）'!M22,IF($E$8="五级难度",'【国内】用户招募成本估算（完整版）'!M23,IF($E$8="六级难度",'【国内】用户招募成本估算（完整版）'!#REF!))))))</f>
        <v>3000</v>
      </c>
      <c r="Y8" s="213">
        <f>IF($E$8="一级难度",'【国内】用户招募成本估算（完整版）'!N19,IF($E$8="二级难度",'【国内】用户招募成本估算（完整版）'!N20,IF($E$8="三级难度",'【国内】用户招募成本估算（完整版）'!N21,IF($E$8="四级难度",'【国内】用户招募成本估算（完整版）'!N22,IF($E$8="五级难度",'【国内】用户招募成本估算（完整版）'!N23,IF($E$8="六级难度",'【国内】用户招募成本估算（完整版）'!#REF!))))))</f>
        <v>600</v>
      </c>
      <c r="Z8" s="213">
        <f t="shared" si="0"/>
        <v>200</v>
      </c>
      <c r="AA8" s="1">
        <f ca="1" t="shared" ref="AA8:AA16" si="3">(L8*5900+M8*3400+N8*1200+O8*300)/J8</f>
        <v>490.176</v>
      </c>
    </row>
    <row r="9" ht="36" customHeight="1" spans="1:28">
      <c r="A9" s="220" t="s">
        <v>171</v>
      </c>
      <c r="B9" s="469"/>
      <c r="C9" s="470" t="s">
        <v>172</v>
      </c>
      <c r="D9" s="471"/>
      <c r="E9" s="472" t="s">
        <v>4</v>
      </c>
      <c r="F9" s="471"/>
      <c r="G9" s="473">
        <v>3</v>
      </c>
      <c r="H9" s="474" t="s">
        <v>30</v>
      </c>
      <c r="I9" s="471"/>
      <c r="J9" s="473">
        <v>20</v>
      </c>
      <c r="K9" s="476">
        <v>1</v>
      </c>
      <c r="L9" s="213">
        <f ca="1">Q9*K9</f>
        <v>0.22</v>
      </c>
      <c r="M9" s="213">
        <f ca="1">R9*K9</f>
        <v>2.99</v>
      </c>
      <c r="N9" s="213">
        <f ca="1">S9*K9</f>
        <v>0</v>
      </c>
      <c r="O9" s="213">
        <f ca="1">T9*K9</f>
        <v>3.3</v>
      </c>
      <c r="P9" s="213">
        <f ca="1" t="shared" si="1"/>
        <v>622.7</v>
      </c>
      <c r="Q9" s="475" cm="1">
        <f ca="1" t="array" ref="Q9">LOOKUP(1,0/(('【国内】用户招募成本估算（完整版）'!$D$4:$D$82=H9)*('【国内】用户招募成本估算（完整版）'!$E$4:$E$82=E9)*('【国内】用户招募成本估算（完整版）'!$C$4:$C$82=C9)*('【国内】用户招募成本估算（完整版）'!$B$4:$B$82=$B$7)),'【国内】用户招募成本估算（完整版）'!$H$4:$H$82)</f>
        <v>0.22</v>
      </c>
      <c r="R9" s="213" cm="1">
        <f ca="1" t="array" ref="R9">LOOKUP(1,0/(('【国内】用户招募成本估算（完整版）'!$D$4:$D$82=H9)*('【国内】用户招募成本估算（完整版）'!$E$4:$E$82=E9)*('【国内】用户招募成本估算（完整版）'!$C$4:$C$82=C9)*('【国内】用户招募成本估算（完整版）'!$B$4:$B$82=$B$7)),'【国内】用户招募成本估算（完整版）'!$I$4:$I$82)</f>
        <v>2.99</v>
      </c>
      <c r="S9" s="213" cm="1">
        <f ca="1" t="array" ref="S9">LOOKUP(1,0/(('【国内】用户招募成本估算（完整版）'!$D$4:$D$82=H9)*('【国内】用户招募成本估算（完整版）'!$E$4:$E$82=E9)*('【国内】用户招募成本估算（完整版）'!$C$4:$C$82=C9)*('【国内】用户招募成本估算（完整版）'!$B$4:$B$82=$B$7)),'【国内】用户招募成本估算（完整版）'!$J$4:$J$82)</f>
        <v>0</v>
      </c>
      <c r="T9" s="213" cm="1">
        <f ca="1" t="array" ref="T9">LOOKUP(1,0/(('【国内】用户招募成本估算（完整版）'!$D$4:$D$82=H9)*('【国内】用户招募成本估算（完整版）'!$E$4:$E$82=E9)*('【国内】用户招募成本估算（完整版）'!$C$4:$C$82=C9)*('【国内】用户招募成本估算（完整版）'!$B$4:$B$82=$B$7)),'【国内】用户招募成本估算（完整版）'!$K$4:$K$82)</f>
        <v>3.3</v>
      </c>
      <c r="U9" s="467"/>
      <c r="V9" s="467"/>
      <c r="W9" s="213">
        <f ca="1" t="shared" si="2"/>
        <v>6.51</v>
      </c>
      <c r="X9" s="213">
        <f>IF($E$9="一级难度",'【国内】用户招募成本估算（完整版）'!M34,IF($E$9="二级难度",'【国内】用户招募成本估算（完整版）'!M35,IF($E$9="三级难度",'【国内】用户招募成本估算（完整版）'!M36,IF($E$9="四级难度",'【国内】用户招募成本估算（完整版）'!M37,IF($E$9="五级难度",'【国内】用户招募成本估算（完整版）'!M38,IF($E$9="六级难度",'【国内】用户招募成本估算（完整版）'!#REF!))))))</f>
        <v>6000</v>
      </c>
      <c r="Y9" s="213">
        <f>IF($E$9="一级难度",'【国内】用户招募成本估算（完整版）'!N34,IF($E$9="二级难度",'【国内】用户招募成本估算（完整版）'!N35,IF($E$9="三级难度",'【国内】用户招募成本估算（完整版）'!N36,IF($E$9="四级难度",'【国内】用户招募成本估算（完整版）'!N37,IF($E$9="五级难度",'【国内】用户招募成本估算（完整版）'!N38,IF($E$9="六级难度",'【国内】用户招募成本估算（完整版）'!#REF!))))))</f>
        <v>2000</v>
      </c>
      <c r="Z9" s="213">
        <f t="shared" si="0"/>
        <v>400</v>
      </c>
      <c r="AA9" s="1">
        <f ca="1" t="shared" si="3"/>
        <v>622.7</v>
      </c>
    </row>
    <row r="10" ht="36" customHeight="1" spans="1:28">
      <c r="A10" s="220" t="s">
        <v>173</v>
      </c>
      <c r="B10" s="469"/>
      <c r="C10" s="470" t="s">
        <v>174</v>
      </c>
      <c r="D10" s="471"/>
      <c r="E10" s="472" t="s">
        <v>4</v>
      </c>
      <c r="F10" s="471"/>
      <c r="G10" s="473">
        <v>2</v>
      </c>
      <c r="H10" s="474" t="s">
        <v>30</v>
      </c>
      <c r="I10" s="471"/>
      <c r="J10" s="473">
        <v>20</v>
      </c>
      <c r="K10" s="476">
        <v>1</v>
      </c>
      <c r="L10" s="213">
        <f ca="1">Q10*K10</f>
        <v>0.22</v>
      </c>
      <c r="M10" s="213">
        <f ca="1">R10*K10</f>
        <v>3.12</v>
      </c>
      <c r="N10" s="213">
        <f ca="1">S10*K10</f>
        <v>0</v>
      </c>
      <c r="O10" s="213">
        <f ca="1">T10*K10</f>
        <v>3.9</v>
      </c>
      <c r="P10" s="213">
        <f ca="1" t="shared" si="1"/>
        <v>653.8</v>
      </c>
      <c r="Q10" s="475" cm="1">
        <f ca="1" t="array" ref="Q10">LOOKUP(1,0/(('【国内】用户招募成本估算（完整版）'!$D$4:$D$82=H10)*('【国内】用户招募成本估算（完整版）'!$E$4:$E$82=E10)*('【国内】用户招募成本估算（完整版）'!$C$4:$C$82=C10)*('【国内】用户招募成本估算（完整版）'!$B$4:$B$82=$B$7)),'【国内】用户招募成本估算（完整版）'!$H$4:$H$82)</f>
        <v>0.22</v>
      </c>
      <c r="R10" s="213" cm="1">
        <f ca="1" t="array" ref="R10">LOOKUP(1,0/(('【国内】用户招募成本估算（完整版）'!$D$4:$D$82=H10)*('【国内】用户招募成本估算（完整版）'!$E$4:$E$82=E10)*('【国内】用户招募成本估算（完整版）'!$C$4:$C$82=C10)*('【国内】用户招募成本估算（完整版）'!$B$4:$B$82=$B$7)),'【国内】用户招募成本估算（完整版）'!$I$4:$I$82)</f>
        <v>3.12</v>
      </c>
      <c r="S10" s="213" cm="1">
        <f ca="1" t="array" ref="S10">LOOKUP(1,0/(('【国内】用户招募成本估算（完整版）'!$D$4:$D$82=H10)*('【国内】用户招募成本估算（完整版）'!$E$4:$E$82=E10)*('【国内】用户招募成本估算（完整版）'!$C$4:$C$82=C10)*('【国内】用户招募成本估算（完整版）'!$B$4:$B$82=$B$7)),'【国内】用户招募成本估算（完整版）'!$J$4:$J$82)</f>
        <v>0</v>
      </c>
      <c r="T10" s="213" cm="1">
        <f ca="1" t="array" ref="T10">LOOKUP(1,0/(('【国内】用户招募成本估算（完整版）'!$D$4:$D$82=H10)*('【国内】用户招募成本估算（完整版）'!$E$4:$E$82=E10)*('【国内】用户招募成本估算（完整版）'!$C$4:$C$82=C10)*('【国内】用户招募成本估算（完整版）'!$B$4:$B$82=$B$7)),'【国内】用户招募成本估算（完整版）'!$K$4:$K$82)</f>
        <v>3.9</v>
      </c>
      <c r="U10" s="467"/>
      <c r="V10" s="467"/>
      <c r="W10" s="213">
        <f ca="1" t="shared" si="2"/>
        <v>7.24</v>
      </c>
      <c r="X10" s="213">
        <f>IF($E$10="一级难度",'【国内】用户招募成本估算（完整版）'!M49,IF($E$10="二级难度",'【国内】用户招募成本估算（完整版）'!M50,IF($E$10="三级难度",'【国内】用户招募成本估算（完整版）'!M51,IF($E$10="四级难度",'【国内】用户招募成本估算（完整版）'!M52,IF($E$10="五级难度",'【国内】用户招募成本估算（完整版）'!M53,IF($E$10="六级难度",'【国内】用户招募成本估算（完整版）'!#REF!))))))</f>
        <v>6000</v>
      </c>
      <c r="Y10" s="213">
        <f>IF($E$10="一级难度",'【国内】用户招募成本估算（完整版）'!N49,IF($E$10="二级难度",'【国内】用户招募成本估算（完整版）'!N50,IF($E$10="三级难度",'【国内】用户招募成本估算（完整版）'!N51,IF($E$10="四级难度",'【国内】用户招募成本估算（完整版）'!N52,IF($E$10="五级难度",'【国内】用户招募成本估算（完整版）'!N53,IF($E$10="六级难度",'【国内】用户招募成本估算（完整版）'!#REF!))))))</f>
        <v>3000</v>
      </c>
      <c r="Z10" s="213">
        <f t="shared" si="0"/>
        <v>400</v>
      </c>
      <c r="AA10" s="1">
        <f ca="1" t="shared" si="3"/>
        <v>653.8</v>
      </c>
    </row>
    <row r="11" ht="36" customHeight="1" spans="1:28">
      <c r="A11" s="220" t="s">
        <v>175</v>
      </c>
      <c r="B11" s="469"/>
      <c r="C11" s="470" t="s">
        <v>176</v>
      </c>
      <c r="D11" s="471"/>
      <c r="E11" s="472" t="s">
        <v>5</v>
      </c>
      <c r="F11" s="471"/>
      <c r="G11" s="473">
        <v>1.5</v>
      </c>
      <c r="H11" s="474" t="s">
        <v>166</v>
      </c>
      <c r="I11" s="471"/>
      <c r="J11" s="473">
        <v>30</v>
      </c>
      <c r="K11" s="213">
        <f>IF(G11&lt;2,0.8,IF(G11&lt;=4,1,IF(AND(G11&gt;4,G11&lt;6),1.05,1.08)))</f>
        <v>0.8</v>
      </c>
      <c r="L11" s="213">
        <f ca="1">Q11*K11</f>
        <v>0.416</v>
      </c>
      <c r="M11" s="213">
        <f ca="1">R11*K11</f>
        <v>1.6512</v>
      </c>
      <c r="N11" s="213">
        <f ca="1">S11*K11</f>
        <v>2.58805333333333</v>
      </c>
      <c r="O11" s="213">
        <f ca="1">T11*K11</f>
        <v>3.17952</v>
      </c>
      <c r="P11" s="213">
        <f ca="1" t="shared" si="1"/>
        <v>404.266666666667</v>
      </c>
      <c r="Q11" s="475" cm="1">
        <f ca="1" t="array" ref="Q11">LOOKUP(1,0/(('【国内】用户招募成本估算（完整版）'!$D$4:$D$82=H11)*('【国内】用户招募成本估算（完整版）'!$E$4:$E$82=E11)*('【国内】用户招募成本估算（完整版）'!$C$4:$C$82=C11)*('【国内】用户招募成本估算（完整版）'!$B$4:$B$82=$B$7)),'【国内】用户招募成本估算（完整版）'!$H$4:$H$82)</f>
        <v>0.52</v>
      </c>
      <c r="R11" s="213" cm="1">
        <f ca="1" t="array" ref="R11">LOOKUP(1,0/(('【国内】用户招募成本估算（完整版）'!$D$4:$D$82=H11)*('【国内】用户招募成本估算（完整版）'!$E$4:$E$82=E11)*('【国内】用户招募成本估算（完整版）'!$C$4:$C$82=C11)*('【国内】用户招募成本估算（完整版）'!$B$4:$B$82=$B$7)),'【国内】用户招募成本估算（完整版）'!$I$4:$I$82)</f>
        <v>2.064</v>
      </c>
      <c r="S11" s="213" cm="1">
        <f ca="1" t="array" ref="S11">LOOKUP(1,0/(('【国内】用户招募成本估算（完整版）'!$D$4:$D$82=H11)*('【国内】用户招募成本估算（完整版）'!$E$4:$E$82=E11)*('【国内】用户招募成本估算（完整版）'!$C$4:$C$82=C11)*('【国内】用户招募成本估算（完整版）'!$B$4:$B$82=$B$7)),'【国内】用户招募成本估算（完整版）'!$J$4:$J$82)</f>
        <v>3.23506666666666</v>
      </c>
      <c r="T11" s="213" cm="1">
        <f ca="1" t="array" ref="T11">LOOKUP(1,0/(('【国内】用户招募成本估算（完整版）'!$D$4:$D$82=H11)*('【国内】用户招募成本估算（完整版）'!$E$4:$E$82=E11)*('【国内】用户招募成本估算（完整版）'!$C$4:$C$82=C11)*('【国内】用户招募成本估算（完整版）'!$B$4:$B$82=$B$7)),'【国内】用户招募成本估算（完整版）'!$K$4:$K$82)</f>
        <v>3.9744</v>
      </c>
      <c r="U11" s="467"/>
      <c r="V11" s="467"/>
      <c r="W11" s="213">
        <f ca="1" t="shared" si="2"/>
        <v>7.83477333333333</v>
      </c>
      <c r="X11" s="213">
        <f>IF($E$11="一级难度",'【国内】用户招募成本估算（完整版）'!M64,IF($E$11="二级难度",'【国内】用户招募成本估算（完整版）'!M65,IF($E$11="三级难度",'【国内】用户招募成本估算（完整版）'!M66,IF($E$11="四级难度",'【国内】用户招募成本估算（完整版）'!M67,IF($E$11="五级难度",'【国内】用户招募成本估算（完整版）'!M68,IF($E$11="六级难度",'【国内】用户招募成本估算（完整版）'!#REF!))))))</f>
        <v>3600</v>
      </c>
      <c r="Y11" s="213">
        <f>IF($E$11="一级难度",'【国内】用户招募成本估算（完整版）'!N64,IF($E$11="二级难度",'【国内】用户招募成本估算（完整版）'!N65,IF($E$11="三级难度",'【国内】用户招募成本估算（完整版）'!N66,IF($E$11="四级难度",'【国内】用户招募成本估算（完整版）'!N67,IF($E$11="五级难度",'【国内】用户招募成本估算（完整版）'!N68,IF($E$11="六级难度",'【国内】用户招募成本估算（完整版）'!#REF!))))))</f>
        <v>1500</v>
      </c>
      <c r="Z11" s="213">
        <f t="shared" si="0"/>
        <v>600</v>
      </c>
      <c r="AA11" s="1">
        <f ca="1" t="shared" si="3"/>
        <v>404.266666666667</v>
      </c>
    </row>
    <row r="12" ht="36" customHeight="1" spans="1:28">
      <c r="A12" s="220" t="s">
        <v>177</v>
      </c>
      <c r="B12" s="469"/>
      <c r="C12" s="470" t="s">
        <v>178</v>
      </c>
      <c r="D12" s="471"/>
      <c r="E12" s="473" t="s">
        <v>179</v>
      </c>
      <c r="F12" s="471"/>
      <c r="G12" s="473" t="s">
        <v>180</v>
      </c>
      <c r="H12" s="474" t="s">
        <v>166</v>
      </c>
      <c r="I12" s="471"/>
      <c r="J12" s="473">
        <v>100</v>
      </c>
      <c r="K12" s="213" t="s">
        <v>181</v>
      </c>
      <c r="L12" s="213">
        <f>Q12</f>
        <v>0.77</v>
      </c>
      <c r="M12" s="213">
        <f>R12</f>
        <v>3.4</v>
      </c>
      <c r="N12" s="213">
        <f>S12</f>
        <v>6.375</v>
      </c>
      <c r="O12" s="213">
        <f>T12</f>
        <v>6.8</v>
      </c>
      <c r="P12" s="213">
        <f t="shared" si="1"/>
        <v>257.93</v>
      </c>
      <c r="Q12" s="475" cm="1">
        <f t="array" ref="Q12">LOOKUP(1,1/(('【国内】用户招募成本估算（完整版）'!B79:B82=B7)*('【国内】用户招募成本估算（完整版）'!C79:C82=C12)*('【国内】用户招募成本估算（完整版）'!D79:D82=H12)*('【国内】用户招募成本估算（完整版）'!F79:F82=G12)),'【国内】用户招募成本估算（完整版）'!H79:H82)</f>
        <v>0.77</v>
      </c>
      <c r="R12" s="213" cm="1">
        <f t="array" ref="R12">LOOKUP(1,1/(('【国内】用户招募成本估算（完整版）'!B79:B82=B7)*('【国内】用户招募成本估算（完整版）'!C79:C82=C12)*('【国内】用户招募成本估算（完整版）'!D79:D82=H12)),'【国内】用户招募成本估算（完整版）'!I79:I82)</f>
        <v>3.4</v>
      </c>
      <c r="S12" s="213" cm="1">
        <f t="array" ref="S12">LOOKUP(1,1/(('【国内】用户招募成本估算（完整版）'!B79:B82=B7)*('【国内】用户招募成本估算（完整版）'!C79:C82=C12)*('【国内】用户招募成本估算（完整版）'!D79:D82=H12)),'【国内】用户招募成本估算（完整版）'!J79:J82)</f>
        <v>6.375</v>
      </c>
      <c r="T12" s="213" cm="1">
        <f t="array" ref="T12">LOOKUP(1,1/(('【国内】用户招募成本估算（完整版）'!B79:B82=B7)*('【国内】用户招募成本估算（完整版）'!C79:C82=C12)*('【国内】用户招募成本估算（完整版）'!D79:D82=H12)),'【国内】用户招募成本估算（完整版）'!K79:K82)</f>
        <v>6.8</v>
      </c>
      <c r="U12" s="467"/>
      <c r="V12" s="467"/>
      <c r="W12" s="213">
        <f t="shared" si="2"/>
        <v>17.345</v>
      </c>
      <c r="X12" s="477" t="b">
        <f>IF($G$12="首日登录",'【国内】用户招募成本估算（完整版）'!M79,IF($G$12="三日登录",'【国内】用户招募成本估算（完整版）'!M80,IF($G$12="五日登录",'【国内】用户招募成本估算（完整版）'!M81,IF($G$12="七日登录",'【国内】用户招募成本估算（完整版）'!M82))))</f>
        <v>0</v>
      </c>
      <c r="Y12" s="477"/>
      <c r="Z12" s="213" t="s">
        <v>181</v>
      </c>
      <c r="AA12" s="1">
        <f t="shared" si="3"/>
        <v>257.93</v>
      </c>
    </row>
    <row r="13" ht="36" customHeight="1" spans="1:28">
      <c r="A13" s="220" t="s">
        <v>182</v>
      </c>
      <c r="B13" s="469" t="s">
        <v>183</v>
      </c>
      <c r="C13" s="470" t="s">
        <v>184</v>
      </c>
      <c r="D13" s="471"/>
      <c r="E13" s="472" t="s">
        <v>4</v>
      </c>
      <c r="F13" s="471"/>
      <c r="G13" s="473">
        <v>2</v>
      </c>
      <c r="H13" s="474" t="s">
        <v>166</v>
      </c>
      <c r="I13" s="471"/>
      <c r="J13" s="473">
        <v>9</v>
      </c>
      <c r="K13" s="478" t="s">
        <v>181</v>
      </c>
      <c r="L13" s="213">
        <f t="shared" ref="L13:O13" si="4">Q13</f>
        <v>0.2</v>
      </c>
      <c r="M13" s="213">
        <f t="shared" si="4"/>
        <v>0.932352941176471</v>
      </c>
      <c r="N13" s="213">
        <f t="shared" si="4"/>
        <v>2.6</v>
      </c>
      <c r="O13" s="213">
        <f t="shared" si="4"/>
        <v>3.6</v>
      </c>
      <c r="P13" s="213">
        <f t="shared" si="1"/>
        <v>950</v>
      </c>
      <c r="Q13" s="213" cm="1">
        <f t="array" ref="Q13">LOOKUP(2,1/(('【国内】用户招募成本估算（完整版）'!D83:D90=H13)*('【国内】用户招募成本估算（完整版）'!E83:E90=E13)*('【国内】用户招募成本估算（完整版）'!C83:C90=C13)*('【国内】用户招募成本估算（完整版）'!B83:B90=B13)),'【国内】用户招募成本估算（完整版）'!H83:H90)</f>
        <v>0.2</v>
      </c>
      <c r="R13" s="213" cm="1">
        <f t="array" ref="R13">LOOKUP(2,1/(('【国内】用户招募成本估算（完整版）'!D83:D90=H13)*('【国内】用户招募成本估算（完整版）'!E83:E90=E13)*('【国内】用户招募成本估算（完整版）'!C83:C90=C13)*('【国内】用户招募成本估算（完整版）'!B83:B90=B13)),'【国内】用户招募成本估算（完整版）'!I83:I90)</f>
        <v>0.932352941176471</v>
      </c>
      <c r="S13" s="213" cm="1">
        <f t="array" ref="S13">LOOKUP(2,1/(('【国内】用户招募成本估算（完整版）'!D83:D90=H13)*('【国内】用户招募成本估算（完整版）'!E83:E90=E13)*('【国内】用户招募成本估算（完整版）'!C83:C90=C13)*('【国内】用户招募成本估算（完整版）'!B83:B90=B13)),'【国内】用户招募成本估算（完整版）'!J83:J90)</f>
        <v>2.6</v>
      </c>
      <c r="T13" s="213" cm="1">
        <f t="array" ref="T13">LOOKUP(2,1/(('【国内】用户招募成本估算（完整版）'!D83:D90=H13)*('【国内】用户招募成本估算（完整版）'!E83:E90=E13)*('【国内】用户招募成本估算（完整版）'!C83:C90=C13)*('【国内】用户招募成本估算（完整版）'!B83:B90=B13)),'【国内】用户招募成本估算（完整版）'!K83:K90)</f>
        <v>3.6</v>
      </c>
      <c r="U13" s="467"/>
      <c r="V13" s="467"/>
      <c r="W13" s="213">
        <f t="shared" si="2"/>
        <v>7.33235294117647</v>
      </c>
      <c r="X13" s="213">
        <f>IF($E$13="一级难度",'【国内】用户招募成本估算（完整版）'!M83,IF($E$13="二级难度",'【国内】用户招募成本估算（完整版）'!M84,IF($E$13="三级难度",'【国内】用户招募成本估算（完整版）'!M85,IF($E$13="四级难度",'【国内】用户招募成本估算（完整版）'!M86))))</f>
        <v>9000</v>
      </c>
      <c r="Y13" s="213">
        <f>IF($E$13="一级难度",'【国内】用户招募成本估算（完整版）'!N83,IF($E$13="二级难度",'【国内】用户招募成本估算（完整版）'!N84,IF($E$13="三级难度",'【国内】用户招募成本估算（完整版）'!N85,IF($E$13="四级难度",'【国内】用户招募成本估算（完整版）'!N86))))</f>
        <v>1800</v>
      </c>
      <c r="Z13" s="213">
        <f>J13*30</f>
        <v>270</v>
      </c>
      <c r="AA13" s="1">
        <f t="shared" si="3"/>
        <v>950</v>
      </c>
    </row>
    <row r="14" ht="36" customHeight="1" spans="1:28">
      <c r="A14" s="220" t="s">
        <v>185</v>
      </c>
      <c r="B14" s="469"/>
      <c r="C14" s="470" t="s">
        <v>176</v>
      </c>
      <c r="D14" s="471"/>
      <c r="E14" s="472" t="s">
        <v>4</v>
      </c>
      <c r="F14" s="471"/>
      <c r="G14" s="473">
        <v>2</v>
      </c>
      <c r="H14" s="474" t="s">
        <v>166</v>
      </c>
      <c r="I14" s="471"/>
      <c r="J14" s="473">
        <v>7</v>
      </c>
      <c r="K14" s="478" t="s">
        <v>181</v>
      </c>
      <c r="L14" s="213">
        <f t="shared" ref="L14:O14" si="5">Q14</f>
        <v>0.2</v>
      </c>
      <c r="M14" s="213">
        <f t="shared" si="5"/>
        <v>0.567647058823529</v>
      </c>
      <c r="N14" s="213">
        <f t="shared" si="5"/>
        <v>2.2</v>
      </c>
      <c r="O14" s="213">
        <f t="shared" si="5"/>
        <v>3</v>
      </c>
      <c r="P14" s="213">
        <f t="shared" si="1"/>
        <v>950</v>
      </c>
      <c r="Q14" s="213" cm="1">
        <f t="array" ref="Q14">LOOKUP(2,1/(('【国内】用户招募成本估算（完整版）'!D84:D91=H14)*('【国内】用户招募成本估算（完整版）'!E84:E91=E14)*('【国内】用户招募成本估算（完整版）'!C84:C91=C14)*('【国内】用户招募成本估算（完整版）'!B84:B91=B13)),'【国内】用户招募成本估算（完整版）'!H84:H91)</f>
        <v>0.2</v>
      </c>
      <c r="R14" s="213" cm="1">
        <f t="array" ref="R14">LOOKUP(2,1/(('【国内】用户招募成本估算（完整版）'!D84:D91=H14)*('【国内】用户招募成本估算（完整版）'!E84:E91=E14)*('【国内】用户招募成本估算（完整版）'!C84:C91=C14)*('【国内】用户招募成本估算（完整版）'!B84:B91=B13)),'【国内】用户招募成本估算（完整版）'!I84:I91)</f>
        <v>0.567647058823529</v>
      </c>
      <c r="S14" s="213" cm="1">
        <f t="array" ref="S14">LOOKUP(2,1/(('【国内】用户招募成本估算（完整版）'!D84:D91=H14)*('【国内】用户招募成本估算（完整版）'!E84:E91=E14)*('【国内】用户招募成本估算（完整版）'!C84:C91=C14)*('【国内】用户招募成本估算（完整版）'!B84:B91=B13)),'【国内】用户招募成本估算（完整版）'!J84:J91)</f>
        <v>2.2</v>
      </c>
      <c r="T14" s="213" cm="1">
        <f t="array" ref="T14">LOOKUP(2,1/(('【国内】用户招募成本估算（完整版）'!D83:D90=H14)*('【国内】用户招募成本估算（完整版）'!E83:E90=E14)*('【国内】用户招募成本估算（完整版）'!C83:C90=C14)*('【国内】用户招募成本估算（完整版）'!B83:B90=B13)),'【国内】用户招募成本估算（完整版）'!K83:K90)</f>
        <v>3</v>
      </c>
      <c r="U14" s="467"/>
      <c r="V14" s="467"/>
      <c r="W14" s="213">
        <f t="shared" si="2"/>
        <v>5.96764705882353</v>
      </c>
      <c r="X14" s="213">
        <f>IF($E$14="一级难度",'【国内】用户招募成本估算（完整版）'!M87,IF($E$14="二级难度",'【国内】用户招募成本估算（完整版）'!M88,IF($E$14="三级难度",'【国内】用户招募成本估算（完整版）'!M89,IF($E$14="四级难度",'【国内】用户招募成本估算（完整版）'!M90))))</f>
        <v>3500</v>
      </c>
      <c r="Y14" s="213">
        <f>IF($E$14="一级难度",'【国内】用户招募成本估算（完整版）'!N87,IF($E$14="二级难度",'【国内】用户招募成本估算（完整版）'!N88,IF($E$14="三级难度",'【国内】用户招募成本估算（完整版）'!N89,IF($E$14="四级难度",'【国内】用户招募成本估算（完整版）'!N90))))</f>
        <v>1400</v>
      </c>
      <c r="Z14" s="213">
        <f>J14*30</f>
        <v>210</v>
      </c>
      <c r="AA14" s="1">
        <f t="shared" si="3"/>
        <v>950</v>
      </c>
    </row>
    <row r="15" ht="36" customHeight="1" spans="1:28">
      <c r="A15" s="220" t="s">
        <v>186</v>
      </c>
      <c r="B15" s="469" t="s">
        <v>187</v>
      </c>
      <c r="C15" s="470" t="s">
        <v>184</v>
      </c>
      <c r="D15" s="471"/>
      <c r="E15" s="472" t="s">
        <v>3</v>
      </c>
      <c r="F15" s="471"/>
      <c r="G15" s="473">
        <v>2</v>
      </c>
      <c r="H15" s="474" t="s">
        <v>30</v>
      </c>
      <c r="I15" s="471"/>
      <c r="J15" s="473">
        <v>10</v>
      </c>
      <c r="K15" s="478" t="s">
        <v>181</v>
      </c>
      <c r="L15" s="213">
        <f t="shared" ref="L15:O15" si="6">Q15</f>
        <v>0.1725</v>
      </c>
      <c r="M15" s="213">
        <f t="shared" si="6"/>
        <v>3.46536764705882</v>
      </c>
      <c r="N15" s="213">
        <f t="shared" si="6"/>
        <v>0</v>
      </c>
      <c r="O15" s="213">
        <f t="shared" si="6"/>
        <v>4</v>
      </c>
      <c r="P15" s="213">
        <f t="shared" si="1"/>
        <v>1400</v>
      </c>
      <c r="Q15" s="213" cm="1">
        <f t="array" ref="Q15">LOOKUP(2,1/(('【国内】用户招募成本估算（完整版）'!D91:D98=H15)*('【国内】用户招募成本估算（完整版）'!E91:E98=E15)*('【国内】用户招募成本估算（完整版）'!C91:C98=C15)*('【国内】用户招募成本估算（完整版）'!B91:B98=B15)),'【国内】用户招募成本估算（完整版）'!H91:H98)</f>
        <v>0.1725</v>
      </c>
      <c r="R15" s="213" cm="1">
        <f t="array" ref="R15">LOOKUP(2,1/(('【国内】用户招募成本估算（完整版）'!D91:D98=H15)*('【国内】用户招募成本估算（完整版）'!E91:E98=E15)*('【国内】用户招募成本估算（完整版）'!C91:C98=C15)*('【国内】用户招募成本估算（完整版）'!B91:B98=B15)),'【国内】用户招募成本估算（完整版）'!I91:I98)</f>
        <v>3.46536764705882</v>
      </c>
      <c r="S15" s="213" cm="1">
        <f t="array" ref="S15">LOOKUP(2,1/(('【国内】用户招募成本估算（完整版）'!D91:D98=H15)*('【国内】用户招募成本估算（完整版）'!E91:E98=E15)*('【国内】用户招募成本估算（完整版）'!C91:C98=C15)*('【国内】用户招募成本估算（完整版）'!B91:B98=B15)),'【国内】用户招募成本估算（完整版）'!J91:J98)</f>
        <v>0</v>
      </c>
      <c r="T15" s="213" cm="1">
        <f t="array" ref="T15">LOOKUP(2,1/(('【国内】用户招募成本估算（完整版）'!D91:D98=H15)*('【国内】用户招募成本估算（完整版）'!E91:E98=E15)*('【国内】用户招募成本估算（完整版）'!C91:C98=C15)*('【国内】用户招募成本估算（完整版）'!B91:B98=B15)),'【国内】用户招募成本估算（完整版）'!K91:K98)</f>
        <v>4</v>
      </c>
      <c r="U15" s="467"/>
      <c r="V15" s="467"/>
      <c r="W15" s="213">
        <f t="shared" si="2"/>
        <v>7.63786764705882</v>
      </c>
      <c r="X15" s="213">
        <f>IF($E$15="一级难度",'【国内】用户招募成本估算（完整版）'!M91,IF($E$15="二级难度",'【国内】用户招募成本估算（完整版）'!M92,IF($E$15="三级难度",'【国内】用户招募成本估算（完整版）'!M93,IF($E$15="四级难度",'【国内】用户招募成本估算（完整版）'!M94))))</f>
        <v>4500</v>
      </c>
      <c r="Y15" s="213">
        <f>IF($E$15="一级难度",'【国内】用户招募成本估算（完整版）'!N91,IF($E$15="二级难度",'【国内】用户招募成本估算（完整版）'!N92,IF($E$15="三级难度",'【国内】用户招募成本估算（完整版）'!N93,IF($E$15="四级难度",'【国内】用户招募成本估算（完整版）'!N94))))</f>
        <v>3000</v>
      </c>
      <c r="Z15" s="213">
        <f>J15*30</f>
        <v>300</v>
      </c>
      <c r="AA15" s="1">
        <f t="shared" si="3"/>
        <v>1400</v>
      </c>
    </row>
    <row r="16" ht="36" customHeight="1" spans="1:28">
      <c r="A16" s="220" t="s">
        <v>188</v>
      </c>
      <c r="B16" s="469"/>
      <c r="C16" s="470" t="s">
        <v>176</v>
      </c>
      <c r="D16" s="471"/>
      <c r="E16" s="472" t="s">
        <v>5</v>
      </c>
      <c r="F16" s="471"/>
      <c r="G16" s="473">
        <v>6</v>
      </c>
      <c r="H16" s="474" t="s">
        <v>30</v>
      </c>
      <c r="I16" s="471"/>
      <c r="J16" s="473">
        <v>10</v>
      </c>
      <c r="K16" s="478" t="s">
        <v>181</v>
      </c>
      <c r="L16" s="213">
        <f t="shared" ref="L16:O16" si="7">Q16</f>
        <v>0.5</v>
      </c>
      <c r="M16" s="213">
        <f t="shared" si="7"/>
        <v>4.02941176470588</v>
      </c>
      <c r="N16" s="213">
        <f t="shared" si="7"/>
        <v>0</v>
      </c>
      <c r="O16" s="213">
        <f t="shared" si="7"/>
        <v>4.5</v>
      </c>
      <c r="P16" s="213">
        <f t="shared" si="1"/>
        <v>1800</v>
      </c>
      <c r="Q16" s="213" cm="1">
        <f t="array" ref="Q16">LOOKUP(2,1/(('【国内】用户招募成本估算（完整版）'!D91:D98=H16)*('【国内】用户招募成本估算（完整版）'!E91:E98=E16)*('【国内】用户招募成本估算（完整版）'!C91:C98=C16)*('【国内】用户招募成本估算（完整版）'!B91:B98=B15)),'【国内】用户招募成本估算（完整版）'!H91:H98)</f>
        <v>0.5</v>
      </c>
      <c r="R16" s="213" cm="1">
        <f t="array" ref="R16">LOOKUP(2,1/(('【国内】用户招募成本估算（完整版）'!D91:D98=H16)*('【国内】用户招募成本估算（完整版）'!E91:E98=E16)*('【国内】用户招募成本估算（完整版）'!C91:C98=C16)*('【国内】用户招募成本估算（完整版）'!B91:B98=B15)),'【国内】用户招募成本估算（完整版）'!I91:I98)</f>
        <v>4.02941176470588</v>
      </c>
      <c r="S16" s="213" cm="1">
        <f t="array" ref="S16">LOOKUP(2,1/(('【国内】用户招募成本估算（完整版）'!D91:D98=H16)*('【国内】用户招募成本估算（完整版）'!E91:E98=E16)*('【国内】用户招募成本估算（完整版）'!C91:C98=C16)*('【国内】用户招募成本估算（完整版）'!B91:B98=B15)),'【国内】用户招募成本估算（完整版）'!J91:J98)</f>
        <v>0</v>
      </c>
      <c r="T16" s="213" cm="1">
        <f t="array" ref="T16">LOOKUP(2,1/(('【国内】用户招募成本估算（完整版）'!D91:D98=H16)*('【国内】用户招募成本估算（完整版）'!E91:E98=E16)*('【国内】用户招募成本估算（完整版）'!C91:C98=C16)*('【国内】用户招募成本估算（完整版）'!B91:B98=B15)),'【国内】用户招募成本估算（完整版）'!K91:K980)</f>
        <v>4.5</v>
      </c>
      <c r="U16" s="467"/>
      <c r="V16" s="467"/>
      <c r="W16" s="213">
        <f t="shared" si="2"/>
        <v>9.02941176470588</v>
      </c>
      <c r="X16" s="213">
        <f>IF($E$16="一级难度",'【国内】用户招募成本估算（完整版）'!M95,IF($E$16="二级难度",'【国内】用户招募成本估算（完整版）'!M96,IF($E$16="三级难度",'【国内】用户招募成本估算（完整版）'!M97,IF($E$16="四级难度",'【国内】用户招募成本估算（完整版）'!M98))))</f>
        <v>11500</v>
      </c>
      <c r="Y16" s="213">
        <f>IF($E$16="一级难度",'【国内】用户招募成本估算（完整版）'!N95,IF($E$16="二级难度",'【国内】用户招募成本估算（完整版）'!N96,IF($E$16="三级难度",'【国内】用户招募成本估算（完整版）'!N97,IF($E$16="四级难度",'【国内】用户招募成本估算（完整版）'!N98))))</f>
        <v>4000</v>
      </c>
      <c r="Z16" s="213">
        <f>J16*30</f>
        <v>300</v>
      </c>
      <c r="AA16" s="1">
        <f t="shared" si="3"/>
        <v>1800</v>
      </c>
    </row>
    <row r="17" ht="72" customHeight="1" spans="1:31">
      <c r="A17" s="479" t="s">
        <v>189</v>
      </c>
      <c r="B17" s="480" t="s">
        <v>190</v>
      </c>
      <c r="C17" s="480"/>
      <c r="D17" s="480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1"/>
      <c r="R17" s="481"/>
      <c r="S17" s="481"/>
      <c r="T17" s="481"/>
      <c r="U17" s="481"/>
      <c r="V17" s="481"/>
      <c r="W17" s="482"/>
      <c r="X17" s="482"/>
      <c r="Y17" s="482"/>
      <c r="Z17" s="482"/>
    </row>
    <row r="18" customFormat="1" ht="27" customHeight="1" spans="1:31">
      <c r="A18" s="479"/>
      <c r="B18" s="483" t="s">
        <v>191</v>
      </c>
      <c r="C18" s="483"/>
      <c r="D18" s="483"/>
      <c r="E18" s="483"/>
      <c r="F18" s="483"/>
      <c r="G18" s="483"/>
      <c r="H18" s="483"/>
      <c r="I18" s="483"/>
      <c r="J18" s="483"/>
      <c r="K18" s="483"/>
      <c r="L18" s="483"/>
      <c r="M18" s="483"/>
      <c r="N18" s="483"/>
      <c r="O18" s="483"/>
      <c r="P18" s="483"/>
      <c r="Q18" s="484"/>
      <c r="R18" s="484"/>
      <c r="S18" s="484"/>
      <c r="T18" s="484"/>
      <c r="U18" s="484"/>
      <c r="V18" s="484"/>
      <c r="W18" s="485"/>
      <c r="X18" s="485"/>
      <c r="Y18" s="148"/>
      <c r="Z18" s="148"/>
      <c r="AA18" s="148"/>
      <c r="AB18" s="148"/>
      <c r="AC18" s="148"/>
      <c r="AD18" s="148"/>
      <c r="AE18" s="148"/>
    </row>
    <row r="19" ht="48" customHeight="1" spans="1:31">
      <c r="A19" s="463" t="s">
        <v>148</v>
      </c>
      <c r="B19" s="464" t="s">
        <v>192</v>
      </c>
      <c r="C19" s="463"/>
      <c r="D19" s="463" t="s">
        <v>151</v>
      </c>
      <c r="E19" s="463"/>
      <c r="F19" s="464" t="s">
        <v>193</v>
      </c>
      <c r="G19" s="464"/>
      <c r="H19" s="464" t="s">
        <v>153</v>
      </c>
      <c r="I19" s="464" t="s">
        <v>194</v>
      </c>
      <c r="J19" s="465" t="s">
        <v>8</v>
      </c>
      <c r="K19" s="465" t="s">
        <v>9</v>
      </c>
      <c r="L19" s="465" t="s">
        <v>10</v>
      </c>
      <c r="M19" s="465" t="s">
        <v>103</v>
      </c>
      <c r="N19" s="466" t="s">
        <v>157</v>
      </c>
      <c r="O19" s="466" t="s">
        <v>195</v>
      </c>
      <c r="P19" s="466" t="s">
        <v>196</v>
      </c>
      <c r="Q19" s="486" t="s">
        <v>8</v>
      </c>
      <c r="R19" s="103" t="s">
        <v>9</v>
      </c>
      <c r="S19" s="103" t="s">
        <v>10</v>
      </c>
      <c r="T19" s="103" t="s">
        <v>103</v>
      </c>
      <c r="U19" s="105" t="s">
        <v>156</v>
      </c>
      <c r="V19" s="487" t="s">
        <v>197</v>
      </c>
      <c r="W19" s="1"/>
      <c r="X19" s="1"/>
    </row>
    <row r="20" ht="39" customHeight="1" spans="1:31">
      <c r="A20" s="220" t="s">
        <v>198</v>
      </c>
      <c r="B20" s="470" t="s">
        <v>199</v>
      </c>
      <c r="C20" s="470"/>
      <c r="D20" s="471" t="s">
        <v>164</v>
      </c>
      <c r="E20" s="472" t="s">
        <v>1</v>
      </c>
      <c r="F20" s="471" t="s">
        <v>200</v>
      </c>
      <c r="G20" s="473">
        <v>400</v>
      </c>
      <c r="H20" s="473" t="s">
        <v>170</v>
      </c>
      <c r="I20" s="220" t="s">
        <v>201</v>
      </c>
      <c r="J20" s="213">
        <f>Q20*V20</f>
        <v>0</v>
      </c>
      <c r="K20" s="213">
        <f>R20*V20</f>
        <v>0</v>
      </c>
      <c r="L20" s="213">
        <f>S20*V20</f>
        <v>1.04166666666667</v>
      </c>
      <c r="M20" s="213">
        <f>T20*V20</f>
        <v>2.4</v>
      </c>
      <c r="N20" s="213">
        <f>J20+K20+L20+M20</f>
        <v>3.44166666666667</v>
      </c>
      <c r="O20" s="213">
        <f>U20</f>
        <v>4.92500000000001</v>
      </c>
      <c r="P20" s="213" cm="1">
        <f t="array" ref="P20">LOOKUP(1,0/(('【国内】问卷投放成本估算（完整版）'!$C$4:$C$110=E20)*('【国内】问卷投放成本估算（完整版）'!$B$4:$B$110=H20)*('【国内】问卷投放成本估算（完整版）'!$D$4:$D$110=B20)),'【国内】问卷投放成本估算（完整版）'!$K$4:$K$10)</f>
        <v>800</v>
      </c>
      <c r="Q20" s="451" cm="1">
        <f t="array" ref="Q20">LOOKUP(2,1/(('【国内】问卷投放成本估算（完整版）'!$D2:$D129=B20)*('【国内】问卷投放成本估算（完整版）'!$C2:$C129=E20)*('【国内】问卷投放成本估算（完整版）'!$B2:$B129=H20)),'【国内】问卷投放成本估算（完整版）'!$F2:$F129)</f>
        <v>0</v>
      </c>
      <c r="R20" s="109" cm="1">
        <f t="array" ref="R20">LOOKUP(2,1/(('【国内】问卷投放成本估算（完整版）'!$D$2:$D$129=B20)*('【国内】问卷投放成本估算（完整版）'!$C$2:$C$129=E20)*('【国内】问卷投放成本估算（完整版）'!$B$2:$B$129=H20)),'【国内】问卷投放成本估算（完整版）'!$G$2:$G$129)</f>
        <v>0</v>
      </c>
      <c r="S20" s="109" cm="1">
        <f t="array" ref="S20">LOOKUP(2,1/(('【国内】问卷投放成本估算（完整版）'!$D$2:$D$129=B20)*('【国内】问卷投放成本估算（完整版）'!$C$2:$C$129=E20)*('【国内】问卷投放成本估算（完整版）'!$B$2:$B$129=H20)),'【国内】问卷投放成本估算（完整版）'!$H$2:$H$129)</f>
        <v>1.04166666666667</v>
      </c>
      <c r="T20" s="109" cm="1">
        <f t="array" ref="T20">LOOKUP(2,1/(('【国内】问卷投放成本估算（完整版）'!$D$2:$D$129=B20)*('【国内】问卷投放成本估算（完整版）'!$C$2:$C$129=E20)*('【国内】问卷投放成本估算（完整版）'!$B$2:$B$129=H20)),'【国内】问卷投放成本估算（完整版）'!$I$2:$I$129)</f>
        <v>2.4</v>
      </c>
      <c r="U20" s="109">
        <f>(J20*5900+K20*3400+L20*1200+M20*300)/G20</f>
        <v>4.92500000000001</v>
      </c>
      <c r="V20" s="1">
        <f>IF(I20="单供应商渠道执行",IF(G20&lt;500,(800-G20)/1000,0.5),IF(I20="单抖音渠道执行",0.6,IF(I20="多渠道执行",1,"")))</f>
        <v>1</v>
      </c>
    </row>
    <row r="21" ht="39" customHeight="1" spans="1:31">
      <c r="A21" s="220" t="s">
        <v>202</v>
      </c>
      <c r="B21" s="470" t="s">
        <v>203</v>
      </c>
      <c r="C21" s="470" t="s">
        <v>94</v>
      </c>
      <c r="D21" s="471"/>
      <c r="E21" s="472" t="s">
        <v>5</v>
      </c>
      <c r="F21" s="471"/>
      <c r="G21" s="473">
        <v>1000</v>
      </c>
      <c r="H21" s="473" t="s">
        <v>170</v>
      </c>
      <c r="I21" s="220" t="s">
        <v>201</v>
      </c>
      <c r="J21" s="213">
        <f t="shared" ref="J21:J26" si="8">Q21*V21</f>
        <v>0.54</v>
      </c>
      <c r="K21" s="213">
        <f t="shared" ref="K21:K26" si="9">R21*V21</f>
        <v>0</v>
      </c>
      <c r="L21" s="213">
        <f t="shared" ref="L21:L26" si="10">S21*V21</f>
        <v>3.16166666666667</v>
      </c>
      <c r="M21" s="213">
        <f t="shared" ref="M21:M26" si="11">T21*V21</f>
        <v>4.1</v>
      </c>
      <c r="N21" s="213">
        <f t="shared" ref="N21:N26" si="12">J21+K21+L21+M21</f>
        <v>7.80166666666667</v>
      </c>
      <c r="O21" s="213">
        <f>U21</f>
        <v>8.21</v>
      </c>
      <c r="P21" s="213" cm="1">
        <f t="array" ref="P21">LOOKUP(1,0/(('【国内】问卷投放成本估算（完整版）'!$C$18:$C$129=E21)*('【国内】问卷投放成本估算（完整版）'!$B$18:$B$129=H21)*('【国内】问卷投放成本估算（完整版）'!$D$18:$D$129=B21)),'【国内】问卷投放成本估算（完整版）'!$K$18:$K$129)</f>
        <v>8500</v>
      </c>
      <c r="Q21" s="451" cm="1">
        <f t="array" ref="Q21">LOOKUP(2,1/(('【国内】问卷投放成本估算（完整版）'!$D2:$D129=B21)*('【国内】问卷投放成本估算（完整版）'!$C2:$C129=E21)*('【国内】问卷投放成本估算（完整版）'!$B2:$B129=H21)),'【国内】问卷投放成本估算（完整版）'!$F2:$F129)</f>
        <v>0.54</v>
      </c>
      <c r="R21" s="109" cm="1">
        <f t="array" ref="R21">LOOKUP(2,1/(('【国内】问卷投放成本估算（完整版）'!$D$2:$D$129=B21)*('【国内】问卷投放成本估算（完整版）'!$C$2:$C$129=E21)*('【国内】问卷投放成本估算（完整版）'!$B$2:$B$129=H21)),'【国内】问卷投放成本估算（完整版）'!$G$2:$G$129)</f>
        <v>0</v>
      </c>
      <c r="S21" s="109" cm="1">
        <f t="array" ref="S21">LOOKUP(2,1/(('【国内】问卷投放成本估算（完整版）'!$D$2:$D$129=B21)*('【国内】问卷投放成本估算（完整版）'!$C$2:$C$129=E21)*('【国内】问卷投放成本估算（完整版）'!$B$2:$B$129=H21)),'【国内】问卷投放成本估算（完整版）'!$H$2:$H$129)</f>
        <v>3.16166666666667</v>
      </c>
      <c r="T21" s="109" cm="1">
        <f t="array" ref="T21">LOOKUP(2,1/(('【国内】问卷投放成本估算（完整版）'!$D$2:$D$129=B21)*('【国内】问卷投放成本估算（完整版）'!$C$2:$C$129=E21)*('【国内】问卷投放成本估算（完整版）'!$B$2:$B$129=H21)),'【国内】问卷投放成本估算（完整版）'!$I$2:$I$129)</f>
        <v>4.1</v>
      </c>
      <c r="U21" s="109">
        <f t="shared" ref="U21:U26" si="13">(J21*5900+K21*3400+L21*1200+M21*300)/G21</f>
        <v>8.21</v>
      </c>
      <c r="V21" s="1">
        <f t="shared" ref="V21:V26" si="14">IF(I21="单供应商渠道执行",IF(G21&lt;500,(800-G21)/1000,0.5),IF(I21="单抖音渠道执行",0.6,IF(I21="多渠道执行",1,"")))</f>
        <v>1</v>
      </c>
    </row>
    <row r="22" ht="39" customHeight="1" spans="1:31">
      <c r="A22" s="220" t="s">
        <v>204</v>
      </c>
      <c r="B22" s="470" t="s">
        <v>95</v>
      </c>
      <c r="C22" s="470" t="s">
        <v>95</v>
      </c>
      <c r="D22" s="471"/>
      <c r="E22" s="472" t="s">
        <v>1</v>
      </c>
      <c r="F22" s="471"/>
      <c r="G22" s="473">
        <v>500</v>
      </c>
      <c r="H22" s="473" t="s">
        <v>166</v>
      </c>
      <c r="I22" s="220" t="s">
        <v>201</v>
      </c>
      <c r="J22" s="213">
        <f t="shared" si="8"/>
        <v>0.1</v>
      </c>
      <c r="K22" s="213">
        <f t="shared" si="9"/>
        <v>0.28</v>
      </c>
      <c r="L22" s="213">
        <f t="shared" si="10"/>
        <v>0.615833333333333</v>
      </c>
      <c r="M22" s="213">
        <f t="shared" si="11"/>
        <v>1.43</v>
      </c>
      <c r="N22" s="213">
        <f t="shared" si="12"/>
        <v>2.42583333333333</v>
      </c>
      <c r="O22" s="213">
        <f t="shared" ref="O21:O26" si="15">U22</f>
        <v>5.42</v>
      </c>
      <c r="P22" s="213" cm="1">
        <f t="array" ref="P22">LOOKUP(1,0/(('【国内】问卷投放成本估算（完整版）'!$C$18:$C$129=E22)*('【国内】问卷投放成本估算（完整版）'!$B$18:$B$129=H22)*('【国内】问卷投放成本估算（完整版）'!$D$18:$D$129=B22)),'【国内】问卷投放成本估算（完整版）'!$K$18:$K$129)</f>
        <v>2000</v>
      </c>
      <c r="Q22" s="451" cm="1">
        <f t="array" ref="Q22">LOOKUP(2,1/(('【国内】问卷投放成本估算（完整版）'!$D2:$D129=B22)*('【国内】问卷投放成本估算（完整版）'!$C2:$C129=E22)*('【国内】问卷投放成本估算（完整版）'!$B2:$B129=H22)),'【国内】问卷投放成本估算（完整版）'!$F2:$F129)</f>
        <v>0.1</v>
      </c>
      <c r="R22" s="109" cm="1">
        <f t="array" ref="R22">LOOKUP(2,1/(('【国内】问卷投放成本估算（完整版）'!$D$2:$D$129=B22)*('【国内】问卷投放成本估算（完整版）'!$C$2:$C$129=E22)*('【国内】问卷投放成本估算（完整版）'!$B$2:$B$129=H22)),'【国内】问卷投放成本估算（完整版）'!$G$2:$G$129)</f>
        <v>0.28</v>
      </c>
      <c r="S22" s="109" cm="1">
        <f t="array" ref="S22">LOOKUP(2,1/(('【国内】问卷投放成本估算（完整版）'!$D$2:$D$129=B22)*('【国内】问卷投放成本估算（完整版）'!$C$2:$C$129=E22)*('【国内】问卷投放成本估算（完整版）'!$B$2:$B$129=H22)),'【国内】问卷投放成本估算（完整版）'!$H$2:$H$129)</f>
        <v>0.615833333333333</v>
      </c>
      <c r="T22" s="109" cm="1">
        <f t="array" ref="T22">LOOKUP(2,1/(('【国内】问卷投放成本估算（完整版）'!$D$2:$D$129=B22)*('【国内】问卷投放成本估算（完整版）'!$C$2:$C$129=E22)*('【国内】问卷投放成本估算（完整版）'!$B$2:$B$129=H22)),'【国内】问卷投放成本估算（完整版）'!$I$2:$I$129)</f>
        <v>1.43</v>
      </c>
      <c r="U22" s="109">
        <f t="shared" si="13"/>
        <v>5.42</v>
      </c>
      <c r="V22" s="1">
        <f t="shared" si="14"/>
        <v>1</v>
      </c>
    </row>
    <row r="23" ht="39" customHeight="1" spans="1:31">
      <c r="A23" s="220" t="s">
        <v>205</v>
      </c>
      <c r="B23" s="470" t="s">
        <v>96</v>
      </c>
      <c r="C23" s="470" t="s">
        <v>96</v>
      </c>
      <c r="D23" s="471"/>
      <c r="E23" s="472" t="s">
        <v>4</v>
      </c>
      <c r="F23" s="471"/>
      <c r="G23" s="473">
        <v>500</v>
      </c>
      <c r="H23" s="473" t="s">
        <v>166</v>
      </c>
      <c r="I23" s="220" t="s">
        <v>201</v>
      </c>
      <c r="J23" s="213">
        <f t="shared" si="8"/>
        <v>0.1</v>
      </c>
      <c r="K23" s="213">
        <f t="shared" si="9"/>
        <v>0.52</v>
      </c>
      <c r="L23" s="213">
        <f t="shared" si="10"/>
        <v>1.61333333333333</v>
      </c>
      <c r="M23" s="213">
        <f t="shared" si="11"/>
        <v>1.82</v>
      </c>
      <c r="N23" s="213">
        <f t="shared" si="12"/>
        <v>4.05333333333333</v>
      </c>
      <c r="O23" s="213">
        <f t="shared" si="15"/>
        <v>9.68</v>
      </c>
      <c r="P23" s="213" cm="1">
        <f t="array" ref="P23">LOOKUP(1,0/(('【国内】问卷投放成本估算（完整版）'!$C$18:$C$129=E23)*('【国内】问卷投放成本估算（完整版）'!$B$18:$B$129=H23)*('【国内】问卷投放成本估算（完整版）'!$D$18:$D$129=B23)),'【国内】问卷投放成本估算（完整版）'!$K$18:$K$129)</f>
        <v>4000</v>
      </c>
      <c r="Q23" s="451" cm="1">
        <f t="array" ref="Q23">LOOKUP(2,1/(('【国内】问卷投放成本估算（完整版）'!$D2:$D129=B23)*('【国内】问卷投放成本估算（完整版）'!$C2:$C129=E23)*('【国内】问卷投放成本估算（完整版）'!$B2:$B129=H23)),'【国内】问卷投放成本估算（完整版）'!$F2:$F129)</f>
        <v>0.1</v>
      </c>
      <c r="R23" s="109" cm="1">
        <f t="array" ref="R23">LOOKUP(2,1/(('【国内】问卷投放成本估算（完整版）'!$D$2:$D$129=B23)*('【国内】问卷投放成本估算（完整版）'!$C$2:$C$129=E23)*('【国内】问卷投放成本估算（完整版）'!$B$2:$B$129=H23)),'【国内】问卷投放成本估算（完整版）'!$G$2:$G$129)</f>
        <v>0.52</v>
      </c>
      <c r="S23" s="109" cm="1">
        <f t="array" ref="S23">LOOKUP(2,1/(('【国内】问卷投放成本估算（完整版）'!$D$2:$D$129=B23)*('【国内】问卷投放成本估算（完整版）'!$C$2:$C$129=E23)*('【国内】问卷投放成本估算（完整版）'!$B$2:$B$129=H23)),'【国内】问卷投放成本估算（完整版）'!$H$2:$H$129)</f>
        <v>1.61333333333333</v>
      </c>
      <c r="T23" s="109" cm="1">
        <f t="array" ref="T23">LOOKUP(2,1/(('【国内】问卷投放成本估算（完整版）'!$D$2:$D$129=B23)*('【国内】问卷投放成本估算（完整版）'!$C$2:$C$129=E23)*('【国内】问卷投放成本估算（完整版）'!$B$2:$B$129=H23)),'【国内】问卷投放成本估算（完整版）'!$I$2:$I$129)</f>
        <v>1.82</v>
      </c>
      <c r="U23" s="109">
        <f t="shared" si="13"/>
        <v>9.68</v>
      </c>
      <c r="V23" s="1">
        <f t="shared" si="14"/>
        <v>1</v>
      </c>
    </row>
    <row r="24" ht="39" customHeight="1" spans="1:31">
      <c r="A24" s="220" t="s">
        <v>206</v>
      </c>
      <c r="B24" s="470" t="s">
        <v>207</v>
      </c>
      <c r="C24" s="470" t="s">
        <v>207</v>
      </c>
      <c r="D24" s="471"/>
      <c r="E24" s="472" t="s">
        <v>4</v>
      </c>
      <c r="F24" s="471"/>
      <c r="G24" s="473">
        <v>1000</v>
      </c>
      <c r="H24" s="473" t="s">
        <v>166</v>
      </c>
      <c r="I24" s="220" t="s">
        <v>201</v>
      </c>
      <c r="J24" s="213">
        <f t="shared" si="8"/>
        <v>0.3</v>
      </c>
      <c r="K24" s="213">
        <f t="shared" si="9"/>
        <v>0.96</v>
      </c>
      <c r="L24" s="213">
        <f t="shared" si="10"/>
        <v>2.96916666666667</v>
      </c>
      <c r="M24" s="213">
        <f t="shared" si="11"/>
        <v>2.21</v>
      </c>
      <c r="N24" s="213">
        <f t="shared" si="12"/>
        <v>6.43916666666667</v>
      </c>
      <c r="O24" s="213">
        <f t="shared" si="15"/>
        <v>9.26</v>
      </c>
      <c r="P24" s="213" cm="1">
        <f t="array" ref="P24">LOOKUP(1,0/(('【国内】问卷投放成本估算（完整版）'!$C$18:$C$129=E24)*('【国内】问卷投放成本估算（完整版）'!$B$18:$B$129=H24)*('【国内】问卷投放成本估算（完整版）'!$D$18:$D$129=B24)),'【国内】问卷投放成本估算（完整版）'!$K$18:$K$129)</f>
        <v>9000</v>
      </c>
      <c r="Q24" s="451" cm="1">
        <f t="array" ref="Q24">LOOKUP(2,1/(('【国内】问卷投放成本估算（完整版）'!$D2:$D129=B24)*('【国内】问卷投放成本估算（完整版）'!$C2:$C129=E24)*('【国内】问卷投放成本估算（完整版）'!$B2:$B129=H24)),'【国内】问卷投放成本估算（完整版）'!$F2:$F129)</f>
        <v>0.3</v>
      </c>
      <c r="R24" s="109" cm="1">
        <f t="array" ref="R24">LOOKUP(2,1/(('【国内】问卷投放成本估算（完整版）'!$D$2:$D$129=B24)*('【国内】问卷投放成本估算（完整版）'!$C$2:$C$129=E24)*('【国内】问卷投放成本估算（完整版）'!$B$2:$B$129=H24)),'【国内】问卷投放成本估算（完整版）'!$G$2:$G$129)</f>
        <v>0.96</v>
      </c>
      <c r="S24" s="109" cm="1">
        <f t="array" ref="S24">LOOKUP(2,1/(('【国内】问卷投放成本估算（完整版）'!$D$2:$D$129=B24)*('【国内】问卷投放成本估算（完整版）'!$C$2:$C$129=E24)*('【国内】问卷投放成本估算（完整版）'!$B$2:$B$129=H24)),'【国内】问卷投放成本估算（完整版）'!$H$2:$H$129)</f>
        <v>2.96916666666667</v>
      </c>
      <c r="T24" s="109" cm="1">
        <f t="array" ref="T24">LOOKUP(2,1/(('【国内】问卷投放成本估算（完整版）'!$D$2:$D$129=B24)*('【国内】问卷投放成本估算（完整版）'!$C$2:$C$129=E24)*('【国内】问卷投放成本估算（完整版）'!$B$2:$B$129=H24)),'【国内】问卷投放成本估算（完整版）'!$I$2:$I$129)</f>
        <v>2.21</v>
      </c>
      <c r="U24" s="109">
        <f t="shared" si="13"/>
        <v>9.26</v>
      </c>
      <c r="V24" s="1">
        <f t="shared" si="14"/>
        <v>1</v>
      </c>
    </row>
    <row r="25" ht="39" customHeight="1" spans="1:31">
      <c r="A25" s="220" t="s">
        <v>208</v>
      </c>
      <c r="B25" s="470" t="s">
        <v>209</v>
      </c>
      <c r="C25" s="470"/>
      <c r="D25" s="471"/>
      <c r="E25" s="472" t="s">
        <v>124</v>
      </c>
      <c r="F25" s="471"/>
      <c r="G25" s="473">
        <v>500</v>
      </c>
      <c r="H25" s="473" t="s">
        <v>166</v>
      </c>
      <c r="I25" s="220" t="s">
        <v>201</v>
      </c>
      <c r="J25" s="213">
        <f t="shared" si="8"/>
        <v>0.1</v>
      </c>
      <c r="K25" s="213">
        <f t="shared" si="9"/>
        <v>0.848</v>
      </c>
      <c r="L25" s="213">
        <f t="shared" si="10"/>
        <v>2.96233333333333</v>
      </c>
      <c r="M25" s="213">
        <f t="shared" si="11"/>
        <v>2.6</v>
      </c>
      <c r="N25" s="213">
        <f t="shared" si="12"/>
        <v>6.51033333333334</v>
      </c>
      <c r="O25" s="213">
        <f t="shared" si="15"/>
        <v>15.616</v>
      </c>
      <c r="P25" s="213" cm="1">
        <f t="array" ref="P25">LOOKUP(1,0/(('【国内】问卷投放成本估算（完整版）'!$C$18:$C$129=E25)*('【国内】问卷投放成本估算（完整版）'!$B$18:$B$129=H25)*('【国内】问卷投放成本估算（完整版）'!$D$18:$D$129=B25)),'【国内】问卷投放成本估算（完整版）'!$K$18:$K$129)</f>
        <v>11000</v>
      </c>
      <c r="Q25" s="451" cm="1">
        <f t="array" ref="Q25">LOOKUP(2,1/(('【国内】问卷投放成本估算（完整版）'!$D2:$D129=B25)*('【国内】问卷投放成本估算（完整版）'!$C2:$C129=E25)*('【国内】问卷投放成本估算（完整版）'!$B2:$B129=H25)),'【国内】问卷投放成本估算（完整版）'!$F2:$F129)</f>
        <v>0.1</v>
      </c>
      <c r="R25" s="109" cm="1">
        <f t="array" ref="R25">LOOKUP(2,1/(('【国内】问卷投放成本估算（完整版）'!$D$2:$D$129=B25)*('【国内】问卷投放成本估算（完整版）'!$C$2:$C$129=E25)*('【国内】问卷投放成本估算（完整版）'!$B$2:$B$129=H25)),'【国内】问卷投放成本估算（完整版）'!$G$2:$G$129)</f>
        <v>0.848</v>
      </c>
      <c r="S25" s="109" cm="1">
        <f t="array" ref="S25">LOOKUP(2,1/(('【国内】问卷投放成本估算（完整版）'!$D$2:$D$129=B25)*('【国内】问卷投放成本估算（完整版）'!$C$2:$C$129=E25)*('【国内】问卷投放成本估算（完整版）'!$B$2:$B$129=H25)),'【国内】问卷投放成本估算（完整版）'!$H$2:$H$129)</f>
        <v>2.96233333333333</v>
      </c>
      <c r="T25" s="109" cm="1">
        <f t="array" ref="T25">LOOKUP(2,1/(('【国内】问卷投放成本估算（完整版）'!$D$2:$D$129=B25)*('【国内】问卷投放成本估算（完整版）'!$C$2:$C$129=E25)*('【国内】问卷投放成本估算（完整版）'!$B$2:$B$129=H25)),'【国内】问卷投放成本估算（完整版）'!$I$2:$I$129)</f>
        <v>2.6</v>
      </c>
      <c r="U25" s="109">
        <f t="shared" si="13"/>
        <v>15.616</v>
      </c>
      <c r="V25" s="1">
        <f t="shared" si="14"/>
        <v>1</v>
      </c>
    </row>
    <row r="26" ht="39" customHeight="1" spans="1:31">
      <c r="A26" s="220" t="s">
        <v>210</v>
      </c>
      <c r="B26" s="470" t="s">
        <v>211</v>
      </c>
      <c r="C26" s="470"/>
      <c r="D26" s="471"/>
      <c r="E26" s="472" t="s">
        <v>4</v>
      </c>
      <c r="F26" s="471"/>
      <c r="G26" s="473">
        <v>2000</v>
      </c>
      <c r="H26" s="473" t="s">
        <v>166</v>
      </c>
      <c r="I26" s="220" t="s">
        <v>201</v>
      </c>
      <c r="J26" s="213">
        <f t="shared" si="8"/>
        <v>0.4</v>
      </c>
      <c r="K26" s="213">
        <f t="shared" si="9"/>
        <v>1.92</v>
      </c>
      <c r="L26" s="213">
        <f t="shared" si="10"/>
        <v>2.46333333333333</v>
      </c>
      <c r="M26" s="213">
        <f t="shared" si="11"/>
        <v>3.12</v>
      </c>
      <c r="N26" s="213">
        <f t="shared" si="12"/>
        <v>7.90333333333333</v>
      </c>
      <c r="O26" s="213">
        <f t="shared" si="15"/>
        <v>6.39</v>
      </c>
      <c r="P26" s="213" cm="1">
        <f t="array" ref="P26">LOOKUP(1,0/(('【国内】问卷投放成本估算（完整版）'!$C$18:$C$129=E26)*('【国内】问卷投放成本估算（完整版）'!$B$18:$B$129=H26)*('【国内】问卷投放成本估算（完整版）'!$D$18:$D$129=B26)),'【国内】问卷投放成本估算（完整版）'!$K$18:$K$129)</f>
        <v>22000</v>
      </c>
      <c r="Q26" s="488" cm="1">
        <f t="array" ref="Q26">LOOKUP(2,1/(('【国内】问卷投放成本估算（完整版）'!$D2:$D129=B26)*('【国内】问卷投放成本估算（完整版）'!$C2:$C129=E26)*('【国内】问卷投放成本估算（完整版）'!$B2:$B129=H26)),'【国内】问卷投放成本估算（完整版）'!$F2:$F129)</f>
        <v>0.4</v>
      </c>
      <c r="R26" s="489" cm="1">
        <f t="array" ref="R26">LOOKUP(2,1/(('【国内】问卷投放成本估算（完整版）'!$D$2:$D$129=B26)*('【国内】问卷投放成本估算（完整版）'!$C$2:$C$129=E26)*('【国内】问卷投放成本估算（完整版）'!$B$2:$B$129=H26)),'【国内】问卷投放成本估算（完整版）'!$G$2:$G$129)</f>
        <v>1.92</v>
      </c>
      <c r="S26" s="489" cm="1">
        <f t="array" ref="S26">LOOKUP(2,1/(('【国内】问卷投放成本估算（完整版）'!$D$2:$D$129=B26)*('【国内】问卷投放成本估算（完整版）'!$C$2:$C$129=E26)*('【国内】问卷投放成本估算（完整版）'!$B$2:$B$129=H26)),'【国内】问卷投放成本估算（完整版）'!$H$2:$H$129)</f>
        <v>2.46333333333333</v>
      </c>
      <c r="T26" s="489" cm="1">
        <f t="array" ref="T26">LOOKUP(2,1/(('【国内】问卷投放成本估算（完整版）'!$D$2:$D$129=B26)*('【国内】问卷投放成本估算（完整版）'!$C$2:$C$129=E26)*('【国内】问卷投放成本估算（完整版）'!$B$2:$B$129=H26)),'【国内】问卷投放成本估算（完整版）'!$I$2:$I$129)</f>
        <v>3.12</v>
      </c>
      <c r="U26" s="489">
        <f t="shared" si="13"/>
        <v>6.39</v>
      </c>
      <c r="V26" s="1">
        <f t="shared" si="14"/>
        <v>1</v>
      </c>
    </row>
    <row r="27" ht="81.95" customHeight="1" spans="1:31">
      <c r="A27" s="490" t="s">
        <v>212</v>
      </c>
      <c r="B27" s="491" t="s">
        <v>213</v>
      </c>
      <c r="C27" s="491"/>
      <c r="D27" s="491"/>
      <c r="E27" s="491"/>
      <c r="F27" s="491"/>
      <c r="G27" s="491"/>
      <c r="H27" s="491"/>
      <c r="I27" s="491"/>
      <c r="J27" s="491"/>
      <c r="K27" s="491"/>
      <c r="L27" s="491"/>
      <c r="M27" s="491"/>
      <c r="N27" s="492"/>
      <c r="O27" s="492"/>
      <c r="P27" s="492"/>
      <c r="Q27" s="492"/>
      <c r="R27" s="492"/>
      <c r="S27" s="492"/>
      <c r="T27" s="492"/>
      <c r="U27" s="492"/>
      <c r="V27" s="492"/>
      <c r="W27" s="492"/>
      <c r="X27" s="492"/>
    </row>
    <row r="28" ht="48" customHeight="1" spans="1:31">
      <c r="A28" s="463" t="s">
        <v>148</v>
      </c>
      <c r="B28" s="463" t="s">
        <v>214</v>
      </c>
      <c r="C28" s="463"/>
      <c r="D28" s="463" t="s">
        <v>215</v>
      </c>
      <c r="E28" s="463"/>
      <c r="F28" s="464" t="s">
        <v>216</v>
      </c>
      <c r="G28" s="464"/>
      <c r="H28" s="465" t="s">
        <v>8</v>
      </c>
      <c r="I28" s="465" t="s">
        <v>217</v>
      </c>
      <c r="J28" s="466" t="s">
        <v>157</v>
      </c>
      <c r="K28" s="466" t="s">
        <v>218</v>
      </c>
      <c r="L28" s="230" t="s">
        <v>219</v>
      </c>
      <c r="M28" s="466" t="s">
        <v>195</v>
      </c>
      <c r="N28" s="493"/>
      <c r="O28" s="493"/>
      <c r="P28" s="493"/>
      <c r="Q28" s="494" t="s">
        <v>195</v>
      </c>
      <c r="R28" s="494" t="s">
        <v>220</v>
      </c>
      <c r="S28" s="495"/>
      <c r="T28" s="495"/>
      <c r="U28" s="495"/>
      <c r="V28" s="495"/>
      <c r="W28" s="495"/>
      <c r="X28" s="495"/>
    </row>
    <row r="29" ht="39" customHeight="1" spans="1:31">
      <c r="A29" s="220" t="s">
        <v>221</v>
      </c>
      <c r="B29" s="470" t="s">
        <v>222</v>
      </c>
      <c r="C29" s="470"/>
      <c r="D29" s="496" t="s">
        <v>223</v>
      </c>
      <c r="E29" s="496"/>
      <c r="F29" s="471" t="s">
        <v>224</v>
      </c>
      <c r="G29" s="473">
        <v>5</v>
      </c>
      <c r="H29" s="213">
        <f>VLOOKUP($G$29,'【全球】CAA测试-数据源'!$C$5:$E$11,2,TRUE)</f>
        <v>0.1</v>
      </c>
      <c r="I29" s="213">
        <f>VLOOKUP($G$29,'【全球】CAA测试-数据源'!$C$5:$E$11,3,TRUE)</f>
        <v>1.7</v>
      </c>
      <c r="J29" s="213">
        <f>H29+I29</f>
        <v>1.8</v>
      </c>
      <c r="K29" s="213">
        <f t="shared" ref="K29:K33" si="16">IF(D29="图片",G29*300,IF(D29="视频",G29*400))</f>
        <v>2000</v>
      </c>
      <c r="L29" s="213">
        <f>(H29*5900+I29*1200+K29)/G29</f>
        <v>926</v>
      </c>
      <c r="M29" s="213">
        <f>Q29</f>
        <v>526</v>
      </c>
      <c r="N29" s="493"/>
      <c r="O29" s="493"/>
      <c r="P29" s="493"/>
      <c r="Q29" s="493">
        <f>(H29*5900+I29*1200)/G29</f>
        <v>526</v>
      </c>
      <c r="R29" s="495">
        <f>IF(G29&lt;=5,(H29*5900+I29*1200)/560*G29,1)</f>
        <v>23.4821428571429</v>
      </c>
      <c r="S29" s="495"/>
      <c r="T29" s="495"/>
      <c r="U29" s="495"/>
      <c r="V29" s="495"/>
      <c r="W29" s="495"/>
      <c r="X29" s="495"/>
    </row>
    <row r="30" ht="39" customHeight="1" spans="1:31">
      <c r="A30" s="220" t="s">
        <v>225</v>
      </c>
      <c r="B30" s="470" t="s">
        <v>226</v>
      </c>
      <c r="C30" s="470"/>
      <c r="D30" s="496" t="s">
        <v>227</v>
      </c>
      <c r="E30" s="496"/>
      <c r="F30" s="471"/>
      <c r="G30" s="473">
        <v>3</v>
      </c>
      <c r="H30" s="213">
        <f>VLOOKUP($G$30,'【全球】CAA测试-数据源'!$C$14:$E$20,2,TRUE)</f>
        <v>0</v>
      </c>
      <c r="I30" s="213">
        <f>VLOOKUP($G$30,'【全球】CAA测试-数据源'!$C$14:$E$20,3,TRUE)</f>
        <v>0.4</v>
      </c>
      <c r="J30" s="213">
        <f>H30+I30</f>
        <v>0.4</v>
      </c>
      <c r="K30" s="213">
        <f>IF(D30="图片",G30*600,IF(D30="视频",G30*800))</f>
        <v>1800</v>
      </c>
      <c r="L30" s="213">
        <f>(H30*5900+I30*1200+K30)/G30</f>
        <v>760</v>
      </c>
      <c r="M30" s="213">
        <f>Q30</f>
        <v>160</v>
      </c>
      <c r="N30" s="493"/>
      <c r="O30" s="493"/>
      <c r="P30" s="493"/>
      <c r="Q30" s="493">
        <f>(H30*5900+I30*1200)/G30</f>
        <v>160</v>
      </c>
      <c r="R30" s="495"/>
      <c r="S30" s="495"/>
      <c r="T30" s="495"/>
      <c r="U30" s="495"/>
      <c r="V30" s="495"/>
      <c r="W30" s="495"/>
      <c r="X30" s="495"/>
    </row>
    <row r="31" ht="39" customHeight="1" spans="1:31">
      <c r="A31" s="220" t="s">
        <v>228</v>
      </c>
      <c r="B31" s="470" t="s">
        <v>229</v>
      </c>
      <c r="C31" s="470"/>
      <c r="D31" s="496" t="s">
        <v>227</v>
      </c>
      <c r="E31" s="496"/>
      <c r="F31" s="471"/>
      <c r="G31" s="473">
        <v>3</v>
      </c>
      <c r="H31" s="213">
        <f>VLOOKUP($G$31,'【全球】CAA测试-数据源'!$J$6:$L$11,2,TRUE)</f>
        <v>0</v>
      </c>
      <c r="I31" s="213">
        <f>VLOOKUP($G$31,'【全球】CAA测试-数据源'!$J$6:$L$11,3,TRUE)</f>
        <v>0.4</v>
      </c>
      <c r="J31" s="213">
        <f>H31+I31</f>
        <v>0.4</v>
      </c>
      <c r="K31" s="213">
        <f>IF(D31="图片",G31*800,IF(D31="视频",G31*1000))</f>
        <v>2400</v>
      </c>
      <c r="L31" s="213">
        <f>(H31*5900+I31*1200+K31)/G31</f>
        <v>960</v>
      </c>
      <c r="M31" s="213">
        <f>Q31</f>
        <v>160</v>
      </c>
      <c r="N31" s="493"/>
      <c r="O31" s="493"/>
      <c r="P31" s="493"/>
      <c r="Q31" s="493">
        <f>(H31*5900+I31*1200)/G31</f>
        <v>160</v>
      </c>
      <c r="R31" s="495"/>
      <c r="S31" s="495"/>
      <c r="T31" s="495"/>
      <c r="U31" s="495"/>
      <c r="V31" s="495"/>
      <c r="W31" s="495"/>
      <c r="X31" s="495"/>
    </row>
    <row r="32" ht="39" customHeight="1" spans="1:31">
      <c r="A32" s="220" t="s">
        <v>230</v>
      </c>
      <c r="B32" s="470" t="s">
        <v>231</v>
      </c>
      <c r="C32" s="470"/>
      <c r="D32" s="496" t="s">
        <v>227</v>
      </c>
      <c r="E32" s="496"/>
      <c r="F32" s="471"/>
      <c r="G32" s="473">
        <v>3</v>
      </c>
      <c r="H32" s="213">
        <f>VLOOKUP($G$32,'【全球】CAA测试-数据源'!$J$15:$L$20,2,TRUE)</f>
        <v>0</v>
      </c>
      <c r="I32" s="213">
        <f>VLOOKUP($G$32,'【全球】CAA测试-数据源'!$J$15:$L$20,3,TRUE)</f>
        <v>0.4</v>
      </c>
      <c r="J32" s="213">
        <f>H32+I32</f>
        <v>0.4</v>
      </c>
      <c r="K32" s="213">
        <f>IF(D32="图片",G32*600,IF(D32="视频",G32*800))</f>
        <v>1800</v>
      </c>
      <c r="L32" s="213">
        <f>(H32*5900+I32*1200+K32)/G32</f>
        <v>760</v>
      </c>
      <c r="M32" s="213">
        <f>Q32</f>
        <v>160</v>
      </c>
      <c r="N32" s="493"/>
      <c r="O32" s="493"/>
      <c r="P32" s="493"/>
      <c r="Q32" s="493">
        <f>(H32*5900+I32*1200)/G32</f>
        <v>160</v>
      </c>
      <c r="R32" s="495"/>
      <c r="S32" s="495"/>
      <c r="T32" s="495"/>
      <c r="U32" s="495"/>
      <c r="V32" s="495"/>
      <c r="W32" s="495"/>
      <c r="X32" s="495"/>
    </row>
    <row r="33" ht="39" customHeight="1" spans="1:24">
      <c r="A33" s="220" t="s">
        <v>232</v>
      </c>
      <c r="B33" s="470" t="s">
        <v>233</v>
      </c>
      <c r="C33" s="470"/>
      <c r="D33" s="496" t="s">
        <v>227</v>
      </c>
      <c r="E33" s="496"/>
      <c r="F33" s="471"/>
      <c r="G33" s="473">
        <v>3</v>
      </c>
      <c r="H33" s="213">
        <f>VLOOKUP($G$33,'【全球】CAA测试-数据源'!$C$24:$E$29,2,TRUE)</f>
        <v>0</v>
      </c>
      <c r="I33" s="213">
        <f>VLOOKUP($G$33,'【全球】CAA测试-数据源'!$C$24:$E$29,3,TRUE)</f>
        <v>0.4</v>
      </c>
      <c r="J33" s="213">
        <f>H33+I33</f>
        <v>0.4</v>
      </c>
      <c r="K33" s="213">
        <f t="shared" si="16"/>
        <v>900</v>
      </c>
      <c r="L33" s="213">
        <f>(H33*5900+I33*1200+K33)/G33</f>
        <v>460</v>
      </c>
      <c r="M33" s="213">
        <f>Q33</f>
        <v>160</v>
      </c>
      <c r="N33" s="493"/>
      <c r="O33" s="493"/>
      <c r="P33" s="493"/>
      <c r="Q33" s="493">
        <f>(H33*5900+I33*1200)/G33</f>
        <v>160</v>
      </c>
      <c r="R33" s="495"/>
      <c r="S33" s="495"/>
      <c r="T33" s="495"/>
      <c r="U33" s="495"/>
      <c r="V33" s="495"/>
      <c r="W33" s="495"/>
      <c r="X33" s="495"/>
    </row>
    <row r="34" ht="72" customHeight="1" spans="1:24">
      <c r="A34" s="497" t="s">
        <v>234</v>
      </c>
      <c r="B34" s="480" t="s">
        <v>235</v>
      </c>
      <c r="C34" s="480"/>
      <c r="D34" s="480"/>
      <c r="E34" s="480"/>
      <c r="F34" s="480"/>
      <c r="G34" s="480"/>
      <c r="H34" s="480"/>
      <c r="I34" s="480"/>
      <c r="J34" s="480"/>
      <c r="K34" s="480"/>
      <c r="L34" s="492"/>
      <c r="M34" s="492"/>
      <c r="N34" s="492"/>
      <c r="O34" s="492"/>
      <c r="P34" s="492"/>
      <c r="Q34" s="492"/>
      <c r="R34" s="492"/>
      <c r="S34" s="492"/>
      <c r="T34" s="492"/>
      <c r="U34" s="492"/>
      <c r="V34" s="492"/>
      <c r="W34" s="492"/>
      <c r="X34" s="492"/>
    </row>
    <row r="35" ht="48" customHeight="1" spans="1:24">
      <c r="A35" s="498" t="s">
        <v>148</v>
      </c>
      <c r="B35" s="463" t="s">
        <v>236</v>
      </c>
      <c r="C35" s="463"/>
      <c r="D35" s="463" t="s">
        <v>237</v>
      </c>
      <c r="E35" s="463"/>
      <c r="F35" s="464" t="s">
        <v>238</v>
      </c>
      <c r="G35" s="464"/>
      <c r="H35" s="465" t="s">
        <v>239</v>
      </c>
      <c r="I35" s="465" t="s">
        <v>103</v>
      </c>
      <c r="J35" s="466" t="s">
        <v>157</v>
      </c>
      <c r="K35" s="466" t="s">
        <v>240</v>
      </c>
      <c r="L35" s="122"/>
      <c r="M35" s="122"/>
      <c r="N35" s="499"/>
      <c r="O35" s="499"/>
      <c r="P35" s="499"/>
      <c r="Q35" s="499"/>
      <c r="R35" s="499"/>
      <c r="S35" s="499"/>
      <c r="T35" s="499"/>
      <c r="U35" s="499"/>
      <c r="V35" s="499"/>
      <c r="W35" s="499"/>
      <c r="X35" s="499"/>
    </row>
    <row r="36" ht="39" customHeight="1" spans="1:24">
      <c r="A36" s="500" t="s">
        <v>241</v>
      </c>
      <c r="B36" s="470" t="s">
        <v>242</v>
      </c>
      <c r="C36" s="470"/>
      <c r="D36" s="471" t="s">
        <v>243</v>
      </c>
      <c r="E36" s="501" t="s">
        <v>244</v>
      </c>
      <c r="F36" s="471" t="s">
        <v>245</v>
      </c>
      <c r="G36" s="473">
        <v>200</v>
      </c>
      <c r="H36" s="213">
        <f>VLOOKUP($G$36,'【国内】兼职人力-数据源'!$B$5:$D$21,2,TRUE)</f>
        <v>1.3</v>
      </c>
      <c r="I36" s="213">
        <f>VLOOKUP($G$36,'【国内】兼职人力-数据源'!$B$5:$D$21,3,TRUE)</f>
        <v>0</v>
      </c>
      <c r="J36" s="213">
        <f>H36+I36</f>
        <v>1.3</v>
      </c>
      <c r="K36" s="213">
        <f>IF(E36="30min以内/样本",G36*2*'【国内】兼职人力-数据源'!E3,IF(E36="30~60min/样本",G36*'【国内】兼职人力-数据源'!E4))</f>
        <v>6400</v>
      </c>
      <c r="L36" s="122"/>
      <c r="M36" s="122"/>
      <c r="N36" s="499"/>
      <c r="O36" s="499"/>
      <c r="P36" s="499"/>
      <c r="Q36" s="499"/>
      <c r="R36" s="499"/>
      <c r="S36" s="499"/>
      <c r="T36" s="499"/>
      <c r="U36" s="499"/>
      <c r="V36" s="499"/>
      <c r="W36" s="499"/>
      <c r="X36" s="499"/>
    </row>
    <row r="37" ht="39" customHeight="1" spans="1:24">
      <c r="A37" s="500" t="s">
        <v>246</v>
      </c>
      <c r="B37" s="470" t="s">
        <v>247</v>
      </c>
      <c r="C37" s="470"/>
      <c r="D37" s="471"/>
      <c r="E37" s="501" t="s">
        <v>248</v>
      </c>
      <c r="F37" s="471"/>
      <c r="G37" s="473">
        <v>30</v>
      </c>
      <c r="H37" s="213">
        <f>VLOOKUP($G$37,'【国内】兼职人力-数据源'!$G$6:$I$22,2,TRUE)</f>
        <v>0.7</v>
      </c>
      <c r="I37" s="213">
        <f>VLOOKUP($G$37,'【国内】兼职人力-数据源'!$G$6:$I$22,3,TRUE)</f>
        <v>0</v>
      </c>
      <c r="J37" s="213">
        <f>H37+I37</f>
        <v>0.7</v>
      </c>
      <c r="K37" s="213">
        <f>IF(G37=0,0,IF(E37="10min及以内/样本",G37*1.5*'【国内】兼职人力-数据源'!J3+'【国内】兼职人力-数据源'!I3,IF(E37="10~30min/样本",G37*'【国内】兼职人力-数据源'!J4+'【国内】兼职人力-数据源'!I4,IF(E37="30~60min/样本",G37*'【国内】兼职人力-数据源'!J5+'【国内】兼职人力-数据源'!I5))))</f>
        <v>1180</v>
      </c>
      <c r="L37" s="122"/>
      <c r="M37" s="122"/>
      <c r="N37" s="499"/>
      <c r="O37" s="499"/>
      <c r="P37" s="499"/>
      <c r="Q37" s="499"/>
      <c r="R37" s="499"/>
      <c r="S37" s="499"/>
      <c r="T37" s="499"/>
      <c r="U37" s="499"/>
      <c r="V37" s="499"/>
      <c r="W37" s="499"/>
      <c r="X37" s="499"/>
    </row>
    <row r="38" ht="39" customHeight="1" spans="1:24">
      <c r="A38" s="500" t="s">
        <v>249</v>
      </c>
      <c r="B38" s="470" t="s">
        <v>250</v>
      </c>
      <c r="C38" s="470"/>
      <c r="D38" s="471"/>
      <c r="E38" s="501" t="s">
        <v>251</v>
      </c>
      <c r="F38" s="471"/>
      <c r="G38" s="473">
        <v>300</v>
      </c>
      <c r="H38" s="213">
        <f>VLOOKUP($G$38,'【国内】兼职人力-数据源'!B27:D44,2,TRUE)</f>
        <v>2</v>
      </c>
      <c r="I38" s="213">
        <f>VLOOKUP($G$38,'【国内】兼职人力-数据源'!C27:E44,3,TRUE)</f>
        <v>0</v>
      </c>
      <c r="J38" s="213">
        <f>H38+I38</f>
        <v>2</v>
      </c>
      <c r="K38" s="213">
        <f>IF(G38=0,0,IF(E38="10~30min/样本",G38*'【国内】兼职人力-数据源'!E25+'【国内】兼职人力-数据源'!D24,IF(E38="30~60min/样本",G38*'【国内】兼职人力-数据源'!E26+'【国内】兼职人力-数据源'!D25,IF(E38="10min以内/样本",G38*'【国内】兼职人力-数据源'!E24+'【国内】兼职人力-数据源'!D24))))</f>
        <v>4680</v>
      </c>
      <c r="L38" s="122"/>
      <c r="M38" s="122"/>
      <c r="N38" s="499"/>
      <c r="O38" s="499"/>
      <c r="P38" s="499"/>
      <c r="Q38" s="499"/>
      <c r="R38" s="499"/>
      <c r="S38" s="499"/>
      <c r="T38" s="499"/>
      <c r="U38" s="499"/>
      <c r="V38" s="499"/>
      <c r="W38" s="499"/>
      <c r="X38" s="499"/>
    </row>
    <row r="39" ht="39" customHeight="1" spans="1:24">
      <c r="A39" s="500" t="s">
        <v>252</v>
      </c>
      <c r="B39" s="470" t="s">
        <v>253</v>
      </c>
      <c r="C39" s="470"/>
      <c r="D39" s="471"/>
      <c r="E39" s="501" t="s">
        <v>254</v>
      </c>
      <c r="F39" s="471"/>
      <c r="G39" s="473">
        <v>6</v>
      </c>
      <c r="H39" s="213">
        <f>VLOOKUP($G$39,'【国内】兼职人力-数据源'!$G$28:$I$41,2,TRUE)</f>
        <v>0.5</v>
      </c>
      <c r="I39" s="213">
        <f>VLOOKUP($G$39,'【国内】兼职人力-数据源'!$G$28:$I$41,3,TRUE)</f>
        <v>0</v>
      </c>
      <c r="J39" s="213">
        <f>H39+I39</f>
        <v>0.5</v>
      </c>
      <c r="K39" s="213">
        <f>IF(E39="2H以内/样本",G39*'【国内】兼职人力-数据源'!J25,IF(E39="2~4H/样本",G39*'【国内】兼职人力-数据源'!J26,IF(E39="4~6H/样本",G39*'【国内】兼职人力-数据源'!J27)))</f>
        <v>1800</v>
      </c>
      <c r="L39" s="122"/>
      <c r="M39" s="122"/>
      <c r="N39" s="499"/>
      <c r="O39" s="499"/>
      <c r="P39" s="499"/>
      <c r="Q39" s="499"/>
      <c r="R39" s="499"/>
      <c r="S39" s="499"/>
      <c r="T39" s="499"/>
      <c r="U39" s="499"/>
      <c r="V39" s="499"/>
      <c r="W39" s="499"/>
      <c r="X39" s="499"/>
    </row>
  </sheetData>
  <protectedRanges>
    <protectedRange sqref="G7 G8 G9 G10 G11 G12:G13 G15:G16 G14 J13 J14 E12" name="国内招募测试时长"/>
    <protectedRange sqref="E14 E15 E16 E7:E11 E13" name="国内招募难度"/>
    <protectedRange sqref="J7 J8 J9 J10 J11 J12 J15:J16" name="国内测试样本量"/>
    <protectedRange sqref="G20 G21 G22 G23 G24 G25 G26" name="国内问卷样本量"/>
    <protectedRange sqref="E20 E21 E22 E23 E24 E25 E26" name="国内问卷难度"/>
    <protectedRange sqref="E36:E39" name="国内兼职工作难度"/>
    <protectedRange sqref="G36:G39" name="国内兼职工作量"/>
    <protectedRange sqref="G29:G33" name="国内CAA素材量"/>
    <protectedRange sqref="D29:E33" name="国内CAA素材类型"/>
  </protectedRanges>
  <mergeCells count="56">
    <mergeCell ref="A1:B1"/>
    <mergeCell ref="B2:Z2"/>
    <mergeCell ref="B3:Z3"/>
    <mergeCell ref="B4:Z4"/>
    <mergeCell ref="B5:Z5"/>
    <mergeCell ref="D6:E6"/>
    <mergeCell ref="F6:G6"/>
    <mergeCell ref="I6:J6"/>
    <mergeCell ref="B17:P17"/>
    <mergeCell ref="B18:P18"/>
    <mergeCell ref="B19:C19"/>
    <mergeCell ref="D19:E19"/>
    <mergeCell ref="F19:G19"/>
    <mergeCell ref="B20:C20"/>
    <mergeCell ref="B21:C21"/>
    <mergeCell ref="B22:C22"/>
    <mergeCell ref="B23:C23"/>
    <mergeCell ref="B24:C24"/>
    <mergeCell ref="B25:C25"/>
    <mergeCell ref="B26:C26"/>
    <mergeCell ref="B27:M27"/>
    <mergeCell ref="B28:C28"/>
    <mergeCell ref="D28:E28"/>
    <mergeCell ref="F28:G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K34"/>
    <mergeCell ref="B35:C35"/>
    <mergeCell ref="D35:E35"/>
    <mergeCell ref="F35:G35"/>
    <mergeCell ref="B36:C36"/>
    <mergeCell ref="B37:C37"/>
    <mergeCell ref="B38:C38"/>
    <mergeCell ref="B39:C39"/>
    <mergeCell ref="A3:A5"/>
    <mergeCell ref="A17:A18"/>
    <mergeCell ref="B7:B12"/>
    <mergeCell ref="B13:B14"/>
    <mergeCell ref="B15:B16"/>
    <mergeCell ref="D7:D16"/>
    <mergeCell ref="D20:D26"/>
    <mergeCell ref="D36:D39"/>
    <mergeCell ref="F7:F16"/>
    <mergeCell ref="F20:F26"/>
    <mergeCell ref="F29:F33"/>
    <mergeCell ref="F36:F39"/>
    <mergeCell ref="I7:I16"/>
    <mergeCell ref="N35:X39"/>
  </mergeCells>
  <dataValidations count="16">
    <dataValidation allowBlank="1" showInputMessage="1" showErrorMessage="1" sqref="E12 G7:G11 G13:G16 G20:G26 G29:G33 G36:G39 J7:J16"/>
    <dataValidation type="list" allowBlank="1" showInputMessage="1" showErrorMessage="1" sqref="G12">
      <formula1>"首日登录（2小时及以内）,3日登录（每天2小时及以内）,5日登录（每天2小时及以内）,7日登录（每天2小时及以内）"</formula1>
    </dataValidation>
    <dataValidation type="list" allowBlank="1" showInputMessage="1" showErrorMessage="1" sqref="D16 F16 I16">
      <formula1>'【国内】用户招募成本估算（完整版）'!$E$91:$E$94</formula1>
    </dataValidation>
    <dataValidation type="list" allowBlank="1" showInputMessage="1" showErrorMessage="1" sqref="E36">
      <formula1>"30min以内/样本,30~60min/样本"</formula1>
    </dataValidation>
    <dataValidation type="list" allowBlank="1" showInputMessage="1" showErrorMessage="1" sqref="E37">
      <formula1>"10min及以内/样本,10~30min/样本,30~60min/样本"</formula1>
    </dataValidation>
    <dataValidation type="list" allowBlank="1" showInputMessage="1" showErrorMessage="1" sqref="E38">
      <formula1>"10min以内/样本,10~30min/样本,30~60min/样本"</formula1>
    </dataValidation>
    <dataValidation type="list" allowBlank="1" showInputMessage="1" showErrorMessage="1" sqref="E39">
      <formula1>"2H以内/样本,2~4H/样本,4~6H/样本"</formula1>
    </dataValidation>
    <dataValidation type="list" allowBlank="1" showInputMessage="1" showErrorMessage="1" sqref="C29:C33 C36:C39">
      <formula1>"中国大陆,中国港澳台,美国,日本,韩国,东南亚地区"</formula1>
    </dataValidation>
    <dataValidation type="list" allowBlank="1" showInputMessage="1" showErrorMessage="1" sqref="E7:E11">
      <formula1>'【国内】用户招募成本估算（完整版）'!$E$4:$E$8</formula1>
    </dataValidation>
    <dataValidation type="list" allowBlank="1" showInputMessage="1" showErrorMessage="1" sqref="E13:E16">
      <formula1>'【国内】用户招募成本估算（完整版）'!$E$83:$E$86</formula1>
    </dataValidation>
    <dataValidation type="list" allowBlank="1" showInputMessage="1" showErrorMessage="1" sqref="E20:E26">
      <formula1>"一级难度,二级难度,三级难度,四级难度,五级难度,六级难度"</formula1>
    </dataValidation>
    <dataValidation type="list" allowBlank="1" showInputMessage="1" showErrorMessage="1" sqref="H7:H11 H20:H26">
      <formula1>"OP单独执行,P3单独执行,混合执行"</formula1>
    </dataValidation>
    <dataValidation type="list" allowBlank="1" showInputMessage="1" showErrorMessage="1" sqref="H12:H14">
      <formula1>"混合执行"</formula1>
    </dataValidation>
    <dataValidation type="list" allowBlank="1" showInputMessage="1" showErrorMessage="1" sqref="H15:H16">
      <formula1>"P3单独执行"</formula1>
    </dataValidation>
    <dataValidation type="list" allowBlank="1" showInputMessage="1" showErrorMessage="1" sqref="I20:I26">
      <formula1>"单供应商渠道执行,单抖音渠道执行,多渠道执行"</formula1>
    </dataValidation>
    <dataValidation type="list" allowBlank="1" showInputMessage="1" showErrorMessage="1" sqref="D29:E33">
      <formula1>"图片,视频"</formula1>
    </dataValidation>
  </dataValidations>
  <hyperlinks>
    <hyperlink ref="B18:X18" location="'⑤【国内】问卷调研-难度等级评估'!A1" display="点击跳转【问卷调研-难度等级说明表】"/>
    <hyperlink ref="B4:X4" location="'③【国内】常规用户招募-难度等级评估'!A1" display="点击跳转【常规用户-难度等级说明表】"/>
    <hyperlink ref="B5:X5" location="'④【国内】特殊&amp;小众用户招募-难度等级评估'!A1" display="点击跳转【特殊&amp;小众用户-难度等级说明表】"/>
    <hyperlink ref="A1:B1" location="'【注】使用说明&amp;目录'!A1" display="点击返回【使用说明&amp;目录】"/>
  </hyperlinks>
  <pageMargins left="0.75" right="0.75" top="1" bottom="1" header="0.5" footer="0.5"/>
  <pageSetup paperSize="9" orientation="portrait"/>
  <headerFooter/>
  <ignoredErrors>
    <ignoredError sqref="K31 L12:O12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showGridLines="0" zoomScale="70" zoomScaleNormal="70" workbookViewId="0">
      <pane ySplit="3" topLeftCell="A74" activePane="bottomLeft" state="frozen"/>
      <selection/>
      <selection pane="bottomLeft" activeCell="G36" sqref="G36"/>
    </sheetView>
  </sheetViews>
  <sheetFormatPr defaultColWidth="9" defaultRowHeight="16.5"/>
  <cols>
    <col min="1" max="1" width="13.25" style="1" customWidth="1"/>
    <col min="2" max="2" width="20" style="1" customWidth="1"/>
    <col min="3" max="4" width="26.5" style="1" customWidth="1"/>
    <col min="5" max="5" width="24" style="1" customWidth="1"/>
    <col min="6" max="7" width="17.625" style="1" customWidth="1"/>
    <col min="8" max="15" width="11.875" style="99" customWidth="1"/>
    <col min="16" max="16" width="24.75" style="1" customWidth="1"/>
    <col min="17" max="17" width="9" style="1" customWidth="1"/>
    <col min="18" max="19" width="12.625" style="1" customWidth="1"/>
    <col min="20" max="20" width="9" style="1" customWidth="1"/>
    <col min="21" max="21" width="19" style="1" customWidth="1"/>
    <col min="22" max="16384" width="9" style="1"/>
  </cols>
  <sheetData>
    <row r="1" ht="51" customHeight="1" spans="1:21">
      <c r="A1" s="284"/>
      <c r="B1" s="285" t="s">
        <v>255</v>
      </c>
      <c r="C1" s="286"/>
      <c r="D1" s="286"/>
      <c r="E1" s="286"/>
      <c r="F1" s="284"/>
      <c r="G1" s="284"/>
      <c r="H1" s="287"/>
      <c r="I1" s="287"/>
      <c r="J1" s="287"/>
      <c r="K1" s="287"/>
      <c r="L1" s="287"/>
      <c r="M1" s="287"/>
      <c r="N1" s="287"/>
      <c r="O1" s="287"/>
    </row>
    <row r="2" ht="69" customHeight="1" spans="1:21">
      <c r="A2" s="288" t="s">
        <v>256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</row>
    <row r="3" ht="48" customHeight="1" spans="1:21">
      <c r="A3" s="84" t="s">
        <v>148</v>
      </c>
      <c r="B3" s="290" t="s">
        <v>257</v>
      </c>
      <c r="C3" s="290" t="s">
        <v>150</v>
      </c>
      <c r="D3" s="290" t="s">
        <v>258</v>
      </c>
      <c r="E3" s="290" t="s">
        <v>151</v>
      </c>
      <c r="F3" s="291" t="s">
        <v>259</v>
      </c>
      <c r="G3" s="291" t="s">
        <v>260</v>
      </c>
      <c r="H3" s="205" t="s">
        <v>8</v>
      </c>
      <c r="I3" s="205" t="s">
        <v>9</v>
      </c>
      <c r="J3" s="205" t="s">
        <v>10</v>
      </c>
      <c r="K3" s="205" t="s">
        <v>103</v>
      </c>
      <c r="L3" s="104" t="s">
        <v>261</v>
      </c>
      <c r="M3" s="104" t="s">
        <v>158</v>
      </c>
      <c r="N3" s="104" t="s">
        <v>262</v>
      </c>
      <c r="O3" s="104" t="s">
        <v>160</v>
      </c>
      <c r="P3" s="104" t="s">
        <v>263</v>
      </c>
      <c r="U3" s="104" t="s">
        <v>264</v>
      </c>
    </row>
    <row r="4" ht="36" customHeight="1" spans="1:21">
      <c r="A4" s="54" t="s">
        <v>161</v>
      </c>
      <c r="B4" s="292" t="s">
        <v>162</v>
      </c>
      <c r="C4" s="293" t="s">
        <v>163</v>
      </c>
      <c r="D4" s="258" t="s">
        <v>170</v>
      </c>
      <c r="E4" s="294" t="s">
        <v>1</v>
      </c>
      <c r="F4" s="295">
        <f>'①【国内】研究资源成本估算 (v1.0)'!G7</f>
        <v>3</v>
      </c>
      <c r="G4" s="295">
        <f>'①【国内】研究资源成本估算 (v1.0)'!J7</f>
        <v>50</v>
      </c>
      <c r="H4" s="296">
        <f>VLOOKUP(G4,'【国内】常规用户招募-数据源 (OP)'!$A:$E,2,FALSE)</f>
        <v>0.525</v>
      </c>
      <c r="I4" s="296">
        <f>VLOOKUP(G4,'【国内】常规用户招募-数据源 (OP)'!$A:$E,3,FALSE)</f>
        <v>0</v>
      </c>
      <c r="J4" s="296">
        <f>VLOOKUP(G4,'【国内】常规用户招募-数据源 (OP)'!$A:$E,4,FALSE)</f>
        <v>9.76875</v>
      </c>
      <c r="K4" s="296">
        <f>VLOOKUP(G4,'【国内】常规用户招募-数据源 (OP)'!$A:$E,5,FALSE)</f>
        <v>9.5</v>
      </c>
      <c r="L4" s="296">
        <f>K4+J4+H4</f>
        <v>19.79375</v>
      </c>
      <c r="M4" s="296">
        <f t="shared" ref="M4:M18" si="0">(IF(F4&gt;2,200+INT((F4-2)/0.5)*50,IF(AND(F4&gt;0,F4&lt;=2),200,0)))*G4</f>
        <v>15000</v>
      </c>
      <c r="N4" s="296">
        <f t="shared" ref="N4:N18" si="1">G4*50</f>
        <v>2500</v>
      </c>
      <c r="O4" s="297">
        <f t="shared" ref="O4:O18" si="2">G4*20</f>
        <v>1000</v>
      </c>
      <c r="P4" s="99">
        <f>(H4*5900+I4*3400+J4*1200+K4*300)/G4</f>
        <v>353.4</v>
      </c>
      <c r="U4" s="1">
        <f>P4/2</f>
        <v>176.7</v>
      </c>
    </row>
    <row r="5" ht="36" customHeight="1" spans="1:21">
      <c r="A5" s="54" t="s">
        <v>168</v>
      </c>
      <c r="B5" s="292" t="s">
        <v>162</v>
      </c>
      <c r="C5" s="293" t="s">
        <v>163</v>
      </c>
      <c r="D5" s="258" t="s">
        <v>170</v>
      </c>
      <c r="E5" s="298" t="s">
        <v>3</v>
      </c>
      <c r="F5" s="299">
        <f>'①【国内】研究资源成本估算 (v1.0)'!G7</f>
        <v>3</v>
      </c>
      <c r="G5" s="299">
        <f>'①【国内】研究资源成本估算 (v1.0)'!J7</f>
        <v>50</v>
      </c>
      <c r="H5" s="300">
        <f>VLOOKUP(G5,'【国内】常规用户招募-数据源 (OP)'!$N:$R,2,FALSE)</f>
        <v>0.9</v>
      </c>
      <c r="I5" s="300">
        <f>VLOOKUP(G5,'【国内】常规用户招募-数据源 (OP)'!$A:$E,3,FALSE)</f>
        <v>0</v>
      </c>
      <c r="J5" s="300">
        <f>VLOOKUP(G5,'【国内】常规用户招募-数据源 (OP)'!$N:$R,4,FALSE)</f>
        <v>9.19166666666667</v>
      </c>
      <c r="K5" s="300">
        <f>VLOOKUP(G5,'【国内】常规用户招募-数据源 (OP)'!$N:$R,5,FALSE)</f>
        <v>10</v>
      </c>
      <c r="L5" s="300">
        <f>K5+J5+H5</f>
        <v>20.0916666666667</v>
      </c>
      <c r="M5" s="300">
        <f t="shared" si="0"/>
        <v>15000</v>
      </c>
      <c r="N5" s="300">
        <f t="shared" si="1"/>
        <v>2500</v>
      </c>
      <c r="O5" s="301">
        <f t="shared" si="2"/>
        <v>1000</v>
      </c>
      <c r="P5" s="99">
        <f>(H5*5900+J5*1200+K5*300)/G5</f>
        <v>386.8</v>
      </c>
      <c r="U5" s="1">
        <f t="shared" ref="U5:U36" si="3">P5/2</f>
        <v>193.4</v>
      </c>
    </row>
    <row r="6" ht="36" customHeight="1" spans="1:21">
      <c r="A6" s="54" t="s">
        <v>171</v>
      </c>
      <c r="B6" s="292" t="s">
        <v>162</v>
      </c>
      <c r="C6" s="293" t="s">
        <v>163</v>
      </c>
      <c r="D6" s="258" t="s">
        <v>170</v>
      </c>
      <c r="E6" s="302" t="s">
        <v>4</v>
      </c>
      <c r="F6" s="299">
        <f>'①【国内】研究资源成本估算 (v1.0)'!G7</f>
        <v>3</v>
      </c>
      <c r="G6" s="299">
        <f>'①【国内】研究资源成本估算 (v1.0)'!J7</f>
        <v>50</v>
      </c>
      <c r="H6" s="300">
        <f ca="1">VLOOKUP(G6,'【国内】常规用户招募-数据源 (OP)'!$Z:$AD,2,FALSE)</f>
        <v>1.6</v>
      </c>
      <c r="I6" s="300">
        <f>VLOOKUP(G6,'【国内】常规用户招募-数据源 (OP)'!$A:$E,3,FALSE)</f>
        <v>0</v>
      </c>
      <c r="J6" s="300">
        <f ca="1">VLOOKUP(G6,'【国内】常规用户招募-数据源 (OP)'!$Z:$AD,4,FALSE)</f>
        <v>12.0416666666667</v>
      </c>
      <c r="K6" s="300">
        <f ca="1">VLOOKUP(G6,'【国内】常规用户招募-数据源 (OP)'!$Z:$AD,5,FALSE)</f>
        <v>12</v>
      </c>
      <c r="L6" s="300">
        <f ca="1">K6+J6+H6</f>
        <v>25.6416666666667</v>
      </c>
      <c r="M6" s="300">
        <f t="shared" si="0"/>
        <v>15000</v>
      </c>
      <c r="N6" s="300">
        <f t="shared" si="1"/>
        <v>2500</v>
      </c>
      <c r="O6" s="301">
        <f t="shared" si="2"/>
        <v>1000</v>
      </c>
      <c r="P6" s="99">
        <f ca="1">(H6*5900+J6*1200+K6*300)/G6</f>
        <v>549.800000000001</v>
      </c>
      <c r="U6" s="1">
        <f ca="1" t="shared" si="3"/>
        <v>274.9</v>
      </c>
    </row>
    <row r="7" ht="36" customHeight="1" spans="1:21">
      <c r="A7" s="54" t="s">
        <v>173</v>
      </c>
      <c r="B7" s="292" t="s">
        <v>162</v>
      </c>
      <c r="C7" s="293" t="s">
        <v>163</v>
      </c>
      <c r="D7" s="258" t="s">
        <v>170</v>
      </c>
      <c r="E7" s="303" t="s">
        <v>5</v>
      </c>
      <c r="F7" s="299">
        <f>'①【国内】研究资源成本估算 (v1.0)'!G7</f>
        <v>3</v>
      </c>
      <c r="G7" s="299">
        <f>'①【国内】研究资源成本估算 (v1.0)'!J7</f>
        <v>50</v>
      </c>
      <c r="H7" s="300">
        <f>VLOOKUP(G7,'【国内】常规用户招募-数据源 (OP)'!$AM:$AQ,2,FALSE)</f>
        <v>2.3</v>
      </c>
      <c r="I7" s="300">
        <f>VLOOKUP(G7,'【国内】常规用户招募-数据源 (OP)'!$A:$E,3,FALSE)</f>
        <v>0</v>
      </c>
      <c r="J7" s="300">
        <f>VLOOKUP(G7,'【国内】常规用户招募-数据源 (OP)'!$AM:$AQ,4,FALSE)</f>
        <v>12.585</v>
      </c>
      <c r="K7" s="300">
        <f>VLOOKUP(G7,'【国内】常规用户招募-数据源 (OP)'!$AM:$AQ,5,FALSE)</f>
        <v>12.96</v>
      </c>
      <c r="L7" s="300">
        <f>K7+J7+H7</f>
        <v>27.845</v>
      </c>
      <c r="M7" s="300">
        <f t="shared" si="0"/>
        <v>15000</v>
      </c>
      <c r="N7" s="300">
        <f t="shared" si="1"/>
        <v>2500</v>
      </c>
      <c r="O7" s="301">
        <f t="shared" si="2"/>
        <v>1000</v>
      </c>
      <c r="P7" s="99">
        <f>(H7*5900+J7*1200+K7*300)/G7</f>
        <v>651.2</v>
      </c>
      <c r="U7" s="1">
        <f t="shared" si="3"/>
        <v>325.6</v>
      </c>
    </row>
    <row r="8" ht="36" customHeight="1" spans="1:21">
      <c r="A8" s="54" t="s">
        <v>175</v>
      </c>
      <c r="B8" s="292" t="s">
        <v>162</v>
      </c>
      <c r="C8" s="293" t="s">
        <v>163</v>
      </c>
      <c r="D8" s="258" t="s">
        <v>170</v>
      </c>
      <c r="E8" s="304" t="s">
        <v>123</v>
      </c>
      <c r="F8" s="305">
        <f>'①【国内】研究资源成本估算 (v1.0)'!G7</f>
        <v>3</v>
      </c>
      <c r="G8" s="305">
        <f>'①【国内】研究资源成本估算 (v1.0)'!J7</f>
        <v>50</v>
      </c>
      <c r="H8" s="306">
        <f>VLOOKUP(G8,'【国内】常规用户招募-数据源 (OP)'!AZ:BD,2,FALSE)</f>
        <v>2.3</v>
      </c>
      <c r="I8" s="306">
        <f>VLOOKUP(G8,'【国内】常规用户招募-数据源 (OP)'!$A:$E,3,FALSE)</f>
        <v>0</v>
      </c>
      <c r="J8" s="306">
        <f>VLOOKUP(G8,'【国内】常规用户招募-数据源 (OP)'!AZ:BD,4,FALSE)</f>
        <v>13.2887333333333</v>
      </c>
      <c r="K8" s="306">
        <f>VLOOKUP(G8,'【国内】常规用户招募-数据源 (OP)'!AZ:BD,5,FALSE)</f>
        <v>13.4784</v>
      </c>
      <c r="L8" s="306">
        <f>K8+J8+H8</f>
        <v>29.0671333333333</v>
      </c>
      <c r="M8" s="306">
        <f t="shared" si="0"/>
        <v>15000</v>
      </c>
      <c r="N8" s="306">
        <f t="shared" si="1"/>
        <v>2500</v>
      </c>
      <c r="O8" s="307">
        <f t="shared" si="2"/>
        <v>1000</v>
      </c>
      <c r="P8" s="99">
        <f>(H8*5900+J8*1200+K8*300)/G8</f>
        <v>671.199999999999</v>
      </c>
      <c r="U8" s="1">
        <f t="shared" si="3"/>
        <v>335.6</v>
      </c>
    </row>
    <row r="9" ht="36" customHeight="1" spans="1:21">
      <c r="A9" s="54"/>
      <c r="B9" s="292" t="s">
        <v>162</v>
      </c>
      <c r="C9" s="293" t="s">
        <v>163</v>
      </c>
      <c r="D9" s="308" t="s">
        <v>30</v>
      </c>
      <c r="E9" s="294" t="s">
        <v>1</v>
      </c>
      <c r="F9" s="309">
        <f>'①【国内】研究资源成本估算 (v1.0)'!G7</f>
        <v>3</v>
      </c>
      <c r="G9" s="295">
        <f>'①【国内】研究资源成本估算 (v1.0)'!J7</f>
        <v>50</v>
      </c>
      <c r="H9" s="296">
        <f>VLOOKUP(G9,'【国内】常规用户招募-数据源 （正职）'!A:E,2,FALSE)</f>
        <v>0.3</v>
      </c>
      <c r="I9" s="296">
        <f>VLOOKUP(G9,'【国内】常规用户招募-数据源 （正职）'!A:E,4,FALSE)</f>
        <v>4.2</v>
      </c>
      <c r="J9" s="296">
        <v>0</v>
      </c>
      <c r="K9" s="296">
        <f>VLOOKUP(G9,'【国内】常规用户招募-数据源 （正职）'!A:E,5,FALSE)</f>
        <v>5.4</v>
      </c>
      <c r="L9" s="296">
        <f>K9+I9+H9</f>
        <v>9.9</v>
      </c>
      <c r="M9" s="296">
        <f t="shared" si="0"/>
        <v>15000</v>
      </c>
      <c r="N9" s="296">
        <f t="shared" si="1"/>
        <v>2500</v>
      </c>
      <c r="O9" s="297">
        <f t="shared" si="2"/>
        <v>1000</v>
      </c>
      <c r="P9" s="99">
        <f>(H9*5900+I9*3400+K9*300)/G9</f>
        <v>353.4</v>
      </c>
      <c r="R9" s="310"/>
      <c r="S9" s="310"/>
      <c r="T9" s="310"/>
      <c r="U9" s="1">
        <f t="shared" si="3"/>
        <v>176.7</v>
      </c>
    </row>
    <row r="10" ht="36" customHeight="1" spans="1:21">
      <c r="A10" s="54"/>
      <c r="B10" s="292" t="s">
        <v>162</v>
      </c>
      <c r="C10" s="293" t="s">
        <v>163</v>
      </c>
      <c r="D10" s="308" t="s">
        <v>30</v>
      </c>
      <c r="E10" s="298" t="s">
        <v>3</v>
      </c>
      <c r="F10" s="311">
        <f>'①【国内】研究资源成本估算 (v1.0)'!G7</f>
        <v>3</v>
      </c>
      <c r="G10" s="299">
        <f>'①【国内】研究资源成本估算 (v1.0)'!J7</f>
        <v>50</v>
      </c>
      <c r="H10" s="300">
        <f>VLOOKUP(G10,'【国内】常规用户招募-数据源 （正职）'!L:P,2,FALSE)</f>
        <v>0.5</v>
      </c>
      <c r="I10" s="300">
        <f>VLOOKUP(G10,'【国内】常规用户招募-数据源 （正职）'!L:P,4,FALSE)</f>
        <v>4.3</v>
      </c>
      <c r="J10" s="300">
        <v>0</v>
      </c>
      <c r="K10" s="300">
        <f>VLOOKUP(G10,'【国内】常规用户招募-数据源 （正职）'!L:P,5,FALSE)</f>
        <v>5.9</v>
      </c>
      <c r="L10" s="300">
        <f>K10+I10+H10</f>
        <v>10.7</v>
      </c>
      <c r="M10" s="300">
        <f t="shared" si="0"/>
        <v>15000</v>
      </c>
      <c r="N10" s="296">
        <f t="shared" si="1"/>
        <v>2500</v>
      </c>
      <c r="O10" s="301">
        <f t="shared" si="2"/>
        <v>1000</v>
      </c>
      <c r="P10" s="99">
        <f>(H10*5900+I10*3400+K10*300)/G10</f>
        <v>386.8</v>
      </c>
      <c r="R10" s="310"/>
      <c r="S10" s="310"/>
      <c r="T10" s="310"/>
      <c r="U10" s="1">
        <f t="shared" si="3"/>
        <v>193.4</v>
      </c>
    </row>
    <row r="11" ht="36" customHeight="1" spans="1:21">
      <c r="A11" s="54"/>
      <c r="B11" s="292" t="s">
        <v>162</v>
      </c>
      <c r="C11" s="293" t="s">
        <v>163</v>
      </c>
      <c r="D11" s="308" t="s">
        <v>30</v>
      </c>
      <c r="E11" s="302" t="s">
        <v>4</v>
      </c>
      <c r="F11" s="311">
        <f>'①【国内】研究资源成本估算 (v1.0)'!G7</f>
        <v>3</v>
      </c>
      <c r="G11" s="299">
        <f>'①【国内】研究资源成本估算 (v1.0)'!J7</f>
        <v>50</v>
      </c>
      <c r="H11" s="300">
        <f>VLOOKUP(G11,'【国内】常规用户招募-数据源 （正职）'!V:Z,2,FALSE)</f>
        <v>0.8</v>
      </c>
      <c r="I11" s="300">
        <f>VLOOKUP(G11,'【国内】常规用户招募-数据源 （正职）'!V:Z,4,FALSE)</f>
        <v>6</v>
      </c>
      <c r="J11" s="300">
        <v>0</v>
      </c>
      <c r="K11" s="300">
        <f>VLOOKUP(G11,'【国内】常规用户招募-数据源 （正职）'!V:Z,5,FALSE)</f>
        <v>7.9</v>
      </c>
      <c r="L11" s="300">
        <f>K11+I11+H11</f>
        <v>14.7</v>
      </c>
      <c r="M11" s="300">
        <f t="shared" si="0"/>
        <v>15000</v>
      </c>
      <c r="N11" s="296">
        <f t="shared" si="1"/>
        <v>2500</v>
      </c>
      <c r="O11" s="301">
        <f t="shared" si="2"/>
        <v>1000</v>
      </c>
      <c r="P11" s="99">
        <f>(H11*5900+I11*3400+K11*300)/G11</f>
        <v>549.8</v>
      </c>
      <c r="R11" s="310"/>
      <c r="S11" s="310"/>
      <c r="T11" s="310"/>
      <c r="U11" s="1">
        <f t="shared" si="3"/>
        <v>274.9</v>
      </c>
    </row>
    <row r="12" ht="36" customHeight="1" spans="1:21">
      <c r="A12" s="54"/>
      <c r="B12" s="292" t="s">
        <v>162</v>
      </c>
      <c r="C12" s="293" t="s">
        <v>163</v>
      </c>
      <c r="D12" s="308" t="s">
        <v>30</v>
      </c>
      <c r="E12" s="303" t="s">
        <v>5</v>
      </c>
      <c r="F12" s="311">
        <f>'①【国内】研究资源成本估算 (v1.0)'!G7</f>
        <v>3</v>
      </c>
      <c r="G12" s="299">
        <f>'①【国内】研究资源成本估算 (v1.0)'!J7</f>
        <v>50</v>
      </c>
      <c r="H12" s="300">
        <f>VLOOKUP(G12,'【国内】常规用户招募-数据源 （正职）'!AF:AJ,2,FALSE)</f>
        <v>1</v>
      </c>
      <c r="I12" s="300">
        <f>VLOOKUP(G12,'【国内】常规用户招募-数据源 （正职）'!AF:AJ,4,FALSE)</f>
        <v>7.1</v>
      </c>
      <c r="J12" s="300">
        <v>0</v>
      </c>
      <c r="K12" s="300">
        <f>VLOOKUP(G12,'【国内】常规用户招募-数据源 （正职）'!AF:AJ,5,FALSE)</f>
        <v>8.4</v>
      </c>
      <c r="L12" s="300">
        <f>K12+I12+H12</f>
        <v>16.5</v>
      </c>
      <c r="M12" s="300">
        <f t="shared" si="0"/>
        <v>15000</v>
      </c>
      <c r="N12" s="296">
        <f t="shared" si="1"/>
        <v>2500</v>
      </c>
      <c r="O12" s="301">
        <f t="shared" si="2"/>
        <v>1000</v>
      </c>
      <c r="P12" s="99">
        <f>(H12*5900+I12*3400+K12*300)/G12</f>
        <v>651.2</v>
      </c>
      <c r="R12" s="310"/>
      <c r="S12" s="310"/>
      <c r="T12" s="310"/>
      <c r="U12" s="1">
        <f t="shared" si="3"/>
        <v>325.6</v>
      </c>
    </row>
    <row r="13" ht="36" customHeight="1" spans="1:21">
      <c r="A13" s="54"/>
      <c r="B13" s="292" t="s">
        <v>162</v>
      </c>
      <c r="C13" s="293" t="s">
        <v>163</v>
      </c>
      <c r="D13" s="308" t="s">
        <v>30</v>
      </c>
      <c r="E13" s="304" t="s">
        <v>123</v>
      </c>
      <c r="F13" s="312">
        <f>'①【国内】研究资源成本估算 (v1.0)'!G7</f>
        <v>3</v>
      </c>
      <c r="G13" s="305">
        <f>'①【国内】研究资源成本估算 (v1.0)'!J7</f>
        <v>50</v>
      </c>
      <c r="H13" s="306">
        <f>VLOOKUP(G13,'【国内】常规用户招募-数据源 （正职）'!AP:AT,2,FALSE)</f>
        <v>1</v>
      </c>
      <c r="I13" s="306">
        <f>VLOOKUP(G13,'【国内】常规用户招募-数据源 （正职）'!AP:AT,4,FALSE)</f>
        <v>7.5</v>
      </c>
      <c r="J13" s="306">
        <v>0</v>
      </c>
      <c r="K13" s="306">
        <f>VLOOKUP(G13,'【国内】常规用户招募-数据源 （正职）'!AP:AT,5,FALSE)</f>
        <v>7.2</v>
      </c>
      <c r="L13" s="306">
        <f>K13+I13+H13</f>
        <v>15.7</v>
      </c>
      <c r="M13" s="306">
        <f t="shared" si="0"/>
        <v>15000</v>
      </c>
      <c r="N13" s="296">
        <f t="shared" si="1"/>
        <v>2500</v>
      </c>
      <c r="O13" s="307">
        <f t="shared" si="2"/>
        <v>1000</v>
      </c>
      <c r="P13" s="99">
        <f>(H13*5900+I13*3400+K13*300)/G13</f>
        <v>671.2</v>
      </c>
      <c r="R13" s="310"/>
      <c r="S13" s="310"/>
      <c r="T13" s="310"/>
      <c r="U13" s="1">
        <f t="shared" si="3"/>
        <v>335.6</v>
      </c>
    </row>
    <row r="14" ht="36" customHeight="1" spans="1:21">
      <c r="A14" s="54"/>
      <c r="B14" s="292" t="s">
        <v>162</v>
      </c>
      <c r="C14" s="293" t="s">
        <v>163</v>
      </c>
      <c r="D14" s="258" t="s">
        <v>166</v>
      </c>
      <c r="E14" s="294" t="s">
        <v>1</v>
      </c>
      <c r="F14" s="309">
        <f>'①【国内】研究资源成本估算 (v1.0)'!G7</f>
        <v>3</v>
      </c>
      <c r="G14" s="295">
        <f>'①【国内】研究资源成本估算 (v1.0)'!J7</f>
        <v>50</v>
      </c>
      <c r="H14" s="296">
        <f>VLOOKUP(G14,'【国内】常规用户招募-数据源(正职+OP混合执行）'!A:F,2,FALSE)</f>
        <v>0.39</v>
      </c>
      <c r="I14" s="296">
        <f>VLOOKUP(G14,'【国内】常规用户招募-数据源(正职+OP混合执行）'!A:F,3,FALSE)</f>
        <v>2.52</v>
      </c>
      <c r="J14" s="296">
        <f>VLOOKUP(G14,'【国内】常规用户招募-数据源(正职+OP混合执行）'!A:F,4,FALSE)</f>
        <v>4.3175</v>
      </c>
      <c r="K14" s="296">
        <f>VLOOKUP(G14,'【国内】常规用户招募-数据源(正职+OP混合执行）'!A:F,5,FALSE)</f>
        <v>5.4</v>
      </c>
      <c r="L14" s="296">
        <f>K14+J14+H14</f>
        <v>10.1075</v>
      </c>
      <c r="M14" s="296">
        <f t="shared" si="0"/>
        <v>15000</v>
      </c>
      <c r="N14" s="296">
        <f t="shared" si="1"/>
        <v>2500</v>
      </c>
      <c r="O14" s="297">
        <f t="shared" si="2"/>
        <v>1000</v>
      </c>
      <c r="P14" s="99">
        <f>(H14*5900+I14*3400+J14*1200+K14*300)/G14</f>
        <v>353.4</v>
      </c>
      <c r="R14" s="310"/>
      <c r="S14" s="310"/>
      <c r="T14" s="310"/>
      <c r="U14" s="1">
        <f t="shared" si="3"/>
        <v>176.7</v>
      </c>
    </row>
    <row r="15" ht="36" customHeight="1" spans="1:21">
      <c r="A15" s="54"/>
      <c r="B15" s="292" t="s">
        <v>162</v>
      </c>
      <c r="C15" s="293" t="s">
        <v>163</v>
      </c>
      <c r="D15" s="258" t="s">
        <v>166</v>
      </c>
      <c r="E15" s="298" t="s">
        <v>3</v>
      </c>
      <c r="F15" s="311">
        <f>'①【国内】研究资源成本估算 (v1.0)'!G7</f>
        <v>3</v>
      </c>
      <c r="G15" s="299">
        <f>'①【国内】研究资源成本估算 (v1.0)'!J7</f>
        <v>50</v>
      </c>
      <c r="H15" s="300">
        <f>VLOOKUP(G15,'【国内】常规用户招募-数据源(正职+OP混合执行）'!N:S,2,FALSE)</f>
        <v>0.65</v>
      </c>
      <c r="I15" s="300">
        <f>VLOOKUP(G15,'【国内】常规用户招募-数据源(正职+OP混合执行）'!N:S,3,FALSE)</f>
        <v>2.58</v>
      </c>
      <c r="J15" s="300">
        <f>VLOOKUP(G15,'【国内】常规用户招募-数据源(正职+OP混合执行）'!N:S,4,FALSE)</f>
        <v>4.16533333333333</v>
      </c>
      <c r="K15" s="300">
        <f>VLOOKUP(G15,'【国内】常规用户招募-数据源(正职+OP混合执行）'!N:S,5,FALSE)</f>
        <v>5.782</v>
      </c>
      <c r="L15" s="300">
        <f>K15+J15+H15</f>
        <v>10.5973333333333</v>
      </c>
      <c r="M15" s="300">
        <f t="shared" si="0"/>
        <v>15000</v>
      </c>
      <c r="N15" s="296">
        <f t="shared" si="1"/>
        <v>2500</v>
      </c>
      <c r="O15" s="301">
        <f t="shared" si="2"/>
        <v>1000</v>
      </c>
      <c r="P15" s="99">
        <f>(H15*5900+I15*3400+J15*1200+K15*300)/G15</f>
        <v>386.8</v>
      </c>
      <c r="R15" s="310"/>
      <c r="S15" s="310"/>
      <c r="T15" s="310"/>
      <c r="U15" s="1">
        <f t="shared" si="3"/>
        <v>193.4</v>
      </c>
    </row>
    <row r="16" ht="36" customHeight="1" spans="1:21">
      <c r="A16" s="54"/>
      <c r="B16" s="292" t="s">
        <v>162</v>
      </c>
      <c r="C16" s="293" t="s">
        <v>163</v>
      </c>
      <c r="D16" s="258" t="s">
        <v>166</v>
      </c>
      <c r="E16" s="302" t="s">
        <v>4</v>
      </c>
      <c r="F16" s="311">
        <f>'①【国内】研究资源成本估算 (v1.0)'!G7</f>
        <v>3</v>
      </c>
      <c r="G16" s="299">
        <f>'①【国内】研究资源成本估算 (v1.0)'!J7</f>
        <v>50</v>
      </c>
      <c r="H16" s="300">
        <f>VLOOKUP(G16,'【国内】常规用户招募-数据源(正职+OP混合执行）'!Z:AE,2,FALSE)</f>
        <v>1.04</v>
      </c>
      <c r="I16" s="300">
        <f>VLOOKUP(G16,'【国内】常规用户招募-数据源(正职+OP混合执行）'!Z:AE,3,FALSE)</f>
        <v>3.6</v>
      </c>
      <c r="J16" s="300">
        <f>VLOOKUP(G16,'【国内】常规用户招募-数据源(正职+OP混合执行）'!Z:AE,4,FALSE)</f>
        <v>5.225</v>
      </c>
      <c r="K16" s="300">
        <f>VLOOKUP(G16,'【国内】常规用户招募-数据源(正职+OP混合执行）'!Z:AE,5,FALSE)</f>
        <v>9.48</v>
      </c>
      <c r="L16" s="300">
        <f>K16+J16+H16</f>
        <v>15.745</v>
      </c>
      <c r="M16" s="300">
        <f t="shared" si="0"/>
        <v>15000</v>
      </c>
      <c r="N16" s="296">
        <f t="shared" si="1"/>
        <v>2500</v>
      </c>
      <c r="O16" s="301">
        <f t="shared" si="2"/>
        <v>1000</v>
      </c>
      <c r="P16" s="99">
        <f>(H16*5900+I16*3400+J16*1200+K16*300)/G16</f>
        <v>549.8</v>
      </c>
      <c r="R16" s="310"/>
      <c r="S16" s="310"/>
      <c r="T16" s="310"/>
      <c r="U16" s="1">
        <f t="shared" si="3"/>
        <v>274.9</v>
      </c>
    </row>
    <row r="17" ht="36" customHeight="1" spans="1:21">
      <c r="A17" s="54"/>
      <c r="B17" s="292" t="s">
        <v>162</v>
      </c>
      <c r="C17" s="293" t="s">
        <v>163</v>
      </c>
      <c r="D17" s="258" t="s">
        <v>166</v>
      </c>
      <c r="E17" s="303" t="s">
        <v>5</v>
      </c>
      <c r="F17" s="311">
        <f>'①【国内】研究资源成本估算 (v1.0)'!G7</f>
        <v>3</v>
      </c>
      <c r="G17" s="299">
        <f>'①【国内】研究资源成本估算 (v1.0)'!J7</f>
        <v>50</v>
      </c>
      <c r="H17" s="300">
        <f>VLOOKUP(G17,'【国内】常规用户招募-数据源(正职+OP混合执行）'!AL:AP,2,FALSE)</f>
        <v>1.3</v>
      </c>
      <c r="I17" s="300">
        <f>VLOOKUP(G17,'【国内】常规用户招募-数据源(正职+OP混合执行）'!AL:AP,3,FALSE)</f>
        <v>4.26</v>
      </c>
      <c r="J17" s="300">
        <f>VLOOKUP(G17,'【国内】常规用户招募-数据源(正职+OP混合执行）'!AL:AP,4,FALSE)</f>
        <v>6.40366666666667</v>
      </c>
      <c r="K17" s="300">
        <f>VLOOKUP(G17,'【国内】常规用户招募-数据源(正职+OP混合执行）'!AL:AP,5,FALSE)</f>
        <v>9.072</v>
      </c>
      <c r="L17" s="300">
        <f>K17+J17+H17</f>
        <v>16.7756666666667</v>
      </c>
      <c r="M17" s="300">
        <f t="shared" si="0"/>
        <v>15000</v>
      </c>
      <c r="N17" s="296">
        <f t="shared" si="1"/>
        <v>2500</v>
      </c>
      <c r="O17" s="301">
        <f t="shared" si="2"/>
        <v>1000</v>
      </c>
      <c r="P17" s="99">
        <f>(H17*5900+I17*3400+J17*1200+K17*300)/G17</f>
        <v>651.2</v>
      </c>
      <c r="R17" s="310"/>
      <c r="S17" s="310"/>
      <c r="T17" s="310"/>
      <c r="U17" s="1">
        <f t="shared" si="3"/>
        <v>325.6</v>
      </c>
    </row>
    <row r="18" ht="36" customHeight="1" spans="1:21">
      <c r="A18" s="54"/>
      <c r="B18" s="292" t="s">
        <v>162</v>
      </c>
      <c r="C18" s="293" t="s">
        <v>163</v>
      </c>
      <c r="D18" s="258" t="s">
        <v>166</v>
      </c>
      <c r="E18" s="313" t="s">
        <v>123</v>
      </c>
      <c r="F18" s="314">
        <f>'①【国内】研究资源成本估算 (v1.0)'!G7</f>
        <v>3</v>
      </c>
      <c r="G18" s="315">
        <f>'①【国内】研究资源成本估算 (v1.0)'!J7</f>
        <v>50</v>
      </c>
      <c r="H18" s="316">
        <f>VLOOKUP(G18,'【国内】常规用户招募-数据源(正职+OP混合执行）'!AX:BB,2,FALSE)</f>
        <v>1.3</v>
      </c>
      <c r="I18" s="316">
        <f>VLOOKUP(G18,'【国内】常规用户招募-数据源(正职+OP混合执行）'!AX:BB,3,FALSE)</f>
        <v>4.5</v>
      </c>
      <c r="J18" s="316">
        <f>VLOOKUP(G18,'【国内】常规用户招募-数据源(正职+OP混合执行）'!AX:BB,4,FALSE)</f>
        <v>6.845</v>
      </c>
      <c r="K18" s="316">
        <f>VLOOKUP(G18,'【国内】常规用户招募-数据源(正职+OP混合执行）'!AX:BB,5,FALSE)</f>
        <v>7.92</v>
      </c>
      <c r="L18" s="316">
        <f>K18+J18+H18</f>
        <v>16.065</v>
      </c>
      <c r="M18" s="316">
        <f t="shared" si="0"/>
        <v>15000</v>
      </c>
      <c r="N18" s="296">
        <f t="shared" si="1"/>
        <v>2500</v>
      </c>
      <c r="O18" s="317">
        <f t="shared" si="2"/>
        <v>1000</v>
      </c>
      <c r="P18" s="99">
        <f>(H18*5900+I18*3400+J18*1200+K18*300)/G18</f>
        <v>671.2</v>
      </c>
      <c r="Q18" s="1" t="s">
        <v>8</v>
      </c>
      <c r="R18" s="310" t="s">
        <v>9</v>
      </c>
      <c r="S18" s="310" t="s">
        <v>10</v>
      </c>
      <c r="T18" s="310" t="s">
        <v>103</v>
      </c>
      <c r="U18" s="1">
        <f t="shared" si="3"/>
        <v>335.6</v>
      </c>
    </row>
    <row r="19" ht="36" customHeight="1" spans="1:21">
      <c r="A19" s="54" t="s">
        <v>177</v>
      </c>
      <c r="B19" s="292" t="s">
        <v>162</v>
      </c>
      <c r="C19" s="107" t="s">
        <v>169</v>
      </c>
      <c r="D19" s="318" t="s">
        <v>170</v>
      </c>
      <c r="E19" s="319" t="s">
        <v>1</v>
      </c>
      <c r="F19" s="320">
        <f>'①【国内】研究资源成本估算 (v1.0)'!$G$8</f>
        <v>1.5</v>
      </c>
      <c r="G19" s="321">
        <f>'①【国内】研究资源成本估算 (v1.0)'!$J$8</f>
        <v>10</v>
      </c>
      <c r="H19" s="322">
        <f t="shared" ref="H19:H33" si="4">Q19</f>
        <v>0</v>
      </c>
      <c r="I19" s="322">
        <f t="shared" ref="I19:I33" si="5">R19*1.1</f>
        <v>0</v>
      </c>
      <c r="J19" s="322">
        <f>S19*1.12</f>
        <v>2.75333333333333</v>
      </c>
      <c r="K19" s="322">
        <f t="shared" ref="K19:K28" si="6">T19</f>
        <v>3</v>
      </c>
      <c r="L19" s="322">
        <f t="shared" ref="L19:L24" si="7">K19+J19+H19</f>
        <v>5.75333333333333</v>
      </c>
      <c r="M19" s="322">
        <f>(IF(F19&gt;2,300+INT((F19-2)/0.5)*70,IF(AND(F19&gt;0,F19&lt;=2),300,0)))*G19</f>
        <v>3000</v>
      </c>
      <c r="N19" s="322">
        <f>G19*60</f>
        <v>600</v>
      </c>
      <c r="O19" s="322">
        <f t="shared" ref="O19:O33" si="8">G19*20</f>
        <v>200</v>
      </c>
      <c r="P19" s="323">
        <f t="shared" ref="P19:P23" si="9">(H19*5900+J19*1200+K19*300)/G19</f>
        <v>420.4</v>
      </c>
      <c r="Q19" s="324">
        <f>VLOOKUP($G$19,'【国内】常规用户招募-数据源 (OP)'!$A:$E,2,FALSE)</f>
        <v>0</v>
      </c>
      <c r="R19" s="324">
        <f>VLOOKUP($G$19,'【国内】常规用户招募-数据源 (OP)'!$A:$E,3,FALSE)</f>
        <v>0</v>
      </c>
      <c r="S19" s="324">
        <f>VLOOKUP($G$19,'【国内】常规用户招募-数据源 (OP)'!$A:$E,4,FALSE)</f>
        <v>2.45833333333333</v>
      </c>
      <c r="T19" s="325">
        <f>VLOOKUP($G$19,'【国内】常规用户招募-数据源 (OP)'!$A:$E,5,FALSE)</f>
        <v>3</v>
      </c>
      <c r="U19" s="1">
        <f t="shared" si="3"/>
        <v>210.2</v>
      </c>
    </row>
    <row r="20" ht="36" customHeight="1" spans="1:21">
      <c r="A20" s="54" t="s">
        <v>182</v>
      </c>
      <c r="B20" s="292" t="s">
        <v>162</v>
      </c>
      <c r="C20" s="107" t="s">
        <v>169</v>
      </c>
      <c r="D20" s="318" t="s">
        <v>170</v>
      </c>
      <c r="E20" s="326" t="s">
        <v>3</v>
      </c>
      <c r="F20" s="327">
        <f>'①【国内】研究资源成本估算 (v1.0)'!$G$8</f>
        <v>1.5</v>
      </c>
      <c r="G20" s="328">
        <f>'①【国内】研究资源成本估算 (v1.0)'!$J$8</f>
        <v>10</v>
      </c>
      <c r="H20" s="329">
        <f t="shared" si="4"/>
        <v>0</v>
      </c>
      <c r="I20" s="330">
        <f t="shared" si="5"/>
        <v>0</v>
      </c>
      <c r="J20" s="330">
        <f>S20*1.12</f>
        <v>3.444</v>
      </c>
      <c r="K20" s="330">
        <f t="shared" si="6"/>
        <v>3</v>
      </c>
      <c r="L20" s="329">
        <f t="shared" si="7"/>
        <v>6.444</v>
      </c>
      <c r="M20" s="329">
        <f t="shared" ref="M20:M33" si="10">(IF(F20&gt;2,300+INT((F20-2)/0.5)*70,IF(AND(F20&gt;0,F20&lt;=2),300,0)))*G20</f>
        <v>3000</v>
      </c>
      <c r="N20" s="322">
        <f t="shared" ref="N20:N33" si="11">G20*60</f>
        <v>600</v>
      </c>
      <c r="O20" s="329">
        <f t="shared" si="8"/>
        <v>200</v>
      </c>
      <c r="P20" s="331">
        <f t="shared" si="9"/>
        <v>503.28</v>
      </c>
      <c r="Q20" s="332">
        <f>VLOOKUP($G$20,'【国内】常规用户招募-数据源 (OP)'!$N:$R,2,FALSE)</f>
        <v>0</v>
      </c>
      <c r="R20" s="332">
        <f>VLOOKUP($G$20,'【国内】常规用户招募-数据源 (OP)'!$N:$R,3,FALSE)</f>
        <v>0</v>
      </c>
      <c r="S20" s="332">
        <f>VLOOKUP($G$20,'【国内】常规用户招募-数据源 (OP)'!$N:$R,4,FALSE)</f>
        <v>3.075</v>
      </c>
      <c r="T20" s="333">
        <f>VLOOKUP($G$20,'【国内】常规用户招募-数据源 (OP)'!$N:$R,5,FALSE)</f>
        <v>3</v>
      </c>
      <c r="U20" s="1">
        <f t="shared" si="3"/>
        <v>251.64</v>
      </c>
    </row>
    <row r="21" ht="36" customHeight="1" spans="1:21">
      <c r="A21" s="54" t="s">
        <v>185</v>
      </c>
      <c r="B21" s="292" t="s">
        <v>162</v>
      </c>
      <c r="C21" s="107" t="s">
        <v>169</v>
      </c>
      <c r="D21" s="318" t="s">
        <v>170</v>
      </c>
      <c r="E21" s="334" t="s">
        <v>4</v>
      </c>
      <c r="F21" s="327">
        <f>'①【国内】研究资源成本估算 (v1.0)'!$G$8</f>
        <v>1.5</v>
      </c>
      <c r="G21" s="328">
        <f>'①【国内】研究资源成本估算 (v1.0)'!$J$8</f>
        <v>10</v>
      </c>
      <c r="H21" s="329">
        <f ca="1" t="shared" si="4"/>
        <v>0</v>
      </c>
      <c r="I21" s="330">
        <f ca="1" t="shared" si="5"/>
        <v>0</v>
      </c>
      <c r="J21" s="330">
        <f ca="1">S21*1.12</f>
        <v>4.256</v>
      </c>
      <c r="K21" s="330">
        <f ca="1" t="shared" si="6"/>
        <v>3.4</v>
      </c>
      <c r="L21" s="329">
        <f ca="1" t="shared" si="7"/>
        <v>7.656</v>
      </c>
      <c r="M21" s="329">
        <f t="shared" si="10"/>
        <v>3000</v>
      </c>
      <c r="N21" s="322">
        <f t="shared" si="11"/>
        <v>600</v>
      </c>
      <c r="O21" s="329">
        <f t="shared" si="8"/>
        <v>200</v>
      </c>
      <c r="P21" s="331">
        <f ca="1" t="shared" si="9"/>
        <v>612.72</v>
      </c>
      <c r="Q21" s="332">
        <f ca="1">VLOOKUP($G$21,'【国内】常规用户招募-数据源 (OP)'!$Z:$AD,2,FALSE)</f>
        <v>0</v>
      </c>
      <c r="R21" s="332">
        <f ca="1">VLOOKUP($G$21,'【国内】常规用户招募-数据源 (OP)'!$Z:$AD,3,FALSE)</f>
        <v>0</v>
      </c>
      <c r="S21" s="332">
        <f ca="1">VLOOKUP($G$21,'【国内】常规用户招募-数据源 (OP)'!$Z:$AD,4,FALSE)</f>
        <v>3.8</v>
      </c>
      <c r="T21" s="333">
        <f ca="1">VLOOKUP($G$21,'【国内】常规用户招募-数据源 (OP)'!$Z:$AD,5,FALSE)</f>
        <v>3.4</v>
      </c>
      <c r="U21" s="1">
        <f ca="1" t="shared" si="3"/>
        <v>306.36</v>
      </c>
    </row>
    <row r="22" ht="36" customHeight="1" spans="1:21">
      <c r="A22" s="54" t="s">
        <v>186</v>
      </c>
      <c r="B22" s="292" t="s">
        <v>162</v>
      </c>
      <c r="C22" s="107" t="s">
        <v>169</v>
      </c>
      <c r="D22" s="318" t="s">
        <v>170</v>
      </c>
      <c r="E22" s="335" t="s">
        <v>5</v>
      </c>
      <c r="F22" s="327">
        <f>'①【国内】研究资源成本估算 (v1.0)'!$G$8</f>
        <v>1.5</v>
      </c>
      <c r="G22" s="328">
        <f>'①【国内】研究资源成本估算 (v1.0)'!$J$8</f>
        <v>10</v>
      </c>
      <c r="H22" s="329">
        <f t="shared" si="4"/>
        <v>0.22</v>
      </c>
      <c r="I22" s="330">
        <f t="shared" si="5"/>
        <v>0</v>
      </c>
      <c r="J22" s="330">
        <f>S22*1.12</f>
        <v>3.92037333333333</v>
      </c>
      <c r="K22" s="330">
        <f t="shared" si="6"/>
        <v>3.672</v>
      </c>
      <c r="L22" s="329">
        <f t="shared" si="7"/>
        <v>7.81237333333333</v>
      </c>
      <c r="M22" s="329">
        <f t="shared" si="10"/>
        <v>3000</v>
      </c>
      <c r="N22" s="322">
        <f t="shared" si="11"/>
        <v>600</v>
      </c>
      <c r="O22" s="329">
        <f t="shared" si="8"/>
        <v>200</v>
      </c>
      <c r="P22" s="331">
        <f t="shared" si="9"/>
        <v>710.4048</v>
      </c>
      <c r="Q22" s="332">
        <f>VLOOKUP($G$22,'【国内】常规用户招募-数据源 (OP)'!$AM:$AQ,2,FALSE)</f>
        <v>0.22</v>
      </c>
      <c r="R22" s="336">
        <f>VLOOKUP($G$22,'【国内】常规用户招募-数据源 (OP)'!$AM:$AQ,3,FALSE)</f>
        <v>0</v>
      </c>
      <c r="S22" s="332">
        <f>VLOOKUP($G$22,'【国内】常规用户招募-数据源 (OP)'!$AM:$AQ,4,FALSE)</f>
        <v>3.50033333333333</v>
      </c>
      <c r="T22" s="333">
        <f>VLOOKUP($G$22,'【国内】常规用户招募-数据源 (OP)'!$AM:$AQ,5,FALSE)</f>
        <v>3.672</v>
      </c>
      <c r="U22" s="1">
        <f t="shared" si="3"/>
        <v>355.2024</v>
      </c>
    </row>
    <row r="23" ht="36" customHeight="1" spans="1:21">
      <c r="A23" s="54" t="s">
        <v>188</v>
      </c>
      <c r="B23" s="292" t="s">
        <v>162</v>
      </c>
      <c r="C23" s="107" t="s">
        <v>169</v>
      </c>
      <c r="D23" s="318" t="s">
        <v>170</v>
      </c>
      <c r="E23" s="337" t="s">
        <v>123</v>
      </c>
      <c r="F23" s="327">
        <f>'①【国内】研究资源成本估算 (v1.0)'!$G$8</f>
        <v>1.5</v>
      </c>
      <c r="G23" s="328">
        <f>'①【国内】研究资源成本估算 (v1.0)'!$J$8</f>
        <v>10</v>
      </c>
      <c r="H23" s="329">
        <f t="shared" si="4"/>
        <v>0.23</v>
      </c>
      <c r="I23" s="330">
        <f t="shared" si="5"/>
        <v>0</v>
      </c>
      <c r="J23" s="330">
        <f>S23*1.12</f>
        <v>4.81413333333333</v>
      </c>
      <c r="K23" s="330">
        <f t="shared" si="6"/>
        <v>3.3</v>
      </c>
      <c r="L23" s="329">
        <f t="shared" si="7"/>
        <v>8.34413333333333</v>
      </c>
      <c r="M23" s="329">
        <f t="shared" si="10"/>
        <v>3000</v>
      </c>
      <c r="N23" s="322">
        <f t="shared" si="11"/>
        <v>600</v>
      </c>
      <c r="O23" s="329">
        <f t="shared" si="8"/>
        <v>200</v>
      </c>
      <c r="P23" s="331">
        <f t="shared" si="9"/>
        <v>812.396</v>
      </c>
      <c r="Q23" s="338">
        <f>VLOOKUP($G$23,'【国内】常规用户招募-数据源 (OP)'!$AZ:$BF,2,FALSE)</f>
        <v>0.23</v>
      </c>
      <c r="R23" s="339">
        <f>VLOOKUP($G$23,'【国内】常规用户招募-数据源 (OP)'!$AZ:$BF,3,FALSE)</f>
        <v>0</v>
      </c>
      <c r="S23" s="338">
        <f>VLOOKUP($G$23,'【国内】常规用户招募-数据源 (OP)'!$AZ:$BF,4,FALSE)</f>
        <v>4.29833333333333</v>
      </c>
      <c r="T23" s="340">
        <f>VLOOKUP($G$23,'【国内】常规用户招募-数据源 (OP)'!$AZ:$BF,5,FALSE)</f>
        <v>3.3</v>
      </c>
      <c r="U23" s="1">
        <f t="shared" si="3"/>
        <v>406.198</v>
      </c>
    </row>
    <row r="24" ht="36" customHeight="1" spans="1:21">
      <c r="A24" s="54"/>
      <c r="B24" s="292" t="s">
        <v>162</v>
      </c>
      <c r="C24" s="107" t="s">
        <v>169</v>
      </c>
      <c r="D24" s="341" t="s">
        <v>30</v>
      </c>
      <c r="E24" s="342" t="s">
        <v>1</v>
      </c>
      <c r="F24" s="327">
        <f>'①【国内】研究资源成本估算 (v1.0)'!$G$8</f>
        <v>1.5</v>
      </c>
      <c r="G24" s="328">
        <f>'①【国内】研究资源成本估算 (v1.0)'!$J$8</f>
        <v>10</v>
      </c>
      <c r="H24" s="329">
        <f t="shared" si="4"/>
        <v>0</v>
      </c>
      <c r="I24" s="329">
        <f t="shared" si="5"/>
        <v>1.1</v>
      </c>
      <c r="J24" s="329">
        <f>S24</f>
        <v>0</v>
      </c>
      <c r="K24" s="329">
        <f t="shared" si="6"/>
        <v>1.5</v>
      </c>
      <c r="L24" s="329">
        <f t="shared" si="7"/>
        <v>1.5</v>
      </c>
      <c r="M24" s="329">
        <f t="shared" si="10"/>
        <v>3000</v>
      </c>
      <c r="N24" s="322">
        <f t="shared" si="11"/>
        <v>600</v>
      </c>
      <c r="O24" s="329">
        <f t="shared" si="8"/>
        <v>200</v>
      </c>
      <c r="P24" s="331">
        <f>(H24*5900+I24*3400+K24*300)/G24</f>
        <v>419</v>
      </c>
      <c r="Q24" s="330">
        <f>VLOOKUP($G$24,'【国内】常规用户招募-数据源 （正职）'!$A:$E,2,FALSE)</f>
        <v>0</v>
      </c>
      <c r="R24" s="330">
        <f>VLOOKUP($G$24,'【国内】常规用户招募-数据源 （正职）'!$A:$E,4,FALSE)</f>
        <v>1</v>
      </c>
      <c r="S24" s="330">
        <v>0</v>
      </c>
      <c r="T24" s="343">
        <f>VLOOKUP($G$24,'【国内】常规用户招募-数据源 （正职）'!$A:$E,5,FALSE)</f>
        <v>1.5</v>
      </c>
      <c r="U24" s="1">
        <f t="shared" si="3"/>
        <v>209.5</v>
      </c>
    </row>
    <row r="25" ht="36" customHeight="1" spans="1:21">
      <c r="A25" s="54"/>
      <c r="B25" s="292" t="s">
        <v>162</v>
      </c>
      <c r="C25" s="107" t="s">
        <v>169</v>
      </c>
      <c r="D25" s="341" t="s">
        <v>30</v>
      </c>
      <c r="E25" s="326" t="s">
        <v>3</v>
      </c>
      <c r="F25" s="327">
        <f>'①【国内】研究资源成本估算 (v1.0)'!$G$8</f>
        <v>1.5</v>
      </c>
      <c r="G25" s="328">
        <f>'①【国内】研究资源成本估算 (v1.0)'!$J$8</f>
        <v>10</v>
      </c>
      <c r="H25" s="329">
        <f t="shared" si="4"/>
        <v>0</v>
      </c>
      <c r="I25" s="329">
        <f t="shared" si="5"/>
        <v>1.32</v>
      </c>
      <c r="J25" s="329">
        <f>S25</f>
        <v>0</v>
      </c>
      <c r="K25" s="329">
        <f t="shared" si="6"/>
        <v>1.7</v>
      </c>
      <c r="L25" s="329">
        <f>K25+I25+H25</f>
        <v>3.02</v>
      </c>
      <c r="M25" s="329">
        <f t="shared" si="10"/>
        <v>3000</v>
      </c>
      <c r="N25" s="322">
        <f t="shared" si="11"/>
        <v>600</v>
      </c>
      <c r="O25" s="329">
        <f t="shared" si="8"/>
        <v>200</v>
      </c>
      <c r="P25" s="331">
        <f>(H25*5900+I25*3400+K25*300)/G25</f>
        <v>499.8</v>
      </c>
      <c r="Q25" s="329">
        <f>VLOOKUP($G$25,'【国内】常规用户招募-数据源 （正职）'!$L:$P,2,FALSE)</f>
        <v>0</v>
      </c>
      <c r="R25" s="329">
        <f>VLOOKUP($G$25,'【国内】常规用户招募-数据源 （正职）'!$L:$P,4,FALSE)</f>
        <v>1.2</v>
      </c>
      <c r="S25" s="329">
        <v>0</v>
      </c>
      <c r="T25" s="344">
        <f>VLOOKUP($G$25,'【国内】常规用户招募-数据源 （正职）'!$L:$P,5,FALSE)</f>
        <v>1.7</v>
      </c>
      <c r="U25" s="1">
        <f t="shared" si="3"/>
        <v>249.9</v>
      </c>
    </row>
    <row r="26" ht="36" customHeight="1" spans="1:21">
      <c r="A26" s="54"/>
      <c r="B26" s="292" t="s">
        <v>162</v>
      </c>
      <c r="C26" s="107" t="s">
        <v>169</v>
      </c>
      <c r="D26" s="341" t="s">
        <v>30</v>
      </c>
      <c r="E26" s="334" t="s">
        <v>4</v>
      </c>
      <c r="F26" s="327">
        <f>'①【国内】研究资源成本估算 (v1.0)'!$G$8</f>
        <v>1.5</v>
      </c>
      <c r="G26" s="328">
        <f>'①【国内】研究资源成本估算 (v1.0)'!$J$8</f>
        <v>10</v>
      </c>
      <c r="H26" s="329">
        <f t="shared" si="4"/>
        <v>0</v>
      </c>
      <c r="I26" s="329">
        <f t="shared" si="5"/>
        <v>1.65</v>
      </c>
      <c r="J26" s="329">
        <f>S26</f>
        <v>0</v>
      </c>
      <c r="K26" s="329">
        <f t="shared" si="6"/>
        <v>1.6</v>
      </c>
      <c r="L26" s="329">
        <f>K26+I26+H26</f>
        <v>3.25</v>
      </c>
      <c r="M26" s="329">
        <f t="shared" si="10"/>
        <v>3000</v>
      </c>
      <c r="N26" s="322">
        <f t="shared" si="11"/>
        <v>600</v>
      </c>
      <c r="O26" s="329">
        <f t="shared" si="8"/>
        <v>200</v>
      </c>
      <c r="P26" s="331">
        <f>(H26*5900+I26*3400+K26*300)/G26</f>
        <v>609</v>
      </c>
      <c r="Q26" s="329">
        <f>VLOOKUP($G$26,'【国内】常规用户招募-数据源 （正职）'!$V:$Z,2,FALSE)</f>
        <v>0</v>
      </c>
      <c r="R26" s="329">
        <f>VLOOKUP($G$26,'【国内】常规用户招募-数据源 （正职）'!$V:$Z,4,FALSE)</f>
        <v>1.5</v>
      </c>
      <c r="S26" s="329">
        <v>0</v>
      </c>
      <c r="T26" s="344">
        <f>VLOOKUP($G$26,'【国内】常规用户招募-数据源 （正职）'!$V:$Z,5,FALSE)</f>
        <v>1.6</v>
      </c>
      <c r="U26" s="1">
        <f t="shared" si="3"/>
        <v>304.5</v>
      </c>
    </row>
    <row r="27" ht="36" customHeight="1" spans="1:21">
      <c r="A27" s="54"/>
      <c r="B27" s="292" t="s">
        <v>162</v>
      </c>
      <c r="C27" s="107" t="s">
        <v>169</v>
      </c>
      <c r="D27" s="341" t="s">
        <v>30</v>
      </c>
      <c r="E27" s="335" t="s">
        <v>5</v>
      </c>
      <c r="F27" s="327">
        <f>'①【国内】研究资源成本估算 (v1.0)'!$G$8</f>
        <v>1.5</v>
      </c>
      <c r="G27" s="328">
        <f>'①【国内】研究资源成本估算 (v1.0)'!$J$8</f>
        <v>10</v>
      </c>
      <c r="H27" s="329">
        <f t="shared" si="4"/>
        <v>0.1</v>
      </c>
      <c r="I27" s="329">
        <f t="shared" si="5"/>
        <v>1.76</v>
      </c>
      <c r="J27" s="329">
        <f>S27</f>
        <v>0</v>
      </c>
      <c r="K27" s="329">
        <f t="shared" si="6"/>
        <v>1.9</v>
      </c>
      <c r="L27" s="329">
        <f>K27+I27+H27</f>
        <v>3.76</v>
      </c>
      <c r="M27" s="329">
        <f t="shared" si="10"/>
        <v>3000</v>
      </c>
      <c r="N27" s="322">
        <f t="shared" si="11"/>
        <v>600</v>
      </c>
      <c r="O27" s="329">
        <f t="shared" si="8"/>
        <v>200</v>
      </c>
      <c r="P27" s="331">
        <f>(H27*5900+I27*3400+K27*300)/G27</f>
        <v>714.4</v>
      </c>
      <c r="Q27" s="329">
        <f>VLOOKUP($G$27,'【国内】常规用户招募-数据源 （正职）'!$AF:$AJ,2,FALSE)</f>
        <v>0.1</v>
      </c>
      <c r="R27" s="329">
        <f>VLOOKUP($G$27,'【国内】常规用户招募-数据源 （正职）'!$AF:$AJ,4,FALSE)</f>
        <v>1.6</v>
      </c>
      <c r="S27" s="329">
        <v>0</v>
      </c>
      <c r="T27" s="344">
        <f>VLOOKUP($G$27,'【国内】常规用户招募-数据源 （正职）'!$AF:$AJ,5,FALSE)</f>
        <v>1.9</v>
      </c>
      <c r="U27" s="1">
        <f t="shared" si="3"/>
        <v>357.2</v>
      </c>
    </row>
    <row r="28" ht="36" customHeight="1" spans="1:21">
      <c r="A28" s="54"/>
      <c r="B28" s="292" t="s">
        <v>162</v>
      </c>
      <c r="C28" s="107" t="s">
        <v>169</v>
      </c>
      <c r="D28" s="341" t="s">
        <v>30</v>
      </c>
      <c r="E28" s="337" t="s">
        <v>123</v>
      </c>
      <c r="F28" s="327">
        <f>'①【国内】研究资源成本估算 (v1.0)'!$G$8</f>
        <v>1.5</v>
      </c>
      <c r="G28" s="328">
        <f>'①【国内】研究资源成本估算 (v1.0)'!$J$8</f>
        <v>10</v>
      </c>
      <c r="H28" s="329">
        <f t="shared" si="4"/>
        <v>0.1</v>
      </c>
      <c r="I28" s="329">
        <f t="shared" si="5"/>
        <v>2.0625</v>
      </c>
      <c r="J28" s="329">
        <f>S28</f>
        <v>0</v>
      </c>
      <c r="K28" s="329">
        <f t="shared" si="6"/>
        <v>1.8</v>
      </c>
      <c r="L28" s="329">
        <f>K28+I28+H28</f>
        <v>3.9625</v>
      </c>
      <c r="M28" s="329">
        <f t="shared" si="10"/>
        <v>3000</v>
      </c>
      <c r="N28" s="322">
        <f t="shared" si="11"/>
        <v>600</v>
      </c>
      <c r="O28" s="329">
        <f t="shared" si="8"/>
        <v>200</v>
      </c>
      <c r="P28" s="331">
        <f>(H28*5900+I28*3400+K28*300)/G28</f>
        <v>814.25</v>
      </c>
      <c r="Q28" s="329">
        <f>VLOOKUP($G$28,'【国内】常规用户招募-数据源 （正职）'!$AP:$AT,2,FALSE)</f>
        <v>0.1</v>
      </c>
      <c r="R28" s="329">
        <f>VLOOKUP($G$28,'【国内】常规用户招募-数据源 （正职）'!$AP:$AT,4,FALSE)</f>
        <v>1.875</v>
      </c>
      <c r="S28" s="329">
        <v>0</v>
      </c>
      <c r="T28" s="344">
        <f>VLOOKUP($G$28,'【国内】常规用户招募-数据源 （正职）'!$AP:$AT,5,FALSE)</f>
        <v>1.8</v>
      </c>
      <c r="U28" s="1">
        <f t="shared" si="3"/>
        <v>407.125</v>
      </c>
    </row>
    <row r="29" ht="36" customHeight="1" spans="1:21">
      <c r="A29" s="54"/>
      <c r="B29" s="292" t="s">
        <v>162</v>
      </c>
      <c r="C29" s="107" t="s">
        <v>169</v>
      </c>
      <c r="D29" s="345" t="s">
        <v>166</v>
      </c>
      <c r="E29" s="342" t="s">
        <v>1</v>
      </c>
      <c r="F29" s="327">
        <f>'①【国内】研究资源成本估算 (v1.0)'!$G$8</f>
        <v>1.5</v>
      </c>
      <c r="G29" s="328">
        <f>'①【国内】研究资源成本估算 (v1.0)'!$J$8</f>
        <v>10</v>
      </c>
      <c r="H29" s="329">
        <f t="shared" si="4"/>
        <v>0</v>
      </c>
      <c r="I29" s="329">
        <f t="shared" si="5"/>
        <v>0.66</v>
      </c>
      <c r="J29" s="329">
        <f>S29*1.1</f>
        <v>1.24666666666667</v>
      </c>
      <c r="K29" s="329">
        <f>T29*1.2</f>
        <v>1.8</v>
      </c>
      <c r="L29" s="329">
        <f t="shared" ref="L29:L34" si="12">K29+J29+H29</f>
        <v>3.04666666666667</v>
      </c>
      <c r="M29" s="329">
        <f t="shared" si="10"/>
        <v>3000</v>
      </c>
      <c r="N29" s="322">
        <f t="shared" si="11"/>
        <v>600</v>
      </c>
      <c r="O29" s="329">
        <f t="shared" si="8"/>
        <v>200</v>
      </c>
      <c r="P29" s="331">
        <f>(H29*5900+I29*3400+J29*1200+K29*300)/G29</f>
        <v>428</v>
      </c>
      <c r="Q29" s="329">
        <f>VLOOKUP(G29,'【国内】常规用户招募-数据源(正职+OP混合执行）'!A:E,2,FALSE)</f>
        <v>0</v>
      </c>
      <c r="R29" s="331">
        <f>VLOOKUP(G29,'【国内】常规用户招募-数据源(正职+OP混合执行）'!A:E,3,FALSE)</f>
        <v>0.6</v>
      </c>
      <c r="S29" s="329">
        <f>VLOOKUP(G29,'【国内】常规用户招募-数据源(正职+OP混合执行）'!A:E,4,FALSE)</f>
        <v>1.13333333333333</v>
      </c>
      <c r="T29" s="344">
        <f>VLOOKUP(G29,'【国内】常规用户招募-数据源(正职+OP混合执行）'!A:E,5,FALSE)</f>
        <v>1.5</v>
      </c>
      <c r="U29" s="1">
        <f t="shared" si="3"/>
        <v>214</v>
      </c>
    </row>
    <row r="30" ht="36" customHeight="1" spans="1:21">
      <c r="A30" s="54"/>
      <c r="B30" s="292" t="s">
        <v>162</v>
      </c>
      <c r="C30" s="107" t="s">
        <v>169</v>
      </c>
      <c r="D30" s="345" t="s">
        <v>166</v>
      </c>
      <c r="E30" s="326" t="s">
        <v>3</v>
      </c>
      <c r="F30" s="327">
        <f>'①【国内】研究资源成本估算 (v1.0)'!$G$8</f>
        <v>1.5</v>
      </c>
      <c r="G30" s="328">
        <f>'①【国内】研究资源成本估算 (v1.0)'!$J$8</f>
        <v>10</v>
      </c>
      <c r="H30" s="329">
        <f t="shared" si="4"/>
        <v>0</v>
      </c>
      <c r="I30" s="329">
        <f t="shared" si="5"/>
        <v>0.792</v>
      </c>
      <c r="J30" s="329">
        <f>S30*1.1</f>
        <v>1.50535</v>
      </c>
      <c r="K30" s="329">
        <f>T30*1.2</f>
        <v>1.9992</v>
      </c>
      <c r="L30" s="329">
        <f t="shared" si="12"/>
        <v>3.50455</v>
      </c>
      <c r="M30" s="329">
        <f t="shared" si="10"/>
        <v>3000</v>
      </c>
      <c r="N30" s="322">
        <f t="shared" si="11"/>
        <v>600</v>
      </c>
      <c r="O30" s="329">
        <f t="shared" si="8"/>
        <v>200</v>
      </c>
      <c r="P30" s="331">
        <f>(H30*5900+I30*3400+J30*1200+K30*300)/G30</f>
        <v>509.898</v>
      </c>
      <c r="Q30" s="329">
        <f>VLOOKUP(G30,'【国内】常规用户招募-数据源(正职+OP混合执行）'!N:R,2,FALSE)</f>
        <v>0</v>
      </c>
      <c r="R30" s="331">
        <f>VLOOKUP(G30,'【国内】常规用户招募-数据源(正职+OP混合执行）'!N:R,3,FALSE)</f>
        <v>0.72</v>
      </c>
      <c r="S30" s="329">
        <f>VLOOKUP(G30,'【国内】常规用户招募-数据源(正职+OP混合执行）'!N:R,4,FALSE)</f>
        <v>1.3685</v>
      </c>
      <c r="T30" s="344">
        <f>VLOOKUP(G30,'【国内】常规用户招募-数据源(正职+OP混合执行）'!N:R,5,FALSE)</f>
        <v>1.666</v>
      </c>
      <c r="U30" s="1">
        <f t="shared" si="3"/>
        <v>254.949</v>
      </c>
    </row>
    <row r="31" ht="36" customHeight="1" spans="1:21">
      <c r="A31" s="54"/>
      <c r="B31" s="292" t="s">
        <v>162</v>
      </c>
      <c r="C31" s="107" t="s">
        <v>169</v>
      </c>
      <c r="D31" s="345" t="s">
        <v>166</v>
      </c>
      <c r="E31" s="334" t="s">
        <v>4</v>
      </c>
      <c r="F31" s="327">
        <f>'①【国内】研究资源成本估算 (v1.0)'!$G$8</f>
        <v>1.5</v>
      </c>
      <c r="G31" s="328">
        <f>'①【国内】研究资源成本估算 (v1.0)'!$J$8</f>
        <v>10</v>
      </c>
      <c r="H31" s="329">
        <f t="shared" si="4"/>
        <v>0</v>
      </c>
      <c r="I31" s="329">
        <f t="shared" si="5"/>
        <v>0.99</v>
      </c>
      <c r="J31" s="329">
        <f>S31*1.1</f>
        <v>1.782</v>
      </c>
      <c r="K31" s="329">
        <f>T31*1.2</f>
        <v>2.304</v>
      </c>
      <c r="L31" s="329">
        <f t="shared" si="12"/>
        <v>4.086</v>
      </c>
      <c r="M31" s="329">
        <f t="shared" si="10"/>
        <v>3000</v>
      </c>
      <c r="N31" s="322">
        <f t="shared" si="11"/>
        <v>600</v>
      </c>
      <c r="O31" s="329">
        <f t="shared" si="8"/>
        <v>200</v>
      </c>
      <c r="P31" s="331">
        <f>(H31*5900+I31*3400+J31*1200+K31*300)/G31</f>
        <v>619.56</v>
      </c>
      <c r="Q31" s="329">
        <f>VLOOKUP(G31,'【国内】常规用户招募-数据源(正职+OP混合执行）'!Z:AD,2,FALSE)</f>
        <v>0</v>
      </c>
      <c r="R31" s="331">
        <f>VLOOKUP(G31,'【国内】常规用户招募-数据源(正职+OP混合执行）'!Z:AD,3,FALSE)</f>
        <v>0.9</v>
      </c>
      <c r="S31" s="329">
        <f>VLOOKUP(G31,'【国内】常规用户招募-数据源(正职+OP混合执行）'!Z:AD,4,FALSE)</f>
        <v>1.62</v>
      </c>
      <c r="T31" s="344">
        <f>VLOOKUP(G31,'【国内】常规用户招募-数据源(正职+OP混合执行）'!Z:AD,5,FALSE)</f>
        <v>1.92</v>
      </c>
      <c r="U31" s="1">
        <f t="shared" si="3"/>
        <v>309.78</v>
      </c>
    </row>
    <row r="32" ht="36" customHeight="1" spans="1:21">
      <c r="A32" s="54"/>
      <c r="B32" s="292" t="s">
        <v>162</v>
      </c>
      <c r="C32" s="107" t="s">
        <v>169</v>
      </c>
      <c r="D32" s="345" t="s">
        <v>166</v>
      </c>
      <c r="E32" s="335" t="s">
        <v>5</v>
      </c>
      <c r="F32" s="327">
        <f>'①【国内】研究资源成本估算 (v1.0)'!$G$8</f>
        <v>1.5</v>
      </c>
      <c r="G32" s="328">
        <f>'①【国内】研究资源成本估算 (v1.0)'!$J$8</f>
        <v>10</v>
      </c>
      <c r="H32" s="329">
        <f t="shared" si="4"/>
        <v>0.13</v>
      </c>
      <c r="I32" s="329">
        <f t="shared" si="5"/>
        <v>1.056</v>
      </c>
      <c r="J32" s="329">
        <f>S32*1.1</f>
        <v>1.79061666666667</v>
      </c>
      <c r="K32" s="329">
        <f>T32*1.2</f>
        <v>2.4624</v>
      </c>
      <c r="L32" s="329">
        <f t="shared" si="12"/>
        <v>4.38301666666667</v>
      </c>
      <c r="M32" s="329">
        <f t="shared" si="10"/>
        <v>3000</v>
      </c>
      <c r="N32" s="322">
        <f t="shared" si="11"/>
        <v>600</v>
      </c>
      <c r="O32" s="329">
        <f t="shared" si="8"/>
        <v>200</v>
      </c>
      <c r="P32" s="331">
        <f>(H32*5900+I32*3400+J32*1200+K32*300)/G32</f>
        <v>724.486</v>
      </c>
      <c r="Q32" s="329">
        <f>VLOOKUP(G32,'【国内】常规用户招募-数据源(正职+OP混合执行）'!AL:AP,2,FALSE)</f>
        <v>0.13</v>
      </c>
      <c r="R32" s="331">
        <f>VLOOKUP(G32,'【国内】常规用户招募-数据源(正职+OP混合执行）'!AL:AP,3,FALSE)</f>
        <v>0.96</v>
      </c>
      <c r="S32" s="329">
        <f>VLOOKUP(G32,'【国内】常规用户招募-数据源(正职+OP混合执行）'!AL:AP,4,FALSE)</f>
        <v>1.62783333333333</v>
      </c>
      <c r="T32" s="344">
        <f>VLOOKUP(G32,'【国内】常规用户招募-数据源(正职+OP混合执行）'!AL:AP,5,FALSE)</f>
        <v>2.052</v>
      </c>
      <c r="U32" s="1">
        <f t="shared" si="3"/>
        <v>362.243</v>
      </c>
    </row>
    <row r="33" ht="36" customHeight="1" spans="1:21">
      <c r="A33" s="54"/>
      <c r="B33" s="292" t="s">
        <v>162</v>
      </c>
      <c r="C33" s="107" t="s">
        <v>169</v>
      </c>
      <c r="D33" s="345" t="s">
        <v>166</v>
      </c>
      <c r="E33" s="346" t="s">
        <v>123</v>
      </c>
      <c r="F33" s="347">
        <f>'①【国内】研究资源成本估算 (v1.0)'!$G$8</f>
        <v>1.5</v>
      </c>
      <c r="G33" s="348">
        <f>'①【国内】研究资源成本估算 (v1.0)'!$J$8</f>
        <v>10</v>
      </c>
      <c r="H33" s="349">
        <f t="shared" si="4"/>
        <v>0.13</v>
      </c>
      <c r="I33" s="349">
        <f t="shared" si="5"/>
        <v>1.2375</v>
      </c>
      <c r="J33" s="349">
        <f>S33*1.1</f>
        <v>2.12575</v>
      </c>
      <c r="K33" s="349">
        <f>T33*1.2</f>
        <v>2.376</v>
      </c>
      <c r="L33" s="349">
        <f t="shared" si="12"/>
        <v>4.63175</v>
      </c>
      <c r="M33" s="349">
        <f t="shared" si="10"/>
        <v>3000</v>
      </c>
      <c r="N33" s="322">
        <f t="shared" si="11"/>
        <v>600</v>
      </c>
      <c r="O33" s="349">
        <f t="shared" si="8"/>
        <v>200</v>
      </c>
      <c r="P33" s="350">
        <f>(H33*5900+I33*3400+J33*1200+K33*300)/G33</f>
        <v>823.82</v>
      </c>
      <c r="Q33" s="349">
        <f>VLOOKUP($G33,'【国内】常规用户招募-数据源(正职+OP混合执行）'!AX:BB,2,FALSE)</f>
        <v>0.13</v>
      </c>
      <c r="R33" s="350">
        <f>VLOOKUP(G33,'【国内】常规用户招募-数据源(正职+OP混合执行）'!AX:BB,3,FALSE)</f>
        <v>1.125</v>
      </c>
      <c r="S33" s="349">
        <f>VLOOKUP(G33,'【国内】常规用户招募-数据源(正职+OP混合执行）'!AX:BB,4,FALSE)</f>
        <v>1.9325</v>
      </c>
      <c r="T33" s="351">
        <f>VLOOKUP($G33,'【国内】常规用户招募-数据源(正职+OP混合执行）'!AX:BB,5,FALSE)</f>
        <v>1.98</v>
      </c>
      <c r="U33" s="1">
        <f t="shared" si="3"/>
        <v>411.91</v>
      </c>
    </row>
    <row r="34" ht="36" customHeight="1" spans="1:21">
      <c r="A34" s="54" t="s">
        <v>202</v>
      </c>
      <c r="B34" s="292" t="s">
        <v>162</v>
      </c>
      <c r="C34" s="107" t="s">
        <v>172</v>
      </c>
      <c r="D34" s="352" t="s">
        <v>170</v>
      </c>
      <c r="E34" s="353" t="s">
        <v>1</v>
      </c>
      <c r="F34" s="354">
        <f>'①【国内】研究资源成本估算 (v1.0)'!$G$9</f>
        <v>3</v>
      </c>
      <c r="G34" s="354">
        <f>'①【国内】研究资源成本估算 (v1.0)'!$J$9</f>
        <v>20</v>
      </c>
      <c r="H34" s="355">
        <f t="shared" ref="H34:H43" si="13">Q34*1.1</f>
        <v>0.1925</v>
      </c>
      <c r="I34" s="355">
        <f>R34</f>
        <v>0</v>
      </c>
      <c r="J34" s="355">
        <f>S34*1.16</f>
        <v>5.59458333333333</v>
      </c>
      <c r="K34" s="355">
        <f t="shared" ref="K34:K48" si="14">T34*1.1</f>
        <v>4.51</v>
      </c>
      <c r="L34" s="355">
        <f t="shared" si="12"/>
        <v>10.2970833333333</v>
      </c>
      <c r="M34" s="355">
        <f t="shared" ref="M34:M48" si="15">(IF(F34&gt;2,200+INT((F34-2)/0.5)*50,IF(AND(F34&gt;0,F34&lt;=2),200,0)))*G34</f>
        <v>6000</v>
      </c>
      <c r="N34" s="355">
        <f>G34*100</f>
        <v>2000</v>
      </c>
      <c r="O34" s="355">
        <f t="shared" ref="O34:O49" si="16">G34*20</f>
        <v>400</v>
      </c>
      <c r="P34" s="356">
        <f t="shared" ref="P34:P39" si="17">(H34*5900+I34*3400+J34*1200+K34*300)/G34</f>
        <v>460.1125</v>
      </c>
      <c r="Q34" s="357">
        <f>VLOOKUP(G34,'【国内】常规用户招募-数据源 (OP)'!A:E,2,FALSE)</f>
        <v>0.175</v>
      </c>
      <c r="R34" s="355">
        <f>VLOOKUP(G34,'【国内】常规用户招募-数据源 (OP)'!A:E,3,FALSE)</f>
        <v>0</v>
      </c>
      <c r="S34" s="355">
        <f>VLOOKUP(G34,'【国内】常规用户招募-数据源 (OP)'!A:E,4,FALSE)</f>
        <v>4.82291666666667</v>
      </c>
      <c r="T34" s="355">
        <f>VLOOKUP(G34,'【国内】常规用户招募-数据源 (OP)'!A:E,5,FALSE)</f>
        <v>4.1</v>
      </c>
      <c r="U34" s="1">
        <f t="shared" si="3"/>
        <v>230.05625</v>
      </c>
    </row>
    <row r="35" ht="36" customHeight="1" spans="1:21">
      <c r="A35" s="54" t="s">
        <v>204</v>
      </c>
      <c r="B35" s="292" t="s">
        <v>162</v>
      </c>
      <c r="C35" s="107" t="s">
        <v>172</v>
      </c>
      <c r="D35" s="352" t="s">
        <v>170</v>
      </c>
      <c r="E35" s="358" t="s">
        <v>3</v>
      </c>
      <c r="F35" s="359">
        <f>'①【国内】研究资源成本估算 (v1.0)'!$G$9</f>
        <v>3</v>
      </c>
      <c r="G35" s="359">
        <f>'①【国内】研究资源成本估算 (v1.0)'!$J$9</f>
        <v>20</v>
      </c>
      <c r="H35" s="355">
        <f t="shared" si="13"/>
        <v>0.396</v>
      </c>
      <c r="I35" s="355">
        <f>R35</f>
        <v>0</v>
      </c>
      <c r="J35" s="355">
        <f>S35*1.16</f>
        <v>5.29123366666667</v>
      </c>
      <c r="K35" s="355">
        <f t="shared" si="14"/>
        <v>5.39847</v>
      </c>
      <c r="L35" s="360">
        <f t="shared" ref="L35:L48" si="18">K35+J35+H35</f>
        <v>11.0857036666667</v>
      </c>
      <c r="M35" s="360">
        <f t="shared" si="15"/>
        <v>6000</v>
      </c>
      <c r="N35" s="355">
        <f t="shared" ref="N35:N48" si="19">G35*100</f>
        <v>2000</v>
      </c>
      <c r="O35" s="360">
        <f t="shared" si="16"/>
        <v>400</v>
      </c>
      <c r="P35" s="356">
        <f t="shared" si="17"/>
        <v>515.27107</v>
      </c>
      <c r="Q35" s="361">
        <f>VLOOKUP(G35,'【国内】常规用户招募-数据源 (OP)'!N:R,2,FALSE)</f>
        <v>0.36</v>
      </c>
      <c r="R35" s="360">
        <f>VLOOKUP(G35,'【国内】常规用户招募-数据源 (OP)'!N:R,3,FALSE)</f>
        <v>0</v>
      </c>
      <c r="S35" s="360">
        <f>VLOOKUP(G35,'【国内】常规用户招募-数据源 (OP)'!N:R,4,FALSE)</f>
        <v>4.56140833333333</v>
      </c>
      <c r="T35" s="360">
        <f>VLOOKUP(G35,'【国内】常规用户招募-数据源 (OP)'!N:R,5,FALSE)</f>
        <v>4.9077</v>
      </c>
      <c r="U35" s="1">
        <f t="shared" si="3"/>
        <v>257.635535</v>
      </c>
    </row>
    <row r="36" ht="36" customHeight="1" spans="1:21">
      <c r="A36" s="54" t="s">
        <v>205</v>
      </c>
      <c r="B36" s="292" t="s">
        <v>162</v>
      </c>
      <c r="C36" s="107" t="s">
        <v>172</v>
      </c>
      <c r="D36" s="352" t="s">
        <v>170</v>
      </c>
      <c r="E36" s="362" t="s">
        <v>4</v>
      </c>
      <c r="F36" s="359">
        <f>'①【国内】研究资源成本估算 (v1.0)'!$G$9</f>
        <v>3</v>
      </c>
      <c r="G36" s="359">
        <f>'①【国内】研究资源成本估算 (v1.0)'!$J$9</f>
        <v>20</v>
      </c>
      <c r="H36" s="355">
        <f ca="1" t="shared" si="13"/>
        <v>0.44</v>
      </c>
      <c r="I36" s="355">
        <f ca="1">R36</f>
        <v>0</v>
      </c>
      <c r="J36" s="355">
        <f ca="1">S36*1.16</f>
        <v>6.73766666666666</v>
      </c>
      <c r="K36" s="355">
        <f ca="1" t="shared" si="14"/>
        <v>5.83</v>
      </c>
      <c r="L36" s="360">
        <f ca="1" t="shared" si="18"/>
        <v>13.0076666666667</v>
      </c>
      <c r="M36" s="360">
        <f t="shared" si="15"/>
        <v>6000</v>
      </c>
      <c r="N36" s="355">
        <f t="shared" si="19"/>
        <v>2000</v>
      </c>
      <c r="O36" s="360">
        <f t="shared" si="16"/>
        <v>400</v>
      </c>
      <c r="P36" s="356">
        <f ca="1" t="shared" si="17"/>
        <v>621.51</v>
      </c>
      <c r="Q36" s="361">
        <f ca="1">VLOOKUP(G36,'【国内】常规用户招募-数据源 (OP)'!Z:AD,2,FALSE)</f>
        <v>0.4</v>
      </c>
      <c r="R36" s="360">
        <f ca="1">VLOOKUP(G36,'【国内】常规用户招募-数据源 (OP)'!Z:AD,3,FALSE)</f>
        <v>0</v>
      </c>
      <c r="S36" s="360">
        <f ca="1">VLOOKUP(G36,'【国内】常规用户招募-数据源 (OP)'!Z:AD,4,FALSE)</f>
        <v>5.80833333333333</v>
      </c>
      <c r="T36" s="360">
        <f ca="1">VLOOKUP(G36,'【国内】常规用户招募-数据源 (OP)'!Z:AD,5,FALSE)</f>
        <v>5.3</v>
      </c>
      <c r="U36" s="1">
        <f ca="1" t="shared" si="3"/>
        <v>310.755</v>
      </c>
    </row>
    <row r="37" ht="36" customHeight="1" spans="1:21">
      <c r="A37" s="54" t="s">
        <v>206</v>
      </c>
      <c r="B37" s="292" t="s">
        <v>162</v>
      </c>
      <c r="C37" s="107" t="s">
        <v>172</v>
      </c>
      <c r="D37" s="352" t="s">
        <v>170</v>
      </c>
      <c r="E37" s="363" t="s">
        <v>5</v>
      </c>
      <c r="F37" s="359">
        <f>'①【国内】研究资源成本估算 (v1.0)'!$G$9</f>
        <v>3</v>
      </c>
      <c r="G37" s="359">
        <f>'①【国内】研究资源成本估算 (v1.0)'!$J$9</f>
        <v>20</v>
      </c>
      <c r="H37" s="355">
        <f t="shared" si="13"/>
        <v>0.726</v>
      </c>
      <c r="I37" s="355">
        <f>R37</f>
        <v>0</v>
      </c>
      <c r="J37" s="355">
        <f>S37*1.16</f>
        <v>6.77517333333333</v>
      </c>
      <c r="K37" s="355">
        <f t="shared" si="14"/>
        <v>6.2964</v>
      </c>
      <c r="L37" s="360">
        <f t="shared" si="18"/>
        <v>13.7975733333333</v>
      </c>
      <c r="M37" s="360">
        <f t="shared" si="15"/>
        <v>6000</v>
      </c>
      <c r="N37" s="355">
        <f t="shared" si="19"/>
        <v>2000</v>
      </c>
      <c r="O37" s="360">
        <f t="shared" si="16"/>
        <v>400</v>
      </c>
      <c r="P37" s="356">
        <f t="shared" si="17"/>
        <v>715.1264</v>
      </c>
      <c r="Q37" s="361">
        <f>VLOOKUP(G37,'【国内】常规用户招募-数据源 (OP)'!AM:AQ,2,FALSE)</f>
        <v>0.66</v>
      </c>
      <c r="R37" s="360">
        <f>VLOOKUP(G37,'【国内】常规用户招募-数据源 (OP)'!AM:AQ,3,FALSE)</f>
        <v>0</v>
      </c>
      <c r="S37" s="360">
        <f>VLOOKUP(G37,'【国内】常规用户招募-数据源 (OP)'!AM:AQ,4,FALSE)</f>
        <v>5.84066666666667</v>
      </c>
      <c r="T37" s="360">
        <f>VLOOKUP(G37,'【国内】常规用户招募-数据源 (OP)'!AM:AQ,5,FALSE)</f>
        <v>5.724</v>
      </c>
      <c r="U37" s="1">
        <f t="shared" ref="U37:U53" si="20">P37/2</f>
        <v>357.5632</v>
      </c>
    </row>
    <row r="38" ht="36" customHeight="1" spans="1:21">
      <c r="A38" s="54" t="s">
        <v>208</v>
      </c>
      <c r="B38" s="292" t="s">
        <v>162</v>
      </c>
      <c r="C38" s="107" t="s">
        <v>172</v>
      </c>
      <c r="D38" s="352" t="s">
        <v>170</v>
      </c>
      <c r="E38" s="364" t="s">
        <v>123</v>
      </c>
      <c r="F38" s="365">
        <f>'①【国内】研究资源成本估算 (v1.0)'!$G$9</f>
        <v>3</v>
      </c>
      <c r="G38" s="365">
        <f>'①【国内】研究资源成本估算 (v1.0)'!$J$9</f>
        <v>20</v>
      </c>
      <c r="H38" s="366">
        <f t="shared" si="13"/>
        <v>0.759</v>
      </c>
      <c r="I38" s="366">
        <f>R38</f>
        <v>0</v>
      </c>
      <c r="J38" s="366">
        <f>S38*1.16</f>
        <v>7.74600826666667</v>
      </c>
      <c r="K38" s="366">
        <f t="shared" si="14"/>
        <v>6.548256</v>
      </c>
      <c r="L38" s="367">
        <f t="shared" si="18"/>
        <v>15.0532642666667</v>
      </c>
      <c r="M38" s="367">
        <f t="shared" si="15"/>
        <v>6000</v>
      </c>
      <c r="N38" s="355">
        <f t="shared" si="19"/>
        <v>2000</v>
      </c>
      <c r="O38" s="367">
        <f t="shared" si="16"/>
        <v>400</v>
      </c>
      <c r="P38" s="356">
        <f t="shared" si="17"/>
        <v>786.889336</v>
      </c>
      <c r="Q38" s="361">
        <f>VLOOKUP(G38,'【国内】常规用户招募-数据源 (OP)'!AZ:BD,2,FALSE)</f>
        <v>0.69</v>
      </c>
      <c r="R38" s="360">
        <f>VLOOKUP(G38,'【国内】常规用户招募-数据源 (OP)'!AZ:BD,3,FALSE)</f>
        <v>0</v>
      </c>
      <c r="S38" s="360">
        <f>VLOOKUP(G38,'【国内】常规用户招募-数据源 (OP)'!AZ:BD,4,FALSE)</f>
        <v>6.67759333333333</v>
      </c>
      <c r="T38" s="360">
        <f>VLOOKUP(G38,'【国内】常规用户招募-数据源 (OP)'!AZ:BD,5,FALSE)</f>
        <v>5.95296</v>
      </c>
      <c r="U38" s="1">
        <f t="shared" si="20"/>
        <v>393.444668</v>
      </c>
    </row>
    <row r="39" ht="36" customHeight="1" spans="1:21">
      <c r="A39" s="54"/>
      <c r="B39" s="292" t="s">
        <v>162</v>
      </c>
      <c r="C39" s="107" t="s">
        <v>172</v>
      </c>
      <c r="D39" s="368" t="s">
        <v>30</v>
      </c>
      <c r="E39" s="369" t="s">
        <v>1</v>
      </c>
      <c r="F39" s="370">
        <f>'①【国内】研究资源成本估算 (v1.0)'!$G$9</f>
        <v>3</v>
      </c>
      <c r="G39" s="370">
        <f>'①【国内】研究资源成本估算 (v1.0)'!$J$9</f>
        <v>20</v>
      </c>
      <c r="H39" s="371">
        <f t="shared" si="13"/>
        <v>0.11</v>
      </c>
      <c r="I39" s="371">
        <f t="shared" ref="I39:I48" si="21">R39*1.15</f>
        <v>2.3</v>
      </c>
      <c r="J39" s="371">
        <f>S39</f>
        <v>0</v>
      </c>
      <c r="K39" s="371">
        <f t="shared" si="14"/>
        <v>2.42</v>
      </c>
      <c r="L39" s="371">
        <f t="shared" si="18"/>
        <v>2.53</v>
      </c>
      <c r="M39" s="371">
        <f t="shared" si="15"/>
        <v>6000</v>
      </c>
      <c r="N39" s="355">
        <f t="shared" si="19"/>
        <v>2000</v>
      </c>
      <c r="O39" s="371">
        <f t="shared" si="16"/>
        <v>400</v>
      </c>
      <c r="P39" s="372">
        <f t="shared" si="17"/>
        <v>459.75</v>
      </c>
      <c r="Q39" s="361">
        <f>VLOOKUP(G39,'【国内】常规用户招募-数据源 （正职）'!A:E,2,FALSE)</f>
        <v>0.1</v>
      </c>
      <c r="R39" s="360">
        <f>VLOOKUP(G39,'【国内】常规用户招募-数据源 （正职）'!A:E,4,FALSE)</f>
        <v>2</v>
      </c>
      <c r="S39" s="360">
        <v>0</v>
      </c>
      <c r="T39" s="360">
        <f>VLOOKUP(G39,'【国内】常规用户招募-数据源 （正职）'!A:E,5,FALSE)</f>
        <v>2.2</v>
      </c>
      <c r="U39" s="1">
        <f t="shared" si="20"/>
        <v>229.875</v>
      </c>
    </row>
    <row r="40" ht="36" customHeight="1" spans="1:21">
      <c r="A40" s="54"/>
      <c r="B40" s="292" t="s">
        <v>162</v>
      </c>
      <c r="C40" s="107" t="s">
        <v>172</v>
      </c>
      <c r="D40" s="368" t="s">
        <v>30</v>
      </c>
      <c r="E40" s="373" t="s">
        <v>3</v>
      </c>
      <c r="F40" s="374">
        <f>'①【国内】研究资源成本估算 (v1.0)'!$G$9</f>
        <v>3</v>
      </c>
      <c r="G40" s="374">
        <f>'①【国内】研究资源成本估算 (v1.0)'!$J$9</f>
        <v>20</v>
      </c>
      <c r="H40" s="375">
        <f t="shared" si="13"/>
        <v>0.22</v>
      </c>
      <c r="I40" s="375">
        <f t="shared" si="21"/>
        <v>2.415</v>
      </c>
      <c r="J40" s="375">
        <f>S40</f>
        <v>0</v>
      </c>
      <c r="K40" s="375">
        <f t="shared" si="14"/>
        <v>2.75</v>
      </c>
      <c r="L40" s="375">
        <f t="shared" si="18"/>
        <v>2.97</v>
      </c>
      <c r="M40" s="375">
        <f t="shared" si="15"/>
        <v>6000</v>
      </c>
      <c r="N40" s="355">
        <f t="shared" si="19"/>
        <v>2000</v>
      </c>
      <c r="O40" s="375">
        <f t="shared" si="16"/>
        <v>400</v>
      </c>
      <c r="P40" s="376">
        <f t="shared" ref="P40:P47" si="22">(H40*5900+I40*3400+J40*1200+K40*300)/G40</f>
        <v>516.7</v>
      </c>
      <c r="Q40" s="361">
        <f>VLOOKUP(G40,'【国内】常规用户招募-数据源 （正职）'!L:P,2,FALSE)</f>
        <v>0.2</v>
      </c>
      <c r="R40" s="360">
        <f>VLOOKUP(G40,'【国内】常规用户招募-数据源 （正职）'!L:P,4,FALSE)</f>
        <v>2.1</v>
      </c>
      <c r="S40" s="360">
        <v>0</v>
      </c>
      <c r="T40" s="360">
        <f>VLOOKUP(G40,'【国内】常规用户招募-数据源 （正职）'!L:P,5,FALSE)</f>
        <v>2.5</v>
      </c>
      <c r="U40" s="1">
        <f t="shared" si="20"/>
        <v>258.35</v>
      </c>
    </row>
    <row r="41" ht="36" customHeight="1" spans="1:21">
      <c r="A41" s="54"/>
      <c r="B41" s="292" t="s">
        <v>162</v>
      </c>
      <c r="C41" s="107" t="s">
        <v>172</v>
      </c>
      <c r="D41" s="368" t="s">
        <v>30</v>
      </c>
      <c r="E41" s="377" t="s">
        <v>4</v>
      </c>
      <c r="F41" s="374">
        <f>'①【国内】研究资源成本估算 (v1.0)'!$G$9</f>
        <v>3</v>
      </c>
      <c r="G41" s="374">
        <f>'①【国内】研究资源成本估算 (v1.0)'!$J$9</f>
        <v>20</v>
      </c>
      <c r="H41" s="375">
        <f t="shared" si="13"/>
        <v>0.22</v>
      </c>
      <c r="I41" s="375">
        <f t="shared" si="21"/>
        <v>2.99</v>
      </c>
      <c r="J41" s="375">
        <f>S41</f>
        <v>0</v>
      </c>
      <c r="K41" s="375">
        <f t="shared" si="14"/>
        <v>3.3</v>
      </c>
      <c r="L41" s="375">
        <f t="shared" si="18"/>
        <v>3.52</v>
      </c>
      <c r="M41" s="375">
        <f t="shared" si="15"/>
        <v>6000</v>
      </c>
      <c r="N41" s="355">
        <f t="shared" si="19"/>
        <v>2000</v>
      </c>
      <c r="O41" s="375">
        <f t="shared" si="16"/>
        <v>400</v>
      </c>
      <c r="P41" s="376">
        <f t="shared" si="22"/>
        <v>622.7</v>
      </c>
      <c r="Q41" s="361">
        <f>VLOOKUP(G41,'【国内】常规用户招募-数据源 （正职）'!V:Z,2,FALSE)</f>
        <v>0.2</v>
      </c>
      <c r="R41" s="360">
        <f>VLOOKUP(G41,'【国内】常规用户招募-数据源 （正职）'!V:Z,4,FALSE)</f>
        <v>2.6</v>
      </c>
      <c r="S41" s="360">
        <v>0</v>
      </c>
      <c r="T41" s="360">
        <f>VLOOKUP(G41,'【国内】常规用户招募-数据源 （正职）'!V:Z,5,FALSE)</f>
        <v>3</v>
      </c>
      <c r="U41" s="1">
        <f t="shared" si="20"/>
        <v>311.35</v>
      </c>
    </row>
    <row r="42" ht="36" customHeight="1" spans="1:21">
      <c r="A42" s="54"/>
      <c r="B42" s="292" t="s">
        <v>162</v>
      </c>
      <c r="C42" s="107" t="s">
        <v>172</v>
      </c>
      <c r="D42" s="368" t="s">
        <v>30</v>
      </c>
      <c r="E42" s="378" t="s">
        <v>5</v>
      </c>
      <c r="F42" s="374">
        <f>'①【国内】研究资源成本估算 (v1.0)'!$G$9</f>
        <v>3</v>
      </c>
      <c r="G42" s="374">
        <f>'①【国内】研究资源成本估算 (v1.0)'!$J$9</f>
        <v>20</v>
      </c>
      <c r="H42" s="375">
        <f t="shared" si="13"/>
        <v>0.33</v>
      </c>
      <c r="I42" s="375">
        <f t="shared" si="21"/>
        <v>3.335</v>
      </c>
      <c r="J42" s="375">
        <f>S42</f>
        <v>0</v>
      </c>
      <c r="K42" s="375">
        <f t="shared" si="14"/>
        <v>3.63</v>
      </c>
      <c r="L42" s="375">
        <f t="shared" si="18"/>
        <v>3.96</v>
      </c>
      <c r="M42" s="375">
        <f t="shared" si="15"/>
        <v>6000</v>
      </c>
      <c r="N42" s="355">
        <f t="shared" si="19"/>
        <v>2000</v>
      </c>
      <c r="O42" s="375">
        <f t="shared" si="16"/>
        <v>400</v>
      </c>
      <c r="P42" s="376">
        <f t="shared" si="22"/>
        <v>718.75</v>
      </c>
      <c r="Q42" s="361">
        <f>VLOOKUP(G42,'【国内】常规用户招募-数据源 （正职）'!AF:AJ,2,FALSE)</f>
        <v>0.3</v>
      </c>
      <c r="R42" s="360">
        <f>VLOOKUP(G42,'【国内】常规用户招募-数据源 （正职）'!AF:AJ,4,FALSE)</f>
        <v>2.9</v>
      </c>
      <c r="S42" s="360">
        <v>0</v>
      </c>
      <c r="T42" s="360">
        <f>VLOOKUP(G42,'【国内】常规用户招募-数据源 （正职）'!AF:AJ,5,FALSE)</f>
        <v>3.3</v>
      </c>
      <c r="U42" s="1">
        <f t="shared" si="20"/>
        <v>359.375</v>
      </c>
    </row>
    <row r="43" ht="36" customHeight="1" spans="1:21">
      <c r="A43" s="54"/>
      <c r="B43" s="292" t="s">
        <v>162</v>
      </c>
      <c r="C43" s="107" t="s">
        <v>172</v>
      </c>
      <c r="D43" s="368" t="s">
        <v>30</v>
      </c>
      <c r="E43" s="379" t="s">
        <v>123</v>
      </c>
      <c r="F43" s="380">
        <f>'①【国内】研究资源成本估算 (v1.0)'!$G$9</f>
        <v>3</v>
      </c>
      <c r="G43" s="380">
        <f>'①【国内】研究资源成本估算 (v1.0)'!$J$9</f>
        <v>20</v>
      </c>
      <c r="H43" s="381">
        <f t="shared" si="13"/>
        <v>0.33</v>
      </c>
      <c r="I43" s="381">
        <f t="shared" si="21"/>
        <v>3.7375</v>
      </c>
      <c r="J43" s="381">
        <f>S43</f>
        <v>0</v>
      </c>
      <c r="K43" s="381">
        <f t="shared" si="14"/>
        <v>3.85</v>
      </c>
      <c r="L43" s="381">
        <f t="shared" si="18"/>
        <v>4.18</v>
      </c>
      <c r="M43" s="381">
        <f t="shared" si="15"/>
        <v>6000</v>
      </c>
      <c r="N43" s="355">
        <f t="shared" si="19"/>
        <v>2000</v>
      </c>
      <c r="O43" s="381">
        <f t="shared" si="16"/>
        <v>400</v>
      </c>
      <c r="P43" s="382">
        <f t="shared" si="22"/>
        <v>790.475</v>
      </c>
      <c r="Q43" s="361">
        <f>VLOOKUP(G43,'【国内】常规用户招募-数据源 （正职）'!AP:AT,2,FALSE)</f>
        <v>0.3</v>
      </c>
      <c r="R43" s="360">
        <f>VLOOKUP(G43,'【国内】常规用户招募-数据源 （正职）'!AP:AT,4,FALSE)</f>
        <v>3.25</v>
      </c>
      <c r="S43" s="360">
        <v>0</v>
      </c>
      <c r="T43" s="360">
        <f>VLOOKUP(G43,'【国内】常规用户招募-数据源 （正职）'!AP:AT,5,FALSE)</f>
        <v>3.5</v>
      </c>
      <c r="U43" s="1">
        <f t="shared" si="20"/>
        <v>395.2375</v>
      </c>
    </row>
    <row r="44" ht="36" customHeight="1" spans="1:21">
      <c r="A44" s="54"/>
      <c r="B44" s="292" t="s">
        <v>162</v>
      </c>
      <c r="C44" s="107" t="s">
        <v>172</v>
      </c>
      <c r="D44" s="383" t="s">
        <v>166</v>
      </c>
      <c r="E44" s="384" t="s">
        <v>1</v>
      </c>
      <c r="F44" s="385">
        <f>'①【国内】研究资源成本估算 (v1.0)'!$G$9</f>
        <v>3</v>
      </c>
      <c r="G44" s="385">
        <f>'①【国内】研究资源成本估算 (v1.0)'!$J$9</f>
        <v>20</v>
      </c>
      <c r="H44" s="386">
        <f>Q44</f>
        <v>0.13</v>
      </c>
      <c r="I44" s="386">
        <f t="shared" si="21"/>
        <v>1.38</v>
      </c>
      <c r="J44" s="386">
        <f>S44*1.2</f>
        <v>2.543</v>
      </c>
      <c r="K44" s="386">
        <f t="shared" si="14"/>
        <v>2.42</v>
      </c>
      <c r="L44" s="386">
        <f t="shared" si="18"/>
        <v>5.093</v>
      </c>
      <c r="M44" s="386">
        <f t="shared" si="15"/>
        <v>6000</v>
      </c>
      <c r="N44" s="355">
        <f t="shared" si="19"/>
        <v>2000</v>
      </c>
      <c r="O44" s="386">
        <f t="shared" si="16"/>
        <v>400</v>
      </c>
      <c r="P44" s="387">
        <f t="shared" ref="P44:P53" si="23">(H44*5900+I44*3400+J44*1200+K44*300)/G44</f>
        <v>461.83</v>
      </c>
      <c r="Q44" s="361">
        <f>VLOOKUP(G44,'【国内】常规用户招募-数据源(正职+OP混合执行）'!A:E,2,FALSE)</f>
        <v>0.13</v>
      </c>
      <c r="R44" s="388">
        <f>VLOOKUP(G44,'【国内】常规用户招募-数据源(正职+OP混合执行）'!A:E,3,FALSE)</f>
        <v>1.2</v>
      </c>
      <c r="S44" s="360">
        <f>VLOOKUP(G44,'【国内】常规用户招募-数据源(正职+OP混合执行）'!A:E,4,FALSE)</f>
        <v>2.11916666666667</v>
      </c>
      <c r="T44" s="389">
        <f>VLOOKUP(G44,'【国内】常规用户招募-数据源(正职+OP混合执行）'!A:E,5,FALSE)</f>
        <v>2.2</v>
      </c>
      <c r="U44" s="1">
        <f t="shared" si="20"/>
        <v>230.915</v>
      </c>
    </row>
    <row r="45" ht="36" customHeight="1" spans="1:21">
      <c r="A45" s="54"/>
      <c r="B45" s="292" t="s">
        <v>162</v>
      </c>
      <c r="C45" s="107" t="s">
        <v>172</v>
      </c>
      <c r="D45" s="383" t="s">
        <v>166</v>
      </c>
      <c r="E45" s="390" t="s">
        <v>3</v>
      </c>
      <c r="F45" s="391">
        <f>'①【国内】研究资源成本估算 (v1.0)'!$G$9</f>
        <v>3</v>
      </c>
      <c r="G45" s="391">
        <f>'①【国内】研究资源成本估算 (v1.0)'!$J$9</f>
        <v>20</v>
      </c>
      <c r="H45" s="392">
        <f>Q45</f>
        <v>0.26</v>
      </c>
      <c r="I45" s="392">
        <f t="shared" si="21"/>
        <v>1.449</v>
      </c>
      <c r="J45" s="392">
        <f>S45*1.2</f>
        <v>2.517</v>
      </c>
      <c r="K45" s="392">
        <f t="shared" si="14"/>
        <v>2.695</v>
      </c>
      <c r="L45" s="393">
        <f t="shared" si="18"/>
        <v>5.472</v>
      </c>
      <c r="M45" s="393">
        <f t="shared" si="15"/>
        <v>6000</v>
      </c>
      <c r="N45" s="355">
        <f t="shared" si="19"/>
        <v>2000</v>
      </c>
      <c r="O45" s="393">
        <f t="shared" si="16"/>
        <v>400</v>
      </c>
      <c r="P45" s="394">
        <f t="shared" si="22"/>
        <v>514.475</v>
      </c>
      <c r="Q45" s="361">
        <f>VLOOKUP(G45,'【国内】常规用户招募-数据源(正职+OP混合执行）'!N:R,2,FALSE)</f>
        <v>0.26</v>
      </c>
      <c r="R45" s="388">
        <f>VLOOKUP(G45,'【国内】常规用户招募-数据源(正职+OP混合执行）'!N:R,3,FALSE)</f>
        <v>1.26</v>
      </c>
      <c r="S45" s="360">
        <f>VLOOKUP(G45,'【国内】常规用户招募-数据源(正职+OP混合执行）'!N:R,4,FALSE)</f>
        <v>2.0975</v>
      </c>
      <c r="T45" s="389">
        <f>VLOOKUP(G45,'【国内】常规用户招募-数据源(正职+OP混合执行）'!N:R,5,FALSE)</f>
        <v>2.45</v>
      </c>
      <c r="U45" s="1">
        <f t="shared" si="20"/>
        <v>257.2375</v>
      </c>
    </row>
    <row r="46" ht="36" customHeight="1" spans="1:21">
      <c r="A46" s="54"/>
      <c r="B46" s="292" t="s">
        <v>162</v>
      </c>
      <c r="C46" s="107" t="s">
        <v>172</v>
      </c>
      <c r="D46" s="383" t="s">
        <v>166</v>
      </c>
      <c r="E46" s="395" t="s">
        <v>4</v>
      </c>
      <c r="F46" s="391">
        <f>'①【国内】研究资源成本估算 (v1.0)'!$G$9</f>
        <v>3</v>
      </c>
      <c r="G46" s="391">
        <f>'①【国内】研究资源成本估算 (v1.0)'!$J$9</f>
        <v>20</v>
      </c>
      <c r="H46" s="392">
        <f>Q46</f>
        <v>0.26</v>
      </c>
      <c r="I46" s="392">
        <f t="shared" si="21"/>
        <v>1.794</v>
      </c>
      <c r="J46" s="392">
        <f>S46*1.2</f>
        <v>3.002</v>
      </c>
      <c r="K46" s="392">
        <f t="shared" si="14"/>
        <v>3.96</v>
      </c>
      <c r="L46" s="393">
        <f t="shared" si="18"/>
        <v>7.222</v>
      </c>
      <c r="M46" s="393">
        <f t="shared" si="15"/>
        <v>6000</v>
      </c>
      <c r="N46" s="355">
        <f t="shared" si="19"/>
        <v>2000</v>
      </c>
      <c r="O46" s="393">
        <f t="shared" si="16"/>
        <v>400</v>
      </c>
      <c r="P46" s="394">
        <f t="shared" si="22"/>
        <v>621.2</v>
      </c>
      <c r="Q46" s="361">
        <f>VLOOKUP(G46,'【国内】常规用户招募-数据源(正职+OP混合执行）'!Z:AD,2,FALSE)</f>
        <v>0.26</v>
      </c>
      <c r="R46" s="388">
        <f>VLOOKUP(G46,'【国内】常规用户招募-数据源(正职+OP混合执行）'!Z:AD,3,FALSE)</f>
        <v>1.56</v>
      </c>
      <c r="S46" s="360">
        <f>VLOOKUP(G46,'【国内】常规用户招募-数据源(正职+OP混合执行）'!Z:AD,4,FALSE)</f>
        <v>2.50166666666667</v>
      </c>
      <c r="T46" s="389">
        <f>VLOOKUP(G46,'【国内】常规用户招募-数据源(正职+OP混合执行）'!Z:AD,5,FALSE)</f>
        <v>3.6</v>
      </c>
      <c r="U46" s="1">
        <f t="shared" si="20"/>
        <v>310.6</v>
      </c>
    </row>
    <row r="47" ht="36" customHeight="1" spans="1:21">
      <c r="A47" s="54"/>
      <c r="B47" s="292" t="s">
        <v>162</v>
      </c>
      <c r="C47" s="107" t="s">
        <v>172</v>
      </c>
      <c r="D47" s="383" t="s">
        <v>166</v>
      </c>
      <c r="E47" s="396" t="s">
        <v>5</v>
      </c>
      <c r="F47" s="391">
        <f>'①【国内】研究资源成本估算 (v1.0)'!$G$9</f>
        <v>3</v>
      </c>
      <c r="G47" s="391">
        <f>'①【国内】研究资源成本估算 (v1.0)'!$J$9</f>
        <v>20</v>
      </c>
      <c r="H47" s="392">
        <f>Q47</f>
        <v>0.39</v>
      </c>
      <c r="I47" s="392">
        <f t="shared" si="21"/>
        <v>2.001</v>
      </c>
      <c r="J47" s="392">
        <f>S47*1.2</f>
        <v>3.3338</v>
      </c>
      <c r="K47" s="392">
        <f t="shared" si="14"/>
        <v>3.9204</v>
      </c>
      <c r="L47" s="393">
        <f t="shared" si="18"/>
        <v>7.6442</v>
      </c>
      <c r="M47" s="393">
        <f t="shared" si="15"/>
        <v>6000</v>
      </c>
      <c r="N47" s="355">
        <f t="shared" si="19"/>
        <v>2000</v>
      </c>
      <c r="O47" s="393">
        <f t="shared" si="16"/>
        <v>400</v>
      </c>
      <c r="P47" s="394">
        <f t="shared" si="22"/>
        <v>714.054</v>
      </c>
      <c r="Q47" s="361">
        <f>VLOOKUP(G47,'【国内】常规用户招募-数据源(正职+OP混合执行）'!AL:AP,2,FALSE)</f>
        <v>0.39</v>
      </c>
      <c r="R47" s="388">
        <f>VLOOKUP(G47,'【国内】常规用户招募-数据源(正职+OP混合执行）'!AL:AP,3,FALSE)</f>
        <v>1.74</v>
      </c>
      <c r="S47" s="360">
        <f>VLOOKUP(G47,'【国内】常规用户招募-数据源(正职+OP混合执行）'!AL:AP,4,FALSE)</f>
        <v>2.77816666666667</v>
      </c>
      <c r="T47" s="389">
        <f>VLOOKUP(G47,'【国内】常规用户招募-数据源(正职+OP混合执行）'!AL:AP,5,FALSE)</f>
        <v>3.564</v>
      </c>
      <c r="U47" s="1">
        <f t="shared" si="20"/>
        <v>357.027</v>
      </c>
    </row>
    <row r="48" ht="36" customHeight="1" spans="1:21">
      <c r="A48" s="54"/>
      <c r="B48" s="292" t="s">
        <v>162</v>
      </c>
      <c r="C48" s="107" t="s">
        <v>172</v>
      </c>
      <c r="D48" s="383" t="s">
        <v>166</v>
      </c>
      <c r="E48" s="397" t="s">
        <v>123</v>
      </c>
      <c r="F48" s="398">
        <f>'①【国内】研究资源成本估算 (v1.0)'!$G$9</f>
        <v>3</v>
      </c>
      <c r="G48" s="398">
        <f>'①【国内】研究资源成本估算 (v1.0)'!$J$9</f>
        <v>20</v>
      </c>
      <c r="H48" s="399">
        <f>Q48</f>
        <v>0.39</v>
      </c>
      <c r="I48" s="399">
        <f t="shared" si="21"/>
        <v>2.2425</v>
      </c>
      <c r="J48" s="399">
        <f>S48*1.2</f>
        <v>3.949</v>
      </c>
      <c r="K48" s="399">
        <f t="shared" si="14"/>
        <v>3.63</v>
      </c>
      <c r="L48" s="400">
        <f t="shared" si="18"/>
        <v>7.969</v>
      </c>
      <c r="M48" s="400">
        <f t="shared" si="15"/>
        <v>6000</v>
      </c>
      <c r="N48" s="355">
        <f t="shared" si="19"/>
        <v>2000</v>
      </c>
      <c r="O48" s="400">
        <f t="shared" si="16"/>
        <v>400</v>
      </c>
      <c r="P48" s="401">
        <f t="shared" si="23"/>
        <v>787.665</v>
      </c>
      <c r="Q48" s="402">
        <f>VLOOKUP($G48,'【国内】常规用户招募-数据源(正职+OP混合执行）'!AX:BB,2,FALSE)</f>
        <v>0.39</v>
      </c>
      <c r="R48" s="403">
        <f>VLOOKUP(G48,'【国内】常规用户招募-数据源(正职+OP混合执行）'!AX:BB,3,FALSE)</f>
        <v>1.95</v>
      </c>
      <c r="S48" s="367">
        <f>VLOOKUP(G48,'【国内】常规用户招募-数据源(正职+OP混合执行）'!AX:BB,4,FALSE)</f>
        <v>3.29083333333333</v>
      </c>
      <c r="T48" s="404">
        <f>VLOOKUP($G48,'【国内】常规用户招募-数据源(正职+OP混合执行）'!AX:BB,5,FALSE)</f>
        <v>3.3</v>
      </c>
      <c r="U48" s="1">
        <f t="shared" si="20"/>
        <v>393.8325</v>
      </c>
    </row>
    <row r="49" ht="36" customHeight="1" spans="1:21">
      <c r="A49" s="54" t="s">
        <v>221</v>
      </c>
      <c r="B49" s="292" t="s">
        <v>162</v>
      </c>
      <c r="C49" s="107" t="s">
        <v>174</v>
      </c>
      <c r="D49" s="405" t="s">
        <v>170</v>
      </c>
      <c r="E49" s="406" t="s">
        <v>1</v>
      </c>
      <c r="F49" s="407">
        <f>'①【国内】研究资源成本估算 (v1.0)'!$G$10</f>
        <v>2</v>
      </c>
      <c r="G49" s="407">
        <f>'①【国内】研究资源成本估算 (v1.0)'!$J$10</f>
        <v>20</v>
      </c>
      <c r="H49" s="408">
        <f t="shared" ref="H49:H63" si="24">Q49*1.1</f>
        <v>0.1925</v>
      </c>
      <c r="I49" s="408">
        <f t="shared" ref="I49:I63" si="25">R49*1.2</f>
        <v>0</v>
      </c>
      <c r="J49" s="408">
        <f t="shared" ref="J49:J63" si="26">S49*1.3</f>
        <v>6.26979166666667</v>
      </c>
      <c r="K49" s="408">
        <f t="shared" ref="K49:K63" si="27">T49*1.3</f>
        <v>5.33</v>
      </c>
      <c r="L49" s="408">
        <f t="shared" ref="L49:L58" si="28">K49+J49+H49</f>
        <v>11.7922916666667</v>
      </c>
      <c r="M49" s="400">
        <f t="shared" ref="M49:M54" si="29">(IF(F49&gt;2,300+INT((F49-2)/0.5)*70,IF(AND(F49&gt;0,F49&lt;=2),300,0)))*G49</f>
        <v>6000</v>
      </c>
      <c r="N49" s="408">
        <f>G49*150</f>
        <v>3000</v>
      </c>
      <c r="O49" s="408">
        <f t="shared" si="16"/>
        <v>400</v>
      </c>
      <c r="P49" s="409">
        <f t="shared" si="23"/>
        <v>512.925</v>
      </c>
      <c r="Q49" s="410">
        <f>VLOOKUP(G49,'【国内】常规用户招募-数据源 (OP)'!A:E,2,FALSE)</f>
        <v>0.175</v>
      </c>
      <c r="R49" s="411">
        <f>VLOOKUP(G49,'【国内】常规用户招募-数据源 (OP)'!A:E,3,FALSE)</f>
        <v>0</v>
      </c>
      <c r="S49" s="411">
        <f>VLOOKUP(G49,'【国内】常规用户招募-数据源 (OP)'!A:E,4,FALSE)</f>
        <v>4.82291666666667</v>
      </c>
      <c r="T49" s="412">
        <f>VLOOKUP(G49,'【国内】常规用户招募-数据源 (OP)'!A:E,5,FALSE)</f>
        <v>4.1</v>
      </c>
      <c r="U49" s="1">
        <f t="shared" si="20"/>
        <v>256.4625</v>
      </c>
    </row>
    <row r="50" ht="36" customHeight="1" spans="1:21">
      <c r="A50" s="54" t="s">
        <v>225</v>
      </c>
      <c r="B50" s="292" t="s">
        <v>162</v>
      </c>
      <c r="C50" s="107" t="s">
        <v>174</v>
      </c>
      <c r="D50" s="405" t="s">
        <v>170</v>
      </c>
      <c r="E50" s="413" t="s">
        <v>3</v>
      </c>
      <c r="F50" s="414">
        <f>'①【国内】研究资源成本估算 (v1.0)'!$G$10</f>
        <v>2</v>
      </c>
      <c r="G50" s="414">
        <f>'①【国内】研究资源成本估算 (v1.0)'!$J$10</f>
        <v>20</v>
      </c>
      <c r="H50" s="415">
        <f t="shared" si="24"/>
        <v>0.396</v>
      </c>
      <c r="I50" s="415">
        <f t="shared" si="25"/>
        <v>0</v>
      </c>
      <c r="J50" s="415">
        <f t="shared" si="26"/>
        <v>5.92983083333333</v>
      </c>
      <c r="K50" s="415">
        <f t="shared" si="27"/>
        <v>6.38001</v>
      </c>
      <c r="L50" s="415">
        <f t="shared" si="28"/>
        <v>12.7058408333333</v>
      </c>
      <c r="M50" s="400">
        <f t="shared" si="29"/>
        <v>6000</v>
      </c>
      <c r="N50" s="408">
        <f t="shared" ref="N50:N63" si="30">G50*150</f>
        <v>3000</v>
      </c>
      <c r="O50" s="415">
        <f t="shared" ref="O50:O58" si="31">G50*20</f>
        <v>400</v>
      </c>
      <c r="P50" s="416">
        <f t="shared" si="23"/>
        <v>568.31</v>
      </c>
      <c r="Q50" s="417">
        <f>VLOOKUP(G50,'【国内】常规用户招募-数据源 (OP)'!N:R,2,FALSE)</f>
        <v>0.36</v>
      </c>
      <c r="R50" s="415">
        <f>VLOOKUP(G50,'【国内】常规用户招募-数据源 (OP)'!N:R,3,FALSE)</f>
        <v>0</v>
      </c>
      <c r="S50" s="415">
        <f>VLOOKUP(G50,'【国内】常规用户招募-数据源 (OP)'!N:R,4,FALSE)</f>
        <v>4.56140833333333</v>
      </c>
      <c r="T50" s="418">
        <f>VLOOKUP(G50,'【国内】常规用户招募-数据源 (OP)'!N:R,5,FALSE)</f>
        <v>4.9077</v>
      </c>
      <c r="U50" s="1">
        <f t="shared" si="20"/>
        <v>284.155</v>
      </c>
    </row>
    <row r="51" ht="36" customHeight="1" spans="1:21">
      <c r="A51" s="54" t="s">
        <v>228</v>
      </c>
      <c r="B51" s="292" t="s">
        <v>162</v>
      </c>
      <c r="C51" s="107" t="s">
        <v>174</v>
      </c>
      <c r="D51" s="405" t="s">
        <v>170</v>
      </c>
      <c r="E51" s="419" t="s">
        <v>4</v>
      </c>
      <c r="F51" s="414">
        <f>'①【国内】研究资源成本估算 (v1.0)'!$G$10</f>
        <v>2</v>
      </c>
      <c r="G51" s="414">
        <f>'①【国内】研究资源成本估算 (v1.0)'!$J$10</f>
        <v>20</v>
      </c>
      <c r="H51" s="415">
        <f ca="1" t="shared" si="24"/>
        <v>0.44</v>
      </c>
      <c r="I51" s="415">
        <f ca="1" t="shared" si="25"/>
        <v>0</v>
      </c>
      <c r="J51" s="415">
        <f ca="1" t="shared" si="26"/>
        <v>7.55083333333333</v>
      </c>
      <c r="K51" s="415">
        <f ca="1" t="shared" si="27"/>
        <v>6.89</v>
      </c>
      <c r="L51" s="415">
        <f ca="1" t="shared" si="28"/>
        <v>14.8808333333333</v>
      </c>
      <c r="M51" s="400">
        <f t="shared" si="29"/>
        <v>6000</v>
      </c>
      <c r="N51" s="408">
        <f t="shared" si="30"/>
        <v>3000</v>
      </c>
      <c r="O51" s="415">
        <f t="shared" si="31"/>
        <v>400</v>
      </c>
      <c r="P51" s="416">
        <f ca="1" t="shared" si="23"/>
        <v>686.2</v>
      </c>
      <c r="Q51" s="417">
        <f ca="1">VLOOKUP(G51,'【国内】常规用户招募-数据源 (OP)'!Z:AD,2,FALSE)</f>
        <v>0.4</v>
      </c>
      <c r="R51" s="415">
        <f ca="1">VLOOKUP(G51,'【国内】常规用户招募-数据源 (OP)'!Z:AD,3,FALSE)</f>
        <v>0</v>
      </c>
      <c r="S51" s="415">
        <f ca="1">VLOOKUP(G51,'【国内】常规用户招募-数据源 (OP)'!Z:AD,4,FALSE)</f>
        <v>5.80833333333333</v>
      </c>
      <c r="T51" s="418">
        <f ca="1">VLOOKUP(G51,'【国内】常规用户招募-数据源 (OP)'!Z:AD,5,FALSE)</f>
        <v>5.3</v>
      </c>
      <c r="U51" s="1">
        <f ca="1" t="shared" si="20"/>
        <v>343.1</v>
      </c>
    </row>
    <row r="52" ht="36" customHeight="1" spans="1:21">
      <c r="A52" s="54" t="s">
        <v>230</v>
      </c>
      <c r="B52" s="292" t="s">
        <v>162</v>
      </c>
      <c r="C52" s="107" t="s">
        <v>174</v>
      </c>
      <c r="D52" s="405" t="s">
        <v>170</v>
      </c>
      <c r="E52" s="420" t="s">
        <v>5</v>
      </c>
      <c r="F52" s="414">
        <f>'①【国内】研究资源成本估算 (v1.0)'!$G$10</f>
        <v>2</v>
      </c>
      <c r="G52" s="414">
        <f>'①【国内】研究资源成本估算 (v1.0)'!$J$10</f>
        <v>20</v>
      </c>
      <c r="H52" s="415">
        <f t="shared" si="24"/>
        <v>0.726</v>
      </c>
      <c r="I52" s="415">
        <f t="shared" si="25"/>
        <v>0</v>
      </c>
      <c r="J52" s="415">
        <f t="shared" si="26"/>
        <v>7.59286666666667</v>
      </c>
      <c r="K52" s="415">
        <f t="shared" si="27"/>
        <v>7.4412</v>
      </c>
      <c r="L52" s="415">
        <f t="shared" si="28"/>
        <v>15.7600666666667</v>
      </c>
      <c r="M52" s="400">
        <f t="shared" si="29"/>
        <v>6000</v>
      </c>
      <c r="N52" s="408">
        <f t="shared" si="30"/>
        <v>3000</v>
      </c>
      <c r="O52" s="415">
        <f t="shared" si="31"/>
        <v>400</v>
      </c>
      <c r="P52" s="416">
        <f t="shared" si="23"/>
        <v>781.36</v>
      </c>
      <c r="Q52" s="417">
        <f>VLOOKUP(G52,'【国内】常规用户招募-数据源 (OP)'!AM:AQ,2,FALSE)</f>
        <v>0.66</v>
      </c>
      <c r="R52" s="415">
        <f>VLOOKUP(G52,'【国内】常规用户招募-数据源 (OP)'!AM:AQ,3,FALSE)</f>
        <v>0</v>
      </c>
      <c r="S52" s="415">
        <f>VLOOKUP(G52,'【国内】常规用户招募-数据源 (OP)'!AM:AQ,4,FALSE)</f>
        <v>5.84066666666667</v>
      </c>
      <c r="T52" s="418">
        <f>VLOOKUP(G52,'【国内】常规用户招募-数据源 (OP)'!AM:AQ,5,FALSE)</f>
        <v>5.724</v>
      </c>
      <c r="U52" s="1">
        <f t="shared" si="20"/>
        <v>390.68</v>
      </c>
    </row>
    <row r="53" ht="36" customHeight="1" spans="1:21">
      <c r="A53" s="54" t="s">
        <v>232</v>
      </c>
      <c r="B53" s="292" t="s">
        <v>162</v>
      </c>
      <c r="C53" s="107" t="s">
        <v>174</v>
      </c>
      <c r="D53" s="405" t="s">
        <v>170</v>
      </c>
      <c r="E53" s="421" t="s">
        <v>123</v>
      </c>
      <c r="F53" s="422">
        <f>'①【国内】研究资源成本估算 (v1.0)'!$G$10</f>
        <v>2</v>
      </c>
      <c r="G53" s="422">
        <f>'①【国内】研究资源成本估算 (v1.0)'!$J$10</f>
        <v>20</v>
      </c>
      <c r="H53" s="423">
        <f t="shared" si="24"/>
        <v>0.759</v>
      </c>
      <c r="I53" s="423">
        <f t="shared" si="25"/>
        <v>0</v>
      </c>
      <c r="J53" s="423">
        <f t="shared" si="26"/>
        <v>8.68087133333333</v>
      </c>
      <c r="K53" s="423">
        <f t="shared" si="27"/>
        <v>7.738848</v>
      </c>
      <c r="L53" s="423">
        <f t="shared" si="28"/>
        <v>17.1787193333333</v>
      </c>
      <c r="M53" s="400">
        <f t="shared" si="29"/>
        <v>6000</v>
      </c>
      <c r="N53" s="408">
        <f t="shared" si="30"/>
        <v>3000</v>
      </c>
      <c r="O53" s="423">
        <f t="shared" si="31"/>
        <v>400</v>
      </c>
      <c r="P53" s="424">
        <f t="shared" si="23"/>
        <v>860.84</v>
      </c>
      <c r="Q53" s="417">
        <f>VLOOKUP(G53,'【国内】常规用户招募-数据源 (OP)'!AZ:BD,2,FALSE)</f>
        <v>0.69</v>
      </c>
      <c r="R53" s="415">
        <f>VLOOKUP(G53,'【国内】常规用户招募-数据源 (OP)'!AZ:BD,3,FALSE)</f>
        <v>0</v>
      </c>
      <c r="S53" s="415">
        <f>VLOOKUP(G53,'【国内】常规用户招募-数据源 (OP)'!AZ:BD,4,FALSE)</f>
        <v>6.67759333333333</v>
      </c>
      <c r="T53" s="418">
        <f>VLOOKUP(G53,'【国内】常规用户招募-数据源 (OP)'!AZ:BD,5,FALSE)</f>
        <v>5.95296</v>
      </c>
      <c r="U53" s="1">
        <f t="shared" si="20"/>
        <v>430.42</v>
      </c>
    </row>
    <row r="54" ht="36" customHeight="1" spans="1:21">
      <c r="A54" s="54"/>
      <c r="B54" s="292" t="s">
        <v>162</v>
      </c>
      <c r="C54" s="107" t="s">
        <v>174</v>
      </c>
      <c r="D54" s="425" t="s">
        <v>30</v>
      </c>
      <c r="E54" s="406" t="s">
        <v>1</v>
      </c>
      <c r="F54" s="407">
        <f>'①【国内】研究资源成本估算 (v1.0)'!$G$10</f>
        <v>2</v>
      </c>
      <c r="G54" s="407">
        <f>'①【国内】研究资源成本估算 (v1.0)'!$J$10</f>
        <v>20</v>
      </c>
      <c r="H54" s="408">
        <f t="shared" si="24"/>
        <v>0.11</v>
      </c>
      <c r="I54" s="408">
        <f t="shared" si="25"/>
        <v>2.4</v>
      </c>
      <c r="J54" s="408">
        <f t="shared" si="26"/>
        <v>0</v>
      </c>
      <c r="K54" s="408">
        <f t="shared" si="27"/>
        <v>2.86</v>
      </c>
      <c r="L54" s="408">
        <f t="shared" si="28"/>
        <v>2.97</v>
      </c>
      <c r="M54" s="400">
        <f t="shared" si="29"/>
        <v>6000</v>
      </c>
      <c r="N54" s="408">
        <f t="shared" si="30"/>
        <v>3000</v>
      </c>
      <c r="O54" s="408">
        <f t="shared" si="31"/>
        <v>400</v>
      </c>
      <c r="P54" s="409">
        <f t="shared" ref="P54:P64" si="32">(H54*5900+I54*3400+J54*1200+K54*300)/G54</f>
        <v>483.35</v>
      </c>
      <c r="Q54" s="417">
        <f>VLOOKUP(G54,'【国内】常规用户招募-数据源 （正职）'!A:E,2,FALSE)</f>
        <v>0.1</v>
      </c>
      <c r="R54" s="415">
        <f>VLOOKUP(G54,'【国内】常规用户招募-数据源 （正职）'!A:E,4,FALSE)</f>
        <v>2</v>
      </c>
      <c r="S54" s="415">
        <v>0</v>
      </c>
      <c r="T54" s="418">
        <f>VLOOKUP(G54,'【国内】常规用户招募-数据源 （正职）'!A:E,5,FALSE)</f>
        <v>2.2</v>
      </c>
      <c r="U54" s="1">
        <f t="shared" ref="U54:U98" si="33">P54/2</f>
        <v>241.675</v>
      </c>
    </row>
    <row r="55" ht="36" customHeight="1" spans="1:21">
      <c r="A55" s="54"/>
      <c r="B55" s="292" t="s">
        <v>162</v>
      </c>
      <c r="C55" s="107" t="s">
        <v>174</v>
      </c>
      <c r="D55" s="425" t="s">
        <v>30</v>
      </c>
      <c r="E55" s="413" t="s">
        <v>3</v>
      </c>
      <c r="F55" s="414">
        <f>'①【国内】研究资源成本估算 (v1.0)'!$G$10</f>
        <v>2</v>
      </c>
      <c r="G55" s="414">
        <f>'①【国内】研究资源成本估算 (v1.0)'!$J$10</f>
        <v>20</v>
      </c>
      <c r="H55" s="415">
        <f t="shared" si="24"/>
        <v>0.22</v>
      </c>
      <c r="I55" s="415">
        <f t="shared" si="25"/>
        <v>2.52</v>
      </c>
      <c r="J55" s="415">
        <f t="shared" si="26"/>
        <v>0</v>
      </c>
      <c r="K55" s="415">
        <f t="shared" si="27"/>
        <v>3.25</v>
      </c>
      <c r="L55" s="415">
        <f t="shared" si="28"/>
        <v>3.47</v>
      </c>
      <c r="M55" s="400">
        <f t="shared" ref="M55:M63" si="34">(IF(F55&gt;2,300+INT((F55-2)/0.5)*70,IF(AND(F55&gt;0,F55&lt;=2),300,0)))*G55</f>
        <v>6000</v>
      </c>
      <c r="N55" s="408">
        <f t="shared" si="30"/>
        <v>3000</v>
      </c>
      <c r="O55" s="415">
        <f t="shared" si="31"/>
        <v>400</v>
      </c>
      <c r="P55" s="416">
        <f t="shared" si="32"/>
        <v>542.05</v>
      </c>
      <c r="Q55" s="417">
        <f>VLOOKUP(G55,'【国内】常规用户招募-数据源 （正职）'!L:P,2,FALSE)</f>
        <v>0.2</v>
      </c>
      <c r="R55" s="415">
        <f>VLOOKUP(G55,'【国内】常规用户招募-数据源 （正职）'!L:P,4,FALSE)</f>
        <v>2.1</v>
      </c>
      <c r="S55" s="415">
        <v>0</v>
      </c>
      <c r="T55" s="418">
        <f>VLOOKUP(G55,'【国内】常规用户招募-数据源 （正职）'!L:P,5,FALSE)</f>
        <v>2.5</v>
      </c>
      <c r="U55" s="1">
        <f t="shared" si="33"/>
        <v>271.025</v>
      </c>
    </row>
    <row r="56" ht="36" customHeight="1" spans="1:21">
      <c r="A56" s="54"/>
      <c r="B56" s="292" t="s">
        <v>162</v>
      </c>
      <c r="C56" s="107" t="s">
        <v>174</v>
      </c>
      <c r="D56" s="425" t="s">
        <v>30</v>
      </c>
      <c r="E56" s="419" t="s">
        <v>4</v>
      </c>
      <c r="F56" s="414">
        <f>'①【国内】研究资源成本估算 (v1.0)'!$G$10</f>
        <v>2</v>
      </c>
      <c r="G56" s="414">
        <f>'①【国内】研究资源成本估算 (v1.0)'!$J$10</f>
        <v>20</v>
      </c>
      <c r="H56" s="415">
        <f t="shared" si="24"/>
        <v>0.22</v>
      </c>
      <c r="I56" s="415">
        <f t="shared" si="25"/>
        <v>3.12</v>
      </c>
      <c r="J56" s="415">
        <f t="shared" si="26"/>
        <v>0</v>
      </c>
      <c r="K56" s="415">
        <f t="shared" si="27"/>
        <v>3.9</v>
      </c>
      <c r="L56" s="415">
        <f t="shared" si="28"/>
        <v>4.12</v>
      </c>
      <c r="M56" s="400">
        <f t="shared" si="34"/>
        <v>6000</v>
      </c>
      <c r="N56" s="408">
        <f t="shared" si="30"/>
        <v>3000</v>
      </c>
      <c r="O56" s="415">
        <f t="shared" si="31"/>
        <v>400</v>
      </c>
      <c r="P56" s="416">
        <f t="shared" si="32"/>
        <v>653.8</v>
      </c>
      <c r="Q56" s="417">
        <f>VLOOKUP(G56,'【国内】常规用户招募-数据源 （正职）'!V:Z,2,FALSE)</f>
        <v>0.2</v>
      </c>
      <c r="R56" s="415">
        <f>VLOOKUP(G56,'【国内】常规用户招募-数据源 （正职）'!V:Z,4,FALSE)</f>
        <v>2.6</v>
      </c>
      <c r="S56" s="415">
        <v>0</v>
      </c>
      <c r="T56" s="418">
        <f>VLOOKUP(G56,'【国内】常规用户招募-数据源 （正职）'!V:Z,5,FALSE)</f>
        <v>3</v>
      </c>
      <c r="U56" s="1">
        <f t="shared" si="33"/>
        <v>326.9</v>
      </c>
    </row>
    <row r="57" ht="36" customHeight="1" spans="1:21">
      <c r="A57" s="54"/>
      <c r="B57" s="292" t="s">
        <v>162</v>
      </c>
      <c r="C57" s="107" t="s">
        <v>174</v>
      </c>
      <c r="D57" s="425" t="s">
        <v>30</v>
      </c>
      <c r="E57" s="420" t="s">
        <v>5</v>
      </c>
      <c r="F57" s="414">
        <f>'①【国内】研究资源成本估算 (v1.0)'!$G$10</f>
        <v>2</v>
      </c>
      <c r="G57" s="414">
        <f>'①【国内】研究资源成本估算 (v1.0)'!$J$10</f>
        <v>20</v>
      </c>
      <c r="H57" s="415">
        <f t="shared" si="24"/>
        <v>0.33</v>
      </c>
      <c r="I57" s="415">
        <f t="shared" si="25"/>
        <v>3.48</v>
      </c>
      <c r="J57" s="415">
        <f t="shared" si="26"/>
        <v>0</v>
      </c>
      <c r="K57" s="415">
        <f t="shared" si="27"/>
        <v>4.29</v>
      </c>
      <c r="L57" s="415">
        <f t="shared" si="28"/>
        <v>4.62</v>
      </c>
      <c r="M57" s="400">
        <f t="shared" si="34"/>
        <v>6000</v>
      </c>
      <c r="N57" s="408">
        <f t="shared" si="30"/>
        <v>3000</v>
      </c>
      <c r="O57" s="415">
        <f t="shared" si="31"/>
        <v>400</v>
      </c>
      <c r="P57" s="416">
        <f t="shared" si="32"/>
        <v>753.3</v>
      </c>
      <c r="Q57" s="417">
        <f>VLOOKUP(G57,'【国内】常规用户招募-数据源 （正职）'!AF:AJ,2,FALSE)</f>
        <v>0.3</v>
      </c>
      <c r="R57" s="415">
        <f>VLOOKUP(G57,'【国内】常规用户招募-数据源 （正职）'!AF:AJ,4,FALSE)</f>
        <v>2.9</v>
      </c>
      <c r="S57" s="415">
        <v>0</v>
      </c>
      <c r="T57" s="418">
        <f>VLOOKUP(G57,'【国内】常规用户招募-数据源 （正职）'!AF:AJ,5,FALSE)</f>
        <v>3.3</v>
      </c>
      <c r="U57" s="1">
        <f t="shared" si="33"/>
        <v>376.65</v>
      </c>
    </row>
    <row r="58" ht="36" customHeight="1" spans="1:21">
      <c r="A58" s="54"/>
      <c r="B58" s="292" t="s">
        <v>162</v>
      </c>
      <c r="C58" s="107" t="s">
        <v>174</v>
      </c>
      <c r="D58" s="425" t="s">
        <v>30</v>
      </c>
      <c r="E58" s="421" t="s">
        <v>123</v>
      </c>
      <c r="F58" s="422">
        <f>'①【国内】研究资源成本估算 (v1.0)'!$G$10</f>
        <v>2</v>
      </c>
      <c r="G58" s="422">
        <f>'①【国内】研究资源成本估算 (v1.0)'!$J$10</f>
        <v>20</v>
      </c>
      <c r="H58" s="423">
        <f t="shared" si="24"/>
        <v>0.33</v>
      </c>
      <c r="I58" s="423">
        <f t="shared" si="25"/>
        <v>3.9</v>
      </c>
      <c r="J58" s="423">
        <f t="shared" si="26"/>
        <v>0</v>
      </c>
      <c r="K58" s="423">
        <f t="shared" si="27"/>
        <v>4.55</v>
      </c>
      <c r="L58" s="423">
        <f t="shared" si="28"/>
        <v>4.88</v>
      </c>
      <c r="M58" s="400">
        <f t="shared" si="34"/>
        <v>6000</v>
      </c>
      <c r="N58" s="408">
        <f t="shared" si="30"/>
        <v>3000</v>
      </c>
      <c r="O58" s="423">
        <f t="shared" si="31"/>
        <v>400</v>
      </c>
      <c r="P58" s="424">
        <f t="shared" si="32"/>
        <v>828.6</v>
      </c>
      <c r="Q58" s="417">
        <f>VLOOKUP(G58,'【国内】常规用户招募-数据源 （正职）'!AP:AT,2,FALSE)</f>
        <v>0.3</v>
      </c>
      <c r="R58" s="415">
        <f>VLOOKUP(G58,'【国内】常规用户招募-数据源 （正职）'!AP:AT,4,FALSE)</f>
        <v>3.25</v>
      </c>
      <c r="S58" s="415">
        <v>0</v>
      </c>
      <c r="T58" s="418">
        <f>VLOOKUP(G58,'【国内】常规用户招募-数据源 （正职）'!AP:AT,5,FALSE)</f>
        <v>3.5</v>
      </c>
      <c r="U58" s="1">
        <f t="shared" si="33"/>
        <v>414.3</v>
      </c>
    </row>
    <row r="59" ht="36" customHeight="1" spans="1:21">
      <c r="A59" s="54"/>
      <c r="B59" s="292" t="s">
        <v>162</v>
      </c>
      <c r="C59" s="107" t="s">
        <v>174</v>
      </c>
      <c r="D59" s="405" t="s">
        <v>166</v>
      </c>
      <c r="E59" s="406" t="s">
        <v>1</v>
      </c>
      <c r="F59" s="407">
        <f>'①【国内】研究资源成本估算 (v1.0)'!$G$10</f>
        <v>2</v>
      </c>
      <c r="G59" s="407">
        <f>'①【国内】研究资源成本估算 (v1.0)'!$J$10</f>
        <v>20</v>
      </c>
      <c r="H59" s="408">
        <f t="shared" si="24"/>
        <v>0.143</v>
      </c>
      <c r="I59" s="408">
        <f t="shared" si="25"/>
        <v>1.44</v>
      </c>
      <c r="J59" s="408">
        <f t="shared" si="26"/>
        <v>2.75491666666667</v>
      </c>
      <c r="K59" s="408">
        <f t="shared" si="27"/>
        <v>2.86</v>
      </c>
      <c r="L59" s="408">
        <f>H59+I59+J59+K59</f>
        <v>7.19791666666667</v>
      </c>
      <c r="M59" s="400">
        <f t="shared" si="34"/>
        <v>6000</v>
      </c>
      <c r="N59" s="408">
        <f t="shared" si="30"/>
        <v>3000</v>
      </c>
      <c r="O59" s="408"/>
      <c r="P59" s="424">
        <f t="shared" si="32"/>
        <v>495.18</v>
      </c>
      <c r="Q59" s="417">
        <f>VLOOKUP(G59,'【国内】常规用户招募-数据源(正职+OP混合执行）'!A:E,2,FALSE)</f>
        <v>0.13</v>
      </c>
      <c r="R59" s="415">
        <f>VLOOKUP(G59,'【国内】常规用户招募-数据源(正职+OP混合执行）'!A:E,3,FALSE)</f>
        <v>1.2</v>
      </c>
      <c r="S59" s="415">
        <f>VLOOKUP(G59,'【国内】常规用户招募-数据源(正职+OP混合执行）'!A:E,4,FALSE)</f>
        <v>2.11916666666667</v>
      </c>
      <c r="T59" s="418">
        <f>VLOOKUP(G59,'【国内】常规用户招募-数据源(正职+OP混合执行）'!A:E,5,FALSE)</f>
        <v>2.2</v>
      </c>
      <c r="U59" s="1">
        <f t="shared" si="33"/>
        <v>247.59</v>
      </c>
    </row>
    <row r="60" ht="36" customHeight="1" spans="1:21">
      <c r="A60" s="54"/>
      <c r="B60" s="292" t="s">
        <v>162</v>
      </c>
      <c r="C60" s="107" t="s">
        <v>174</v>
      </c>
      <c r="D60" s="405" t="s">
        <v>166</v>
      </c>
      <c r="E60" s="413" t="s">
        <v>3</v>
      </c>
      <c r="F60" s="414">
        <f>'①【国内】研究资源成本估算 (v1.0)'!$G$10</f>
        <v>2</v>
      </c>
      <c r="G60" s="414">
        <f>'①【国内】研究资源成本估算 (v1.0)'!$J$10</f>
        <v>20</v>
      </c>
      <c r="H60" s="415">
        <f t="shared" si="24"/>
        <v>0.286</v>
      </c>
      <c r="I60" s="415">
        <f t="shared" si="25"/>
        <v>1.512</v>
      </c>
      <c r="J60" s="415">
        <f t="shared" si="26"/>
        <v>2.72675</v>
      </c>
      <c r="K60" s="415">
        <f t="shared" si="27"/>
        <v>3.185</v>
      </c>
      <c r="L60" s="415">
        <f>H60+I60+J60+K60</f>
        <v>7.70975</v>
      </c>
      <c r="M60" s="400">
        <f t="shared" si="34"/>
        <v>6000</v>
      </c>
      <c r="N60" s="408">
        <f t="shared" si="30"/>
        <v>3000</v>
      </c>
      <c r="O60" s="415"/>
      <c r="P60" s="424">
        <f t="shared" si="32"/>
        <v>552.79</v>
      </c>
      <c r="Q60" s="417">
        <f>VLOOKUP(G60,'【国内】常规用户招募-数据源(正职+OP混合执行）'!N:R,2,FALSE)</f>
        <v>0.26</v>
      </c>
      <c r="R60" s="415">
        <f>VLOOKUP(G60,'【国内】常规用户招募-数据源(正职+OP混合执行）'!N:R,3,FALSE)</f>
        <v>1.26</v>
      </c>
      <c r="S60" s="415">
        <f>VLOOKUP(G60,'【国内】常规用户招募-数据源(正职+OP混合执行）'!N:R,4,FALSE)</f>
        <v>2.0975</v>
      </c>
      <c r="T60" s="418">
        <f>VLOOKUP(G60,'【国内】常规用户招募-数据源(正职+OP混合执行）'!N:R,5,FALSE)</f>
        <v>2.45</v>
      </c>
      <c r="U60" s="1">
        <f t="shared" si="33"/>
        <v>276.395</v>
      </c>
    </row>
    <row r="61" ht="36" customHeight="1" spans="1:21">
      <c r="A61" s="54"/>
      <c r="B61" s="292" t="s">
        <v>162</v>
      </c>
      <c r="C61" s="107" t="s">
        <v>174</v>
      </c>
      <c r="D61" s="405" t="s">
        <v>166</v>
      </c>
      <c r="E61" s="419" t="s">
        <v>4</v>
      </c>
      <c r="F61" s="414">
        <f>'①【国内】研究资源成本估算 (v1.0)'!$G$10</f>
        <v>2</v>
      </c>
      <c r="G61" s="414">
        <f>'①【国内】研究资源成本估算 (v1.0)'!$J$10</f>
        <v>20</v>
      </c>
      <c r="H61" s="415">
        <f t="shared" si="24"/>
        <v>0.286</v>
      </c>
      <c r="I61" s="415">
        <f t="shared" si="25"/>
        <v>1.872</v>
      </c>
      <c r="J61" s="415">
        <f t="shared" si="26"/>
        <v>3.25216666666667</v>
      </c>
      <c r="K61" s="415">
        <f t="shared" si="27"/>
        <v>4.68</v>
      </c>
      <c r="L61" s="415">
        <f>H61+I61+J61+K61</f>
        <v>10.0901666666667</v>
      </c>
      <c r="M61" s="400">
        <f t="shared" si="34"/>
        <v>6000</v>
      </c>
      <c r="N61" s="408">
        <f t="shared" si="30"/>
        <v>3000</v>
      </c>
      <c r="O61" s="415"/>
      <c r="P61" s="424">
        <f t="shared" si="32"/>
        <v>667.94</v>
      </c>
      <c r="Q61" s="417">
        <f>VLOOKUP(G61,'【国内】常规用户招募-数据源(正职+OP混合执行）'!Z:AD,2,FALSE)</f>
        <v>0.26</v>
      </c>
      <c r="R61" s="415">
        <f>VLOOKUP(G61,'【国内】常规用户招募-数据源(正职+OP混合执行）'!Z:AD,3,FALSE)</f>
        <v>1.56</v>
      </c>
      <c r="S61" s="415">
        <f>VLOOKUP(G61,'【国内】常规用户招募-数据源(正职+OP混合执行）'!Z:AD,4,FALSE)</f>
        <v>2.50166666666667</v>
      </c>
      <c r="T61" s="418">
        <f>VLOOKUP(G61,'【国内】常规用户招募-数据源(正职+OP混合执行）'!Z:AD,5,FALSE)</f>
        <v>3.6</v>
      </c>
      <c r="U61" s="1">
        <f t="shared" si="33"/>
        <v>333.97</v>
      </c>
    </row>
    <row r="62" ht="36" customHeight="1" spans="1:21">
      <c r="A62" s="54"/>
      <c r="B62" s="292" t="s">
        <v>162</v>
      </c>
      <c r="C62" s="107" t="s">
        <v>174</v>
      </c>
      <c r="D62" s="405" t="s">
        <v>166</v>
      </c>
      <c r="E62" s="420" t="s">
        <v>5</v>
      </c>
      <c r="F62" s="414">
        <f>'①【国内】研究资源成本估算 (v1.0)'!$G$10</f>
        <v>2</v>
      </c>
      <c r="G62" s="414">
        <f>'①【国内】研究资源成本估算 (v1.0)'!$J$10</f>
        <v>20</v>
      </c>
      <c r="H62" s="415">
        <f t="shared" si="24"/>
        <v>0.429</v>
      </c>
      <c r="I62" s="415">
        <f t="shared" si="25"/>
        <v>2.088</v>
      </c>
      <c r="J62" s="415">
        <f t="shared" si="26"/>
        <v>3.61161666666667</v>
      </c>
      <c r="K62" s="415">
        <f t="shared" si="27"/>
        <v>4.6332</v>
      </c>
      <c r="L62" s="415">
        <f>H62+I62+J62+K62</f>
        <v>10.7618166666667</v>
      </c>
      <c r="M62" s="400">
        <f t="shared" si="34"/>
        <v>6000</v>
      </c>
      <c r="N62" s="408">
        <f t="shared" si="30"/>
        <v>3000</v>
      </c>
      <c r="O62" s="415"/>
      <c r="P62" s="424">
        <f t="shared" si="32"/>
        <v>767.71</v>
      </c>
      <c r="Q62" s="417">
        <f>VLOOKUP(G62,'【国内】常规用户招募-数据源(正职+OP混合执行）'!AL:AP,2,FALSE)</f>
        <v>0.39</v>
      </c>
      <c r="R62" s="415">
        <f>VLOOKUP(G62,'【国内】常规用户招募-数据源(正职+OP混合执行）'!AL:AP,3,FALSE)</f>
        <v>1.74</v>
      </c>
      <c r="S62" s="415">
        <f>VLOOKUP(G62,'【国内】常规用户招募-数据源(正职+OP混合执行）'!AL:AP,4,FALSE)</f>
        <v>2.77816666666667</v>
      </c>
      <c r="T62" s="418">
        <f>VLOOKUP(G62,'【国内】常规用户招募-数据源(正职+OP混合执行）'!AL:AP,5,FALSE)</f>
        <v>3.564</v>
      </c>
      <c r="U62" s="1">
        <f t="shared" si="33"/>
        <v>383.855</v>
      </c>
    </row>
    <row r="63" ht="36" customHeight="1" spans="1:21">
      <c r="A63" s="54"/>
      <c r="B63" s="292" t="s">
        <v>162</v>
      </c>
      <c r="C63" s="107" t="s">
        <v>174</v>
      </c>
      <c r="D63" s="405" t="s">
        <v>166</v>
      </c>
      <c r="E63" s="421" t="s">
        <v>123</v>
      </c>
      <c r="F63" s="422">
        <f>'①【国内】研究资源成本估算 (v1.0)'!$G$10</f>
        <v>2</v>
      </c>
      <c r="G63" s="422">
        <f>'①【国内】研究资源成本估算 (v1.0)'!$J$10</f>
        <v>20</v>
      </c>
      <c r="H63" s="423">
        <f t="shared" si="24"/>
        <v>0.429</v>
      </c>
      <c r="I63" s="423">
        <f t="shared" si="25"/>
        <v>2.34</v>
      </c>
      <c r="J63" s="423">
        <f t="shared" si="26"/>
        <v>4.27808333333333</v>
      </c>
      <c r="K63" s="423">
        <f t="shared" si="27"/>
        <v>4.29</v>
      </c>
      <c r="L63" s="423">
        <f>H63+I63+J63+K63</f>
        <v>11.3370833333333</v>
      </c>
      <c r="M63" s="400">
        <f t="shared" si="34"/>
        <v>6000</v>
      </c>
      <c r="N63" s="408">
        <f t="shared" si="30"/>
        <v>3000</v>
      </c>
      <c r="O63" s="423"/>
      <c r="P63" s="424">
        <f t="shared" si="32"/>
        <v>845.39</v>
      </c>
      <c r="Q63" s="426">
        <f>VLOOKUP($G63,'【国内】常规用户招募-数据源(正职+OP混合执行）'!AX:BB,2,FALSE)</f>
        <v>0.39</v>
      </c>
      <c r="R63" s="427">
        <f>VLOOKUP(G63,'【国内】常规用户招募-数据源(正职+OP混合执行）'!AX:BB,3,FALSE)</f>
        <v>1.95</v>
      </c>
      <c r="S63" s="427">
        <f>VLOOKUP(G63,'【国内】常规用户招募-数据源(正职+OP混合执行）'!AX:BB,4,FALSE)</f>
        <v>3.29083333333333</v>
      </c>
      <c r="T63" s="428">
        <f>VLOOKUP($G63,'【国内】常规用户招募-数据源(正职+OP混合执行）'!AX:BB,5,FALSE)</f>
        <v>3.3</v>
      </c>
      <c r="U63" s="1">
        <f t="shared" si="33"/>
        <v>422.695</v>
      </c>
    </row>
    <row r="64" ht="36" customHeight="1" spans="1:21">
      <c r="A64" s="54" t="s">
        <v>246</v>
      </c>
      <c r="B64" s="292" t="s">
        <v>162</v>
      </c>
      <c r="C64" s="107" t="s">
        <v>176</v>
      </c>
      <c r="D64" s="429" t="s">
        <v>170</v>
      </c>
      <c r="E64" s="430" t="s">
        <v>1</v>
      </c>
      <c r="F64" s="431">
        <f>'①【国内】研究资源成本估算 (v1.0)'!$G$11</f>
        <v>1.5</v>
      </c>
      <c r="G64" s="431">
        <f>'①【国内】研究资源成本估算 (v1.0)'!$J$11</f>
        <v>30</v>
      </c>
      <c r="H64" s="432">
        <f>Q64*0.8</f>
        <v>0.42</v>
      </c>
      <c r="I64" s="432">
        <f>R64*0.8</f>
        <v>0</v>
      </c>
      <c r="J64" s="432">
        <f>S64*0.8</f>
        <v>4.595</v>
      </c>
      <c r="K64" s="432">
        <f>T64*0.8</f>
        <v>5.28</v>
      </c>
      <c r="L64" s="432">
        <f t="shared" ref="L64:L86" si="35">K64+J64+H64</f>
        <v>10.295</v>
      </c>
      <c r="M64" s="432">
        <f>IF(AND(F64&gt;0,F64&lt;=1),80,IF(F64&gt;1,80+INT((F64-1)/0.5)*40,0))*G64</f>
        <v>3600</v>
      </c>
      <c r="N64" s="432">
        <f t="shared" ref="N64:N67" si="36">G64*50</f>
        <v>1500</v>
      </c>
      <c r="O64" s="432">
        <f t="shared" ref="O64:O78" si="37">G64*20</f>
        <v>600</v>
      </c>
      <c r="P64" s="424">
        <f t="shared" si="32"/>
        <v>319.2</v>
      </c>
      <c r="Q64" s="433">
        <f>VLOOKUP(G64,'【国内】常规用户招募-数据源 (OP)'!A:E,2,FALSE)</f>
        <v>0.525</v>
      </c>
      <c r="R64" s="434">
        <f>VLOOKUP(G64,'【国内】常规用户招募-数据源 (OP)'!A:E,3,FALSE)</f>
        <v>0</v>
      </c>
      <c r="S64" s="434">
        <f>VLOOKUP(G64,'【国内】常规用户招募-数据源 (OP)'!A:E,4,FALSE)</f>
        <v>5.74375</v>
      </c>
      <c r="T64" s="435">
        <f>VLOOKUP(G64,'【国内】常规用户招募-数据源 (OP)'!A:E,5,FALSE)</f>
        <v>6.6</v>
      </c>
      <c r="U64" s="1">
        <f t="shared" si="33"/>
        <v>159.6</v>
      </c>
    </row>
    <row r="65" ht="36" customHeight="1" spans="1:21">
      <c r="A65" s="54" t="s">
        <v>249</v>
      </c>
      <c r="B65" s="292" t="s">
        <v>162</v>
      </c>
      <c r="C65" s="107" t="s">
        <v>176</v>
      </c>
      <c r="D65" s="429" t="s">
        <v>170</v>
      </c>
      <c r="E65" s="436" t="s">
        <v>3</v>
      </c>
      <c r="F65" s="437">
        <f>'①【国内】研究资源成本估算 (v1.0)'!$G$11</f>
        <v>1.5</v>
      </c>
      <c r="G65" s="437">
        <f>'①【国内】研究资源成本估算 (v1.0)'!$J$11</f>
        <v>30</v>
      </c>
      <c r="H65" s="432">
        <f t="shared" ref="H65:H78" si="38">Q65*0.8</f>
        <v>0.432</v>
      </c>
      <c r="I65" s="432">
        <f t="shared" ref="I65:I78" si="39">R65*0.8</f>
        <v>0</v>
      </c>
      <c r="J65" s="432">
        <f t="shared" ref="J65:J78" si="40">S65*0.8</f>
        <v>4.80929333333334</v>
      </c>
      <c r="K65" s="432">
        <f t="shared" ref="K65:K78" si="41">T65*0.8</f>
        <v>6.32016</v>
      </c>
      <c r="L65" s="438">
        <f t="shared" si="35"/>
        <v>11.5614533333333</v>
      </c>
      <c r="M65" s="438">
        <f t="shared" ref="M65:M78" si="42">IF(AND(F65&gt;0,F65&lt;=1),80,IF(F65&gt;1,80+INT((F65-1)/0.5)*40,0))*G65</f>
        <v>3600</v>
      </c>
      <c r="N65" s="438">
        <f t="shared" si="36"/>
        <v>1500</v>
      </c>
      <c r="O65" s="438">
        <f t="shared" si="37"/>
        <v>600</v>
      </c>
      <c r="P65" s="424">
        <f t="shared" ref="P65:P78" si="43">(H65*5900+I65*3400+J65*1200+K65*300)/G65</f>
        <v>340.533333333334</v>
      </c>
      <c r="Q65" s="439">
        <f>VLOOKUP(G65,'【国内】常规用户招募-数据源 (OP)'!N:R,2,FALSE)</f>
        <v>0.54</v>
      </c>
      <c r="R65" s="440">
        <f>VLOOKUP(G65,'【国内】常规用户招募-数据源 (OP)'!N:R,3,FALSE)</f>
        <v>0</v>
      </c>
      <c r="S65" s="440">
        <f>VLOOKUP(G65,'【国内】常规用户招募-数据源 (OP)'!N:R,4,FALSE)</f>
        <v>6.01161666666667</v>
      </c>
      <c r="T65" s="441">
        <f>VLOOKUP(G65,'【国内】常规用户招募-数据源 (OP)'!N:R,5,FALSE)</f>
        <v>7.9002</v>
      </c>
      <c r="U65" s="1">
        <f t="shared" si="33"/>
        <v>170.266666666667</v>
      </c>
    </row>
    <row r="66" ht="36" customHeight="1" spans="1:21">
      <c r="A66" s="54" t="s">
        <v>252</v>
      </c>
      <c r="B66" s="292" t="s">
        <v>162</v>
      </c>
      <c r="C66" s="107" t="s">
        <v>176</v>
      </c>
      <c r="D66" s="429" t="s">
        <v>170</v>
      </c>
      <c r="E66" s="442" t="s">
        <v>4</v>
      </c>
      <c r="F66" s="437">
        <f>'①【国内】研究资源成本估算 (v1.0)'!$G$11</f>
        <v>1.5</v>
      </c>
      <c r="G66" s="437">
        <f>'①【国内】研究资源成本估算 (v1.0)'!$J$11</f>
        <v>30</v>
      </c>
      <c r="H66" s="432">
        <f ca="1" t="shared" si="38"/>
        <v>0.64</v>
      </c>
      <c r="I66" s="432">
        <f ca="1" t="shared" si="39"/>
        <v>0</v>
      </c>
      <c r="J66" s="432">
        <f ca="1" t="shared" si="40"/>
        <v>6.73333333333334</v>
      </c>
      <c r="K66" s="432">
        <f ca="1" t="shared" si="41"/>
        <v>6.4</v>
      </c>
      <c r="L66" s="438">
        <f ca="1" t="shared" si="35"/>
        <v>13.7733333333333</v>
      </c>
      <c r="M66" s="438">
        <f t="shared" si="42"/>
        <v>3600</v>
      </c>
      <c r="N66" s="438">
        <f t="shared" si="36"/>
        <v>1500</v>
      </c>
      <c r="O66" s="438">
        <f t="shared" si="37"/>
        <v>600</v>
      </c>
      <c r="P66" s="424">
        <f ca="1" t="shared" si="43"/>
        <v>459.2</v>
      </c>
      <c r="Q66" s="439">
        <f ca="1">VLOOKUP(G66,'【国内】常规用户招募-数据源 (OP)'!Z:AD,2,FALSE)</f>
        <v>0.8</v>
      </c>
      <c r="R66" s="440">
        <f ca="1">VLOOKUP(G66,'【国内】常规用户招募-数据源 (OP)'!Z:AD,3,FALSE)</f>
        <v>0</v>
      </c>
      <c r="S66" s="440">
        <f ca="1">VLOOKUP(G66,'【国内】常规用户招募-数据源 (OP)'!Z:AD,4,FALSE)</f>
        <v>8.41666666666667</v>
      </c>
      <c r="T66" s="441">
        <f ca="1">VLOOKUP(G66,'【国内】常规用户招募-数据源 (OP)'!Z:AD,5,FALSE)</f>
        <v>8</v>
      </c>
      <c r="U66" s="1">
        <f ca="1" t="shared" si="33"/>
        <v>229.6</v>
      </c>
    </row>
    <row r="67" ht="36" customHeight="1" spans="1:21">
      <c r="A67" s="54" t="s">
        <v>265</v>
      </c>
      <c r="B67" s="292" t="s">
        <v>162</v>
      </c>
      <c r="C67" s="107" t="s">
        <v>176</v>
      </c>
      <c r="D67" s="429" t="s">
        <v>170</v>
      </c>
      <c r="E67" s="443" t="s">
        <v>5</v>
      </c>
      <c r="F67" s="437">
        <f>'①【国内】研究资源成本估算 (v1.0)'!$G$11</f>
        <v>1.5</v>
      </c>
      <c r="G67" s="437">
        <f>'①【国内】研究资源成本估算 (v1.0)'!$J$11</f>
        <v>30</v>
      </c>
      <c r="H67" s="432">
        <f t="shared" si="38"/>
        <v>0.88</v>
      </c>
      <c r="I67" s="432">
        <f t="shared" si="39"/>
        <v>0</v>
      </c>
      <c r="J67" s="432">
        <f t="shared" si="40"/>
        <v>6.57866666666666</v>
      </c>
      <c r="K67" s="432">
        <f t="shared" si="41"/>
        <v>6.912</v>
      </c>
      <c r="L67" s="438">
        <f t="shared" si="35"/>
        <v>14.3706666666667</v>
      </c>
      <c r="M67" s="438">
        <f t="shared" si="42"/>
        <v>3600</v>
      </c>
      <c r="N67" s="438">
        <f t="shared" si="36"/>
        <v>1500</v>
      </c>
      <c r="O67" s="438">
        <f t="shared" si="37"/>
        <v>600</v>
      </c>
      <c r="P67" s="424">
        <f t="shared" si="43"/>
        <v>505.333333333333</v>
      </c>
      <c r="Q67" s="439">
        <f>VLOOKUP(G67,'【国内】常规用户招募-数据源 (OP)'!AM:AQ,2,FALSE)</f>
        <v>1.1</v>
      </c>
      <c r="R67" s="440">
        <f>VLOOKUP(G67,'【国内】常规用户招募-数据源 (OP)'!AM:AQ,3,FALSE)</f>
        <v>0</v>
      </c>
      <c r="S67" s="440">
        <f>VLOOKUP(G67,'【国内】常规用户招募-数据源 (OP)'!AM:AQ,4,FALSE)</f>
        <v>8.22333333333333</v>
      </c>
      <c r="T67" s="441">
        <f>VLOOKUP(G67,'【国内】常规用户招募-数据源 (OP)'!AM:AQ,5,FALSE)</f>
        <v>8.64</v>
      </c>
      <c r="U67" s="1">
        <f t="shared" si="33"/>
        <v>252.666666666667</v>
      </c>
    </row>
    <row r="68" ht="36" customHeight="1" spans="1:21">
      <c r="A68" s="54" t="s">
        <v>266</v>
      </c>
      <c r="B68" s="292" t="s">
        <v>162</v>
      </c>
      <c r="C68" s="107" t="s">
        <v>176</v>
      </c>
      <c r="D68" s="429" t="s">
        <v>170</v>
      </c>
      <c r="E68" s="444" t="s">
        <v>123</v>
      </c>
      <c r="F68" s="437">
        <f>'①【国内】研究资源成本估算 (v1.0)'!$G$11</f>
        <v>1.5</v>
      </c>
      <c r="G68" s="437">
        <f>'①【国内】研究资源成本估算 (v1.0)'!$J$11</f>
        <v>30</v>
      </c>
      <c r="H68" s="432">
        <f t="shared" si="38"/>
        <v>0.92</v>
      </c>
      <c r="I68" s="432">
        <f t="shared" si="39"/>
        <v>0</v>
      </c>
      <c r="J68" s="432">
        <f t="shared" si="40"/>
        <v>7.89954666666666</v>
      </c>
      <c r="K68" s="432">
        <f t="shared" si="41"/>
        <v>7.18848</v>
      </c>
      <c r="L68" s="438">
        <f t="shared" si="35"/>
        <v>16.0080266666667</v>
      </c>
      <c r="M68" s="438">
        <f t="shared" si="42"/>
        <v>3600</v>
      </c>
      <c r="N68" s="438">
        <f t="shared" ref="N68:N78" si="44">G68*60</f>
        <v>1800</v>
      </c>
      <c r="O68" s="438">
        <f t="shared" si="37"/>
        <v>600</v>
      </c>
      <c r="P68" s="424">
        <f t="shared" si="43"/>
        <v>568.8</v>
      </c>
      <c r="Q68" s="439">
        <f>VLOOKUP(G68,'【国内】常规用户招募-数据源 (OP)'!AZ:BD,2,FALSE)</f>
        <v>1.15</v>
      </c>
      <c r="R68" s="440">
        <f>VLOOKUP(G68,'【国内】常规用户招募-数据源 (OP)'!AZ:BD,3,FALSE)</f>
        <v>0</v>
      </c>
      <c r="S68" s="440">
        <f>VLOOKUP(G68,'【国内】常规用户招募-数据源 (OP)'!AZ:BD,4,FALSE)</f>
        <v>9.87443333333333</v>
      </c>
      <c r="T68" s="441">
        <f>VLOOKUP(G68,'【国内】常规用户招募-数据源 (OP)'!AZ:BD,5,FALSE)</f>
        <v>8.9856</v>
      </c>
      <c r="U68" s="1">
        <f t="shared" si="33"/>
        <v>284.4</v>
      </c>
    </row>
    <row r="69" ht="36" customHeight="1" spans="1:21">
      <c r="A69" s="54"/>
      <c r="B69" s="292" t="s">
        <v>162</v>
      </c>
      <c r="C69" s="107" t="s">
        <v>176</v>
      </c>
      <c r="D69" s="445" t="s">
        <v>30</v>
      </c>
      <c r="E69" s="446" t="s">
        <v>1</v>
      </c>
      <c r="F69" s="437">
        <f>'①【国内】研究资源成本估算 (v1.0)'!$G$11</f>
        <v>1.5</v>
      </c>
      <c r="G69" s="437">
        <f>'①【国内】研究资源成本估算 (v1.0)'!$J$11</f>
        <v>30</v>
      </c>
      <c r="H69" s="432">
        <f t="shared" si="38"/>
        <v>0.24</v>
      </c>
      <c r="I69" s="432">
        <f t="shared" si="39"/>
        <v>2.16</v>
      </c>
      <c r="J69" s="432">
        <f t="shared" si="40"/>
        <v>0</v>
      </c>
      <c r="K69" s="432">
        <f t="shared" si="41"/>
        <v>2.72</v>
      </c>
      <c r="L69" s="438">
        <f t="shared" si="35"/>
        <v>2.96</v>
      </c>
      <c r="M69" s="438">
        <f t="shared" si="42"/>
        <v>3600</v>
      </c>
      <c r="N69" s="438">
        <f t="shared" si="44"/>
        <v>1800</v>
      </c>
      <c r="O69" s="438">
        <f t="shared" si="37"/>
        <v>600</v>
      </c>
      <c r="P69" s="424">
        <f t="shared" si="43"/>
        <v>319.2</v>
      </c>
      <c r="Q69" s="439">
        <f>VLOOKUP(G69,'【国内】常规用户招募-数据源 （正职）'!A:E,2,FALSE)</f>
        <v>0.3</v>
      </c>
      <c r="R69" s="440">
        <f>VLOOKUP(G69,'【国内】常规用户招募-数据源 （正职）'!A:E,4,FALSE)</f>
        <v>2.7</v>
      </c>
      <c r="S69" s="440">
        <v>0</v>
      </c>
      <c r="T69" s="441">
        <f>VLOOKUP(G69,'【国内】常规用户招募-数据源 （正职）'!A:E,5,FALSE)</f>
        <v>3.4</v>
      </c>
      <c r="U69" s="1">
        <f t="shared" si="33"/>
        <v>159.6</v>
      </c>
    </row>
    <row r="70" ht="36" customHeight="1" spans="1:21">
      <c r="A70" s="54"/>
      <c r="B70" s="292" t="s">
        <v>162</v>
      </c>
      <c r="C70" s="107" t="s">
        <v>176</v>
      </c>
      <c r="D70" s="445" t="s">
        <v>30</v>
      </c>
      <c r="E70" s="436" t="s">
        <v>3</v>
      </c>
      <c r="F70" s="437">
        <f>'①【国内】研究资源成本估算 (v1.0)'!$G$11</f>
        <v>1.5</v>
      </c>
      <c r="G70" s="437">
        <f>'①【国内】研究资源成本估算 (v1.0)'!$J$11</f>
        <v>30</v>
      </c>
      <c r="H70" s="432">
        <f t="shared" si="38"/>
        <v>0.24</v>
      </c>
      <c r="I70" s="432">
        <f t="shared" si="39"/>
        <v>2.32</v>
      </c>
      <c r="J70" s="432">
        <f t="shared" si="40"/>
        <v>0</v>
      </c>
      <c r="K70" s="432">
        <f t="shared" si="41"/>
        <v>3.04</v>
      </c>
      <c r="L70" s="438">
        <f t="shared" si="35"/>
        <v>3.28</v>
      </c>
      <c r="M70" s="438">
        <f t="shared" si="42"/>
        <v>3600</v>
      </c>
      <c r="N70" s="438">
        <f t="shared" si="44"/>
        <v>1800</v>
      </c>
      <c r="O70" s="438">
        <f t="shared" si="37"/>
        <v>600</v>
      </c>
      <c r="P70" s="424">
        <f t="shared" si="43"/>
        <v>340.533333333333</v>
      </c>
      <c r="Q70" s="439">
        <f>VLOOKUP(G70,'【国内】常规用户招募-数据源 （正职）'!L:P,2,FALSE)</f>
        <v>0.3</v>
      </c>
      <c r="R70" s="440">
        <f>VLOOKUP(G70,'【国内】常规用户招募-数据源 （正职）'!L:P,4,FALSE)</f>
        <v>2.9</v>
      </c>
      <c r="S70" s="440">
        <v>0</v>
      </c>
      <c r="T70" s="441">
        <f>VLOOKUP(G70,'【国内】常规用户招募-数据源 （正职）'!L:P,5,FALSE)</f>
        <v>3.8</v>
      </c>
      <c r="U70" s="1">
        <f t="shared" si="33"/>
        <v>170.266666666667</v>
      </c>
    </row>
    <row r="71" ht="36" customHeight="1" spans="1:21">
      <c r="A71" s="54"/>
      <c r="B71" s="292" t="s">
        <v>162</v>
      </c>
      <c r="C71" s="107" t="s">
        <v>176</v>
      </c>
      <c r="D71" s="445" t="s">
        <v>30</v>
      </c>
      <c r="E71" s="442" t="s">
        <v>4</v>
      </c>
      <c r="F71" s="437">
        <f>'①【国内】研究资源成本估算 (v1.0)'!$G$11</f>
        <v>1.5</v>
      </c>
      <c r="G71" s="437">
        <f>'①【国内】研究资源成本估算 (v1.0)'!$J$11</f>
        <v>30</v>
      </c>
      <c r="H71" s="432">
        <f t="shared" si="38"/>
        <v>0.32</v>
      </c>
      <c r="I71" s="432">
        <f t="shared" si="39"/>
        <v>3.2</v>
      </c>
      <c r="J71" s="432">
        <f t="shared" si="40"/>
        <v>0</v>
      </c>
      <c r="K71" s="432">
        <f t="shared" si="41"/>
        <v>3.36</v>
      </c>
      <c r="L71" s="438">
        <f t="shared" si="35"/>
        <v>3.68</v>
      </c>
      <c r="M71" s="438">
        <f t="shared" si="42"/>
        <v>3600</v>
      </c>
      <c r="N71" s="438">
        <f t="shared" si="44"/>
        <v>1800</v>
      </c>
      <c r="O71" s="438">
        <f t="shared" si="37"/>
        <v>600</v>
      </c>
      <c r="P71" s="424">
        <f t="shared" si="43"/>
        <v>459.2</v>
      </c>
      <c r="Q71" s="439">
        <f>VLOOKUP(G71,'【国内】常规用户招募-数据源 （正职）'!V:Z,2,FALSE)</f>
        <v>0.4</v>
      </c>
      <c r="R71" s="440">
        <f>VLOOKUP(G71,'【国内】常规用户招募-数据源 （正职）'!V:Z,4,FALSE)</f>
        <v>4</v>
      </c>
      <c r="S71" s="440">
        <v>0</v>
      </c>
      <c r="T71" s="441">
        <f>VLOOKUP(G71,'【国内】常规用户招募-数据源 （正职）'!V:Z,5,FALSE)</f>
        <v>4.2</v>
      </c>
      <c r="U71" s="1">
        <f t="shared" si="33"/>
        <v>229.6</v>
      </c>
    </row>
    <row r="72" ht="36" customHeight="1" spans="1:21">
      <c r="A72" s="54"/>
      <c r="B72" s="292" t="s">
        <v>162</v>
      </c>
      <c r="C72" s="107" t="s">
        <v>176</v>
      </c>
      <c r="D72" s="445" t="s">
        <v>30</v>
      </c>
      <c r="E72" s="443" t="s">
        <v>5</v>
      </c>
      <c r="F72" s="437">
        <f>'①【国内】研究资源成本估算 (v1.0)'!$G$11</f>
        <v>1.5</v>
      </c>
      <c r="G72" s="437">
        <f>'①【国内】研究资源成本估算 (v1.0)'!$J$11</f>
        <v>30</v>
      </c>
      <c r="H72" s="432">
        <f t="shared" si="38"/>
        <v>0.4</v>
      </c>
      <c r="I72" s="432">
        <f t="shared" si="39"/>
        <v>3.44</v>
      </c>
      <c r="J72" s="432">
        <f t="shared" si="40"/>
        <v>0</v>
      </c>
      <c r="K72" s="432">
        <f t="shared" si="41"/>
        <v>3.68</v>
      </c>
      <c r="L72" s="438">
        <f t="shared" si="35"/>
        <v>4.08</v>
      </c>
      <c r="M72" s="438">
        <f t="shared" si="42"/>
        <v>3600</v>
      </c>
      <c r="N72" s="438">
        <f t="shared" si="44"/>
        <v>1800</v>
      </c>
      <c r="O72" s="438">
        <f t="shared" si="37"/>
        <v>600</v>
      </c>
      <c r="P72" s="424">
        <f t="shared" si="43"/>
        <v>505.333333333333</v>
      </c>
      <c r="Q72" s="439">
        <f>VLOOKUP(G72,'【国内】常规用户招募-数据源 （正职）'!AF:AJ,2,FALSE)</f>
        <v>0.5</v>
      </c>
      <c r="R72" s="440">
        <f>VLOOKUP(G72,'【国内】常规用户招募-数据源 （正职）'!AF:AJ,4,FALSE)</f>
        <v>4.3</v>
      </c>
      <c r="S72" s="440">
        <v>0</v>
      </c>
      <c r="T72" s="441">
        <f>VLOOKUP(G72,'【国内】常规用户招募-数据源 （正职）'!AF:AJ,5,FALSE)</f>
        <v>4.6</v>
      </c>
      <c r="U72" s="1">
        <f t="shared" si="33"/>
        <v>252.666666666667</v>
      </c>
    </row>
    <row r="73" ht="36" customHeight="1" spans="1:21">
      <c r="A73" s="54"/>
      <c r="B73" s="292" t="s">
        <v>162</v>
      </c>
      <c r="C73" s="107" t="s">
        <v>176</v>
      </c>
      <c r="D73" s="445" t="s">
        <v>30</v>
      </c>
      <c r="E73" s="444" t="s">
        <v>123</v>
      </c>
      <c r="F73" s="437">
        <f>'①【国内】研究资源成本估算 (v1.0)'!$G$11</f>
        <v>1.5</v>
      </c>
      <c r="G73" s="437">
        <f>'①【国内】研究资源成本估算 (v1.0)'!$J$11</f>
        <v>30</v>
      </c>
      <c r="H73" s="432">
        <f t="shared" si="38"/>
        <v>0.4</v>
      </c>
      <c r="I73" s="432">
        <f t="shared" si="39"/>
        <v>4</v>
      </c>
      <c r="J73" s="432">
        <f t="shared" si="40"/>
        <v>0</v>
      </c>
      <c r="K73" s="432">
        <f t="shared" si="41"/>
        <v>3.68</v>
      </c>
      <c r="L73" s="438">
        <f t="shared" si="35"/>
        <v>4.08</v>
      </c>
      <c r="M73" s="438">
        <f t="shared" si="42"/>
        <v>3600</v>
      </c>
      <c r="N73" s="438">
        <f t="shared" si="44"/>
        <v>1800</v>
      </c>
      <c r="O73" s="438">
        <f t="shared" si="37"/>
        <v>600</v>
      </c>
      <c r="P73" s="424">
        <f t="shared" si="43"/>
        <v>568.8</v>
      </c>
      <c r="Q73" s="439">
        <f>VLOOKUP(G73,'【国内】常规用户招募-数据源 （正职）'!AP:AT,2,FALSE)</f>
        <v>0.5</v>
      </c>
      <c r="R73" s="440">
        <f>VLOOKUP(G73,'【国内】常规用户招募-数据源 （正职）'!AP:AT,4,FALSE)</f>
        <v>5</v>
      </c>
      <c r="S73" s="440">
        <v>0</v>
      </c>
      <c r="T73" s="441">
        <f>VLOOKUP(G73,'【国内】常规用户招募-数据源 （正职）'!AP:AT,5,FALSE)</f>
        <v>4.6</v>
      </c>
      <c r="U73" s="1">
        <f t="shared" si="33"/>
        <v>284.4</v>
      </c>
    </row>
    <row r="74" ht="36" customHeight="1" spans="1:21">
      <c r="A74" s="54"/>
      <c r="B74" s="292" t="s">
        <v>162</v>
      </c>
      <c r="C74" s="107" t="s">
        <v>176</v>
      </c>
      <c r="D74" s="447" t="s">
        <v>166</v>
      </c>
      <c r="E74" s="446" t="s">
        <v>1</v>
      </c>
      <c r="F74" s="437">
        <f>'①【国内】研究资源成本估算 (v1.0)'!$G$11</f>
        <v>1.5</v>
      </c>
      <c r="G74" s="437">
        <f>'①【国内】研究资源成本估算 (v1.0)'!$J$11</f>
        <v>30</v>
      </c>
      <c r="H74" s="432">
        <f t="shared" si="38"/>
        <v>0.312</v>
      </c>
      <c r="I74" s="432">
        <f t="shared" si="39"/>
        <v>1.296</v>
      </c>
      <c r="J74" s="432">
        <f t="shared" si="40"/>
        <v>2.094</v>
      </c>
      <c r="K74" s="432">
        <f t="shared" si="41"/>
        <v>2.72</v>
      </c>
      <c r="L74" s="438">
        <f t="shared" si="35"/>
        <v>5.126</v>
      </c>
      <c r="M74" s="438">
        <f t="shared" si="42"/>
        <v>3600</v>
      </c>
      <c r="N74" s="438">
        <f t="shared" si="44"/>
        <v>1800</v>
      </c>
      <c r="O74" s="438">
        <f t="shared" si="37"/>
        <v>600</v>
      </c>
      <c r="P74" s="424">
        <f t="shared" si="43"/>
        <v>319.2</v>
      </c>
      <c r="Q74" s="439">
        <f>VLOOKUP(G74,'【国内】常规用户招募-数据源(正职+OP混合执行）'!A:E,2,FALSE)</f>
        <v>0.39</v>
      </c>
      <c r="R74" s="440">
        <f>VLOOKUP(G74,'【国内】常规用户招募-数据源(正职+OP混合执行）'!A:E,3,FALSE)</f>
        <v>1.62</v>
      </c>
      <c r="S74" s="440">
        <f>VLOOKUP(G74,'【国内】常规用户招募-数据源(正职+OP混合执行）'!A:E,4,FALSE)</f>
        <v>2.6175</v>
      </c>
      <c r="T74" s="441">
        <f>VLOOKUP(G74,'【国内】常规用户招募-数据源(正职+OP混合执行）'!A:E,5,FALSE)</f>
        <v>3.4</v>
      </c>
      <c r="U74" s="1">
        <f t="shared" si="33"/>
        <v>159.6</v>
      </c>
    </row>
    <row r="75" ht="36" customHeight="1" spans="1:21">
      <c r="A75" s="54"/>
      <c r="B75" s="292" t="s">
        <v>162</v>
      </c>
      <c r="C75" s="107" t="s">
        <v>176</v>
      </c>
      <c r="D75" s="447" t="s">
        <v>166</v>
      </c>
      <c r="E75" s="436" t="s">
        <v>3</v>
      </c>
      <c r="F75" s="437">
        <f>'①【国内】研究资源成本估算 (v1.0)'!$G$11</f>
        <v>1.5</v>
      </c>
      <c r="G75" s="437">
        <f>'①【国内】研究资源成本估算 (v1.0)'!$J$11</f>
        <v>30</v>
      </c>
      <c r="H75" s="432">
        <f t="shared" si="38"/>
        <v>0.312</v>
      </c>
      <c r="I75" s="432">
        <f t="shared" si="39"/>
        <v>1.392</v>
      </c>
      <c r="J75" s="432">
        <f t="shared" si="40"/>
        <v>2.29053333333334</v>
      </c>
      <c r="K75" s="432">
        <f t="shared" si="41"/>
        <v>2.9792</v>
      </c>
      <c r="L75" s="438">
        <f t="shared" si="35"/>
        <v>5.58173333333334</v>
      </c>
      <c r="M75" s="438">
        <f t="shared" si="42"/>
        <v>3600</v>
      </c>
      <c r="N75" s="438">
        <f t="shared" si="44"/>
        <v>1800</v>
      </c>
      <c r="O75" s="438">
        <f t="shared" si="37"/>
        <v>600</v>
      </c>
      <c r="P75" s="424">
        <f t="shared" si="43"/>
        <v>340.533333333333</v>
      </c>
      <c r="Q75" s="439">
        <f>VLOOKUP(G75,'【国内】常规用户招募-数据源(正职+OP混合执行）'!N:R,2,FALSE)</f>
        <v>0.39</v>
      </c>
      <c r="R75" s="440">
        <f>VLOOKUP(G75,'【国内】常规用户招募-数据源(正职+OP混合执行）'!N:R,3,FALSE)</f>
        <v>1.74</v>
      </c>
      <c r="S75" s="440">
        <f>VLOOKUP(G75,'【国内】常规用户招募-数据源(正职+OP混合执行）'!N:R,4,FALSE)</f>
        <v>2.86316666666667</v>
      </c>
      <c r="T75" s="441">
        <f>VLOOKUP(G75,'【国内】常规用户招募-数据源(正职+OP混合执行）'!N:R,5,FALSE)</f>
        <v>3.724</v>
      </c>
      <c r="U75" s="1">
        <f t="shared" si="33"/>
        <v>170.266666666667</v>
      </c>
    </row>
    <row r="76" ht="36" customHeight="1" spans="1:21">
      <c r="A76" s="54"/>
      <c r="B76" s="292" t="s">
        <v>162</v>
      </c>
      <c r="C76" s="107" t="s">
        <v>176</v>
      </c>
      <c r="D76" s="447" t="s">
        <v>166</v>
      </c>
      <c r="E76" s="442" t="s">
        <v>4</v>
      </c>
      <c r="F76" s="437">
        <f>'①【国内】研究资源成本估算 (v1.0)'!$G$11</f>
        <v>1.5</v>
      </c>
      <c r="G76" s="437">
        <f>'①【国内】研究资源成本估算 (v1.0)'!$J$11</f>
        <v>30</v>
      </c>
      <c r="H76" s="432">
        <f t="shared" si="38"/>
        <v>0.416</v>
      </c>
      <c r="I76" s="432">
        <f t="shared" si="39"/>
        <v>1.92</v>
      </c>
      <c r="J76" s="432">
        <f t="shared" si="40"/>
        <v>2.98666666666666</v>
      </c>
      <c r="K76" s="432">
        <f t="shared" si="41"/>
        <v>4.032</v>
      </c>
      <c r="L76" s="438">
        <f t="shared" si="35"/>
        <v>7.43466666666666</v>
      </c>
      <c r="M76" s="438">
        <f t="shared" si="42"/>
        <v>3600</v>
      </c>
      <c r="N76" s="438">
        <f t="shared" si="44"/>
        <v>1800</v>
      </c>
      <c r="O76" s="438">
        <f t="shared" si="37"/>
        <v>600</v>
      </c>
      <c r="P76" s="424">
        <f t="shared" si="43"/>
        <v>459.2</v>
      </c>
      <c r="Q76" s="439">
        <f>VLOOKUP(G76,'【国内】常规用户招募-数据源(正职+OP混合执行）'!Z:AD,2,FALSE)</f>
        <v>0.52</v>
      </c>
      <c r="R76" s="440">
        <f>VLOOKUP(G76,'【国内】常规用户招募-数据源(正职+OP混合执行）'!Z:AD,3,FALSE)</f>
        <v>2.4</v>
      </c>
      <c r="S76" s="440">
        <f>VLOOKUP(G76,'【国内】常规用户招募-数据源(正职+OP混合执行）'!Z:AD,4,FALSE)</f>
        <v>3.73333333333333</v>
      </c>
      <c r="T76" s="441">
        <f>VLOOKUP(G76,'【国内】常规用户招募-数据源(正职+OP混合执行）'!Z:AD,5,FALSE)</f>
        <v>5.04</v>
      </c>
      <c r="U76" s="1">
        <f t="shared" si="33"/>
        <v>229.6</v>
      </c>
    </row>
    <row r="77" ht="36" customHeight="1" spans="1:21">
      <c r="A77" s="54"/>
      <c r="B77" s="292" t="s">
        <v>162</v>
      </c>
      <c r="C77" s="107" t="s">
        <v>176</v>
      </c>
      <c r="D77" s="447" t="s">
        <v>166</v>
      </c>
      <c r="E77" s="443" t="s">
        <v>5</v>
      </c>
      <c r="F77" s="437">
        <f>'①【国内】研究资源成本估算 (v1.0)'!$G$11</f>
        <v>1.5</v>
      </c>
      <c r="G77" s="437">
        <f>'①【国内】研究资源成本估算 (v1.0)'!$J$11</f>
        <v>30</v>
      </c>
      <c r="H77" s="432">
        <f t="shared" si="38"/>
        <v>0.52</v>
      </c>
      <c r="I77" s="432">
        <f t="shared" si="39"/>
        <v>2.064</v>
      </c>
      <c r="J77" s="432">
        <f t="shared" si="40"/>
        <v>3.23506666666666</v>
      </c>
      <c r="K77" s="432">
        <f t="shared" si="41"/>
        <v>3.9744</v>
      </c>
      <c r="L77" s="438">
        <f t="shared" si="35"/>
        <v>7.72946666666666</v>
      </c>
      <c r="M77" s="438">
        <f t="shared" si="42"/>
        <v>3600</v>
      </c>
      <c r="N77" s="438">
        <f t="shared" si="44"/>
        <v>1800</v>
      </c>
      <c r="O77" s="438">
        <f t="shared" si="37"/>
        <v>600</v>
      </c>
      <c r="P77" s="424">
        <f t="shared" si="43"/>
        <v>505.333333333333</v>
      </c>
      <c r="Q77" s="439">
        <f>VLOOKUP(G77,'【国内】常规用户招募-数据源(正职+OP混合执行）'!AL:AP,2,FALSE)</f>
        <v>0.65</v>
      </c>
      <c r="R77" s="440">
        <f>VLOOKUP(G77,'【国内】常规用户招募-数据源(正职+OP混合执行）'!AL:AP,3,FALSE)</f>
        <v>2.58</v>
      </c>
      <c r="S77" s="440">
        <f>VLOOKUP(G77,'【国内】常规用户招募-数据源(正职+OP混合执行）'!AL:AP,4,FALSE)</f>
        <v>4.04383333333333</v>
      </c>
      <c r="T77" s="441">
        <f>VLOOKUP(G77,'【国内】常规用户招募-数据源(正职+OP混合执行）'!AL:AP,5,FALSE)</f>
        <v>4.968</v>
      </c>
      <c r="U77" s="1">
        <f t="shared" si="33"/>
        <v>252.666666666667</v>
      </c>
    </row>
    <row r="78" ht="36" customHeight="1" spans="1:21">
      <c r="A78" s="54"/>
      <c r="B78" s="292" t="s">
        <v>162</v>
      </c>
      <c r="C78" s="107" t="s">
        <v>176</v>
      </c>
      <c r="D78" s="447" t="s">
        <v>166</v>
      </c>
      <c r="E78" s="444" t="s">
        <v>123</v>
      </c>
      <c r="F78" s="437">
        <f>'①【国内】研究资源成本估算 (v1.0)'!$G$11</f>
        <v>1.5</v>
      </c>
      <c r="G78" s="437">
        <f>'①【国内】研究资源成本估算 (v1.0)'!$J$11</f>
        <v>30</v>
      </c>
      <c r="H78" s="432">
        <f t="shared" si="38"/>
        <v>0.52</v>
      </c>
      <c r="I78" s="432">
        <f t="shared" si="39"/>
        <v>2.4</v>
      </c>
      <c r="J78" s="432">
        <f t="shared" si="40"/>
        <v>3.85133333333334</v>
      </c>
      <c r="K78" s="432">
        <f t="shared" si="41"/>
        <v>4.048</v>
      </c>
      <c r="L78" s="438">
        <f t="shared" si="35"/>
        <v>8.41933333333334</v>
      </c>
      <c r="M78" s="438">
        <f t="shared" si="42"/>
        <v>3600</v>
      </c>
      <c r="N78" s="438">
        <f t="shared" si="44"/>
        <v>1800</v>
      </c>
      <c r="O78" s="438">
        <f t="shared" si="37"/>
        <v>600</v>
      </c>
      <c r="P78" s="424">
        <f t="shared" si="43"/>
        <v>568.8</v>
      </c>
      <c r="Q78" s="448">
        <f>VLOOKUP($G78,'【国内】常规用户招募-数据源(正职+OP混合执行）'!AX:BB,2,FALSE)</f>
        <v>0.65</v>
      </c>
      <c r="R78" s="449">
        <f>VLOOKUP(G78,'【国内】常规用户招募-数据源(正职+OP混合执行）'!AX:BB,3,FALSE)</f>
        <v>3</v>
      </c>
      <c r="S78" s="449">
        <f>VLOOKUP(G78,'【国内】常规用户招募-数据源(正职+OP混合执行）'!AX:BB,4,FALSE)</f>
        <v>4.81416666666667</v>
      </c>
      <c r="T78" s="450">
        <f>VLOOKUP($G78,'【国内】常规用户招募-数据源(正职+OP混合执行）'!AX:BB,5,FALSE)</f>
        <v>5.06</v>
      </c>
      <c r="U78" s="1">
        <f t="shared" si="33"/>
        <v>284.4</v>
      </c>
    </row>
    <row r="79" ht="36" customHeight="1" spans="1:21">
      <c r="A79" s="54" t="s">
        <v>267</v>
      </c>
      <c r="B79" s="292" t="s">
        <v>162</v>
      </c>
      <c r="C79" s="107" t="s">
        <v>268</v>
      </c>
      <c r="D79" s="447" t="s">
        <v>166</v>
      </c>
      <c r="E79" s="446" t="s">
        <v>1</v>
      </c>
      <c r="F79" s="108" t="s">
        <v>180</v>
      </c>
      <c r="G79" s="108">
        <f>'①【国内】研究资源成本估算 (v1.0)'!$J$12</f>
        <v>100</v>
      </c>
      <c r="H79" s="109">
        <f>VLOOKUP(G79,'【国内】保密性导量测试-数据源'!$B$4:$F$25,2,TRUE)</f>
        <v>0.77</v>
      </c>
      <c r="I79" s="109">
        <f>VLOOKUP(G79,'【国内】保密性导量测试-数据源'!$B$4:$F$25,3,TRUE)</f>
        <v>2</v>
      </c>
      <c r="J79" s="109">
        <f>VLOOKUP(G79,'【国内】保密性导量测试-数据源'!$B$4:$F$25,4,TRUE)</f>
        <v>3.75</v>
      </c>
      <c r="K79" s="109">
        <f>VLOOKUP(G79,'【国内】保密性导量测试-数据源'!$B$4:$F$25,5,TRUE)</f>
        <v>4</v>
      </c>
      <c r="L79" s="109">
        <f t="shared" si="35"/>
        <v>8.52</v>
      </c>
      <c r="M79" s="212">
        <f>G79*'【国内】保密性导量测试-数据源'!F2</f>
        <v>5000</v>
      </c>
      <c r="N79" s="451"/>
      <c r="O79" s="109" t="s">
        <v>181</v>
      </c>
      <c r="P79" s="424">
        <f t="shared" ref="P79:P90" si="45">(H79*5900+I79*3400+J79*1200+K79*300)/G79</f>
        <v>170.43</v>
      </c>
      <c r="Q79" s="452"/>
      <c r="R79" s="452"/>
      <c r="S79" s="452"/>
      <c r="T79" s="452"/>
      <c r="U79" s="1">
        <f t="shared" si="33"/>
        <v>85.215</v>
      </c>
    </row>
    <row r="80" ht="36" customHeight="1" spans="1:21">
      <c r="A80" s="54" t="s">
        <v>269</v>
      </c>
      <c r="B80" s="292" t="s">
        <v>162</v>
      </c>
      <c r="C80" s="107" t="s">
        <v>268</v>
      </c>
      <c r="D80" s="447" t="s">
        <v>166</v>
      </c>
      <c r="E80" s="436" t="s">
        <v>3</v>
      </c>
      <c r="F80" s="108" t="s">
        <v>270</v>
      </c>
      <c r="G80" s="108">
        <f>'①【国内】研究资源成本估算 (v1.0)'!$J$12</f>
        <v>100</v>
      </c>
      <c r="H80" s="109">
        <f>VLOOKUP($G$80,'【国内】保密性导量测试-数据源'!$H$3:$L$24,2,TRUE)</f>
        <v>0.9086</v>
      </c>
      <c r="I80" s="109">
        <f>VLOOKUP($G$80,'【国内】保密性导量测试-数据源'!$H$3:$L$24,3,TRUE)</f>
        <v>2.6</v>
      </c>
      <c r="J80" s="109">
        <f>VLOOKUP($G$80,'【国内】保密性导量测试-数据源'!$H$3:$L$24,4,TRUE)</f>
        <v>4.875</v>
      </c>
      <c r="K80" s="109">
        <f>VLOOKUP($G$80,'【国内】保密性导量测试-数据源'!$H$3:$L$24,5,TRUE)</f>
        <v>5.2</v>
      </c>
      <c r="L80" s="109">
        <f t="shared" si="35"/>
        <v>10.9836</v>
      </c>
      <c r="M80" s="212">
        <f>G80*'【国内】保密性导量测试-数据源'!L2</f>
        <v>128600</v>
      </c>
      <c r="N80" s="451"/>
      <c r="O80" s="109" t="s">
        <v>181</v>
      </c>
      <c r="P80" s="424">
        <f t="shared" si="45"/>
        <v>216.1074</v>
      </c>
      <c r="Q80" s="452"/>
      <c r="R80" s="452"/>
      <c r="S80" s="452"/>
      <c r="T80" s="452"/>
      <c r="U80" s="1">
        <f t="shared" si="33"/>
        <v>108.0537</v>
      </c>
    </row>
    <row r="81" ht="36" customHeight="1" spans="1:21">
      <c r="A81" s="54" t="s">
        <v>271</v>
      </c>
      <c r="B81" s="292" t="s">
        <v>162</v>
      </c>
      <c r="C81" s="107" t="s">
        <v>268</v>
      </c>
      <c r="D81" s="447" t="s">
        <v>166</v>
      </c>
      <c r="E81" s="442" t="s">
        <v>4</v>
      </c>
      <c r="F81" s="108" t="s">
        <v>272</v>
      </c>
      <c r="G81" s="108">
        <f>'①【国内】研究资源成本估算 (v1.0)'!$J$12</f>
        <v>100</v>
      </c>
      <c r="H81" s="109">
        <f>VLOOKUP($G$81,'【国内】保密性导量测试-数据源'!$N$3:$R$24,2,TRUE)</f>
        <v>1.09032</v>
      </c>
      <c r="I81" s="109">
        <f>VLOOKUP($G$81,'【国内】保密性导量测试-数据源'!$N$3:$R$24,3,TRUE)</f>
        <v>3</v>
      </c>
      <c r="J81" s="109">
        <f>VLOOKUP($G$81,'【国内】保密性导量测试-数据源'!$N$3:$R$24,4,TRUE)</f>
        <v>5.625</v>
      </c>
      <c r="K81" s="109">
        <f>VLOOKUP($G$81,'【国内】保密性导量测试-数据源'!$N$3:$R$24,5,TRUE)</f>
        <v>6</v>
      </c>
      <c r="L81" s="109">
        <f t="shared" si="35"/>
        <v>12.71532</v>
      </c>
      <c r="M81" s="212">
        <f>G81*'【国内】保密性导量测试-数据源'!R2</f>
        <v>40900</v>
      </c>
      <c r="N81" s="451"/>
      <c r="O81" s="109" t="s">
        <v>181</v>
      </c>
      <c r="P81" s="424">
        <f t="shared" si="45"/>
        <v>251.82888</v>
      </c>
      <c r="Q81" s="452"/>
      <c r="R81" s="452"/>
      <c r="S81" s="452"/>
      <c r="T81" s="452"/>
      <c r="U81" s="1">
        <f t="shared" si="33"/>
        <v>125.91444</v>
      </c>
    </row>
    <row r="82" ht="36" customHeight="1" spans="1:21">
      <c r="A82" s="54" t="s">
        <v>273</v>
      </c>
      <c r="B82" s="292" t="s">
        <v>162</v>
      </c>
      <c r="C82" s="107" t="s">
        <v>268</v>
      </c>
      <c r="D82" s="447" t="s">
        <v>166</v>
      </c>
      <c r="E82" s="443" t="s">
        <v>5</v>
      </c>
      <c r="F82" s="108" t="s">
        <v>274</v>
      </c>
      <c r="G82" s="108">
        <f>'①【国内】研究资源成本估算 (v1.0)'!$J$12</f>
        <v>100</v>
      </c>
      <c r="H82" s="109">
        <f>VLOOKUP($G$82,'【国内】保密性导量测试-数据源'!$T$3:$X$24,2,TRUE)</f>
        <v>1.29032</v>
      </c>
      <c r="I82" s="109">
        <f>VLOOKUP($G$82,'【国内】保密性导量测试-数据源'!$T$3:$X$24,3,TRUE)</f>
        <v>3.4</v>
      </c>
      <c r="J82" s="109">
        <f>VLOOKUP($G$82,'【国内】保密性导量测试-数据源'!$T$3:$X$24,4,TRUE)</f>
        <v>6.375</v>
      </c>
      <c r="K82" s="109">
        <f>VLOOKUP($G$82,'【国内】保密性导量测试-数据源'!$T$3:$X$24,5,TRUE)</f>
        <v>6.8</v>
      </c>
      <c r="L82" s="109">
        <f t="shared" si="35"/>
        <v>14.46532</v>
      </c>
      <c r="M82" s="212">
        <f>G82*'【国内】保密性导量测试-数据源'!X2</f>
        <v>29200</v>
      </c>
      <c r="N82" s="451"/>
      <c r="O82" s="109" t="s">
        <v>181</v>
      </c>
      <c r="P82" s="424">
        <f t="shared" si="45"/>
        <v>288.62888</v>
      </c>
      <c r="Q82" s="452"/>
      <c r="R82" s="452"/>
      <c r="S82" s="452"/>
      <c r="T82" s="452"/>
      <c r="U82" s="1">
        <f t="shared" si="33"/>
        <v>144.31444</v>
      </c>
    </row>
    <row r="83" ht="36" customHeight="1" spans="1:21">
      <c r="A83" s="54" t="s">
        <v>275</v>
      </c>
      <c r="B83" s="292" t="s">
        <v>276</v>
      </c>
      <c r="C83" s="107" t="s">
        <v>184</v>
      </c>
      <c r="D83" s="447" t="s">
        <v>166</v>
      </c>
      <c r="E83" s="235" t="s">
        <v>1</v>
      </c>
      <c r="F83" s="108">
        <f>'①【国内】研究资源成本估算 (v1.0)'!$G$13</f>
        <v>2</v>
      </c>
      <c r="G83" s="108">
        <f>'①【国内】研究资源成本估算 (v1.0)'!$J$13</f>
        <v>9</v>
      </c>
      <c r="H83" s="109">
        <f>VLOOKUP($G$83,'【国内】特殊&amp;小众用户招募-数据源'!$A$2:$E$14,2,FALSE)</f>
        <v>0</v>
      </c>
      <c r="I83" s="109">
        <f>VLOOKUP($G$83,'【国内】特殊&amp;小众用户招募-数据源'!$A$2:$E$14,3,FALSE)</f>
        <v>0.661764705882353</v>
      </c>
      <c r="J83" s="109">
        <f>VLOOKUP($G$83,'【国内】特殊&amp;小众用户招募-数据源'!$A$2:$E$14,4,FALSE)</f>
        <v>2.5</v>
      </c>
      <c r="K83" s="109">
        <f>VLOOKUP($G$83,'【国内】特殊&amp;小众用户招募-数据源'!$A$2:$E$14,4,FALSE)</f>
        <v>2.5</v>
      </c>
      <c r="L83" s="109">
        <f t="shared" si="35"/>
        <v>5</v>
      </c>
      <c r="M83" s="109">
        <f>(IF(F83&gt;2,'【国内】特殊&amp;小众用户招募-数据源'!E16+INT((F83-2)/0.5)*150,IF(AND(F83&gt;0,F83&lt;=2),'【国内】特殊&amp;小众用户招募-数据源'!E16,0)))*G83</f>
        <v>7200</v>
      </c>
      <c r="N83" s="109">
        <f>G83*200</f>
        <v>1800</v>
      </c>
      <c r="O83" s="109">
        <f t="shared" ref="O83:O90" si="46">G83*20</f>
        <v>180</v>
      </c>
      <c r="P83" s="424">
        <f t="shared" si="45"/>
        <v>666.666666666667</v>
      </c>
      <c r="U83" s="1">
        <f t="shared" si="33"/>
        <v>333.333333333333</v>
      </c>
    </row>
    <row r="84" ht="36" customHeight="1" spans="1:21">
      <c r="A84" s="54" t="s">
        <v>277</v>
      </c>
      <c r="B84" s="292" t="s">
        <v>276</v>
      </c>
      <c r="C84" s="107" t="s">
        <v>184</v>
      </c>
      <c r="D84" s="447" t="s">
        <v>166</v>
      </c>
      <c r="E84" s="453" t="s">
        <v>3</v>
      </c>
      <c r="F84" s="108">
        <f>'①【国内】研究资源成本估算 (v1.0)'!$G$13</f>
        <v>2</v>
      </c>
      <c r="G84" s="108">
        <f>'①【国内】研究资源成本估算 (v1.0)'!$J$13</f>
        <v>9</v>
      </c>
      <c r="H84" s="109">
        <f>VLOOKUP($G$84,'【国内】特殊&amp;小众用户招募-数据源'!$H$2:$L$14,2,FALSE)</f>
        <v>0.1</v>
      </c>
      <c r="I84" s="109">
        <f>VLOOKUP($G$84,'【国内】特殊&amp;小众用户招募-数据源'!$H$2:$L$14,3,FALSE)</f>
        <v>0.738823529411765</v>
      </c>
      <c r="J84" s="109">
        <f>VLOOKUP($G$84,'【国内】特殊&amp;小众用户招募-数据源'!$H$2:$L$14,4,FALSE)</f>
        <v>2.5</v>
      </c>
      <c r="K84" s="109">
        <f>VLOOKUP($G$84,'【国内】特殊&amp;小众用户招募-数据源'!$H$2:$L$14,5,FALSE)</f>
        <v>2.16</v>
      </c>
      <c r="L84" s="109">
        <f t="shared" si="35"/>
        <v>4.76</v>
      </c>
      <c r="M84" s="109">
        <f>(IF(F84&gt;2,'【国内】特殊&amp;小众用户招募-数据源'!L16+INT((F84-2)/0.5)*200,IF(AND(F84&gt;0,F84&lt;=2),'【国内】特殊&amp;小众用户招募-数据源'!L16,0)))*G84</f>
        <v>7200</v>
      </c>
      <c r="N84" s="109">
        <f>G84*200</f>
        <v>1800</v>
      </c>
      <c r="O84" s="109">
        <f t="shared" si="46"/>
        <v>180</v>
      </c>
      <c r="P84" s="424">
        <f t="shared" si="45"/>
        <v>750</v>
      </c>
      <c r="U84" s="1">
        <f t="shared" si="33"/>
        <v>375</v>
      </c>
    </row>
    <row r="85" ht="36" customHeight="1" spans="1:21">
      <c r="A85" s="54" t="s">
        <v>278</v>
      </c>
      <c r="B85" s="292" t="s">
        <v>276</v>
      </c>
      <c r="C85" s="107" t="s">
        <v>184</v>
      </c>
      <c r="D85" s="447" t="s">
        <v>166</v>
      </c>
      <c r="E85" s="454" t="s">
        <v>4</v>
      </c>
      <c r="F85" s="108">
        <f>'①【国内】研究资源成本估算 (v1.0)'!$G$13</f>
        <v>2</v>
      </c>
      <c r="G85" s="108">
        <f>'①【国内】研究资源成本估算 (v1.0)'!$J$13</f>
        <v>9</v>
      </c>
      <c r="H85" s="109">
        <f>VLOOKUP($G$85,'【国内】特殊&amp;小众用户招募-数据源'!$O$2:$S$14,2,FALSE)</f>
        <v>0.2</v>
      </c>
      <c r="I85" s="109">
        <f>VLOOKUP($G$85,'【国内】特殊&amp;小众用户招募-数据源'!$O$2:$S$14,3,FALSE)</f>
        <v>0.932352941176471</v>
      </c>
      <c r="J85" s="109">
        <f>VLOOKUP($G$85,'【国内】特殊&amp;小众用户招募-数据源'!$O$2:$S$14,4,FALSE)</f>
        <v>2.6</v>
      </c>
      <c r="K85" s="109">
        <f>VLOOKUP($G$85,'【国内】特殊&amp;小众用户招募-数据源'!$O$2:$S$14,5,FALSE)</f>
        <v>3.6</v>
      </c>
      <c r="L85" s="109">
        <f t="shared" si="35"/>
        <v>6.4</v>
      </c>
      <c r="M85" s="109">
        <f>(IF(F85&gt;2,'【国内】特殊&amp;小众用户招募-数据源'!S16+INT((F85-2)/0.5)*250,IF(AND(F85&gt;0,F85&lt;=2),'【国内】特殊&amp;小众用户招募-数据源'!S16,0)))*G85</f>
        <v>9000</v>
      </c>
      <c r="N85" s="109">
        <f>G85*200</f>
        <v>1800</v>
      </c>
      <c r="O85" s="109">
        <f t="shared" si="46"/>
        <v>180</v>
      </c>
      <c r="P85" s="424">
        <f t="shared" si="45"/>
        <v>950</v>
      </c>
      <c r="U85" s="1">
        <f t="shared" si="33"/>
        <v>475</v>
      </c>
    </row>
    <row r="86" ht="36" customHeight="1" spans="1:21">
      <c r="A86" s="54" t="s">
        <v>279</v>
      </c>
      <c r="B86" s="292" t="s">
        <v>276</v>
      </c>
      <c r="C86" s="107" t="s">
        <v>184</v>
      </c>
      <c r="D86" s="447" t="s">
        <v>166</v>
      </c>
      <c r="E86" s="455" t="s">
        <v>5</v>
      </c>
      <c r="F86" s="108">
        <f>'①【国内】研究资源成本估算 (v1.0)'!$G$13</f>
        <v>2</v>
      </c>
      <c r="G86" s="108">
        <f>'①【国内】研究资源成本估算 (v1.0)'!$J$13</f>
        <v>9</v>
      </c>
      <c r="H86" s="109">
        <f>VLOOKUP($G$86,'【国内】特殊&amp;小众用户招募-数据源'!$V$2:$Z$14,2,FALSE)</f>
        <v>0.2</v>
      </c>
      <c r="I86" s="109">
        <f>VLOOKUP($G$86,'【国内】特殊&amp;小众用户招募-数据源'!$V$2:$Z$14,3,FALSE)</f>
        <v>0.991294117647059</v>
      </c>
      <c r="J86" s="109">
        <f>VLOOKUP($G$86,'【国内】特殊&amp;小众用户招募-数据源'!$V$2:$Z$14,4,FALSE)</f>
        <v>2.808</v>
      </c>
      <c r="K86" s="109">
        <f>VLOOKUP($G$86,'【国内】特殊&amp;小众用户招募-数据源'!$V$2:$Z$14,5,FALSE)</f>
        <v>3.6</v>
      </c>
      <c r="L86" s="109">
        <f t="shared" si="35"/>
        <v>6.608</v>
      </c>
      <c r="M86" s="109">
        <f>(IF(F86&gt;2,'【国内】特殊&amp;小众用户招募-数据源'!Z16+INT((F86-2)/0.5)*300,IF(AND(F86&gt;0,F86&lt;=2),'【国内】特殊&amp;小众用户招募-数据源'!Z16,0)))*G86</f>
        <v>10800</v>
      </c>
      <c r="N86" s="109">
        <f>G86*200</f>
        <v>1800</v>
      </c>
      <c r="O86" s="109">
        <f t="shared" si="46"/>
        <v>180</v>
      </c>
      <c r="P86" s="424">
        <f t="shared" si="45"/>
        <v>1000</v>
      </c>
      <c r="U86" s="1">
        <f t="shared" si="33"/>
        <v>500</v>
      </c>
    </row>
    <row r="87" ht="36" customHeight="1" spans="1:21">
      <c r="A87" s="54" t="s">
        <v>280</v>
      </c>
      <c r="B87" s="292" t="s">
        <v>276</v>
      </c>
      <c r="C87" s="107" t="s">
        <v>176</v>
      </c>
      <c r="D87" s="456" t="s">
        <v>166</v>
      </c>
      <c r="E87" s="235" t="s">
        <v>1</v>
      </c>
      <c r="F87" s="108">
        <f>'①【国内】研究资源成本估算 (v1.0)'!$G$14</f>
        <v>2</v>
      </c>
      <c r="G87" s="108">
        <f>'①【国内】研究资源成本估算 (v1.0)'!$J$14</f>
        <v>7</v>
      </c>
      <c r="H87" s="109">
        <f>VLOOKUP($G$87,'【国内】特殊&amp;小众用户招募-数据源'!$A$2:$E$14,2,FALSE)</f>
        <v>0</v>
      </c>
      <c r="I87" s="109">
        <f>VLOOKUP($G$87,'【国内】特殊&amp;小众用户招募-数据源'!$A$2:$E$14,3,FALSE)</f>
        <v>0.535294117647059</v>
      </c>
      <c r="J87" s="109">
        <f>VLOOKUP($G$87,'【国内】特殊&amp;小众用户招募-数据源'!$A$2:$E$14,4,FALSE)</f>
        <v>2</v>
      </c>
      <c r="K87" s="109">
        <f>VLOOKUP($G$87,'【国内】特殊&amp;小众用户招募-数据源'!$A$2:$E$14,5,FALSE)</f>
        <v>1.1</v>
      </c>
      <c r="L87" s="109">
        <f>J87+I87+H87</f>
        <v>2.53529411764706</v>
      </c>
      <c r="M87" s="109">
        <f>(IF(F87&gt;2,'【国内】特殊&amp;小众用户招募-数据源'!E19+INT((F87-2)/0.5)*100,IF(AND(F87&gt;0,F87&lt;=2),'【国内】特殊&amp;小众用户招募-数据源'!E19,0)))*G87</f>
        <v>2100</v>
      </c>
      <c r="N87" s="109">
        <f>G87*150</f>
        <v>1050</v>
      </c>
      <c r="O87" s="109">
        <f t="shared" si="46"/>
        <v>140</v>
      </c>
      <c r="P87" s="424">
        <f t="shared" si="45"/>
        <v>650</v>
      </c>
      <c r="Q87" s="1">
        <f>VLOOKUP(G87,'【国内】特殊&amp;小众用户招募-数据源'!A2:E14,2,FALSE)</f>
        <v>0</v>
      </c>
      <c r="R87" s="1">
        <f>VLOOKUP(G87,'【国内】特殊&amp;小众用户招募-数据源'!A2:E14,3,FALSE)</f>
        <v>0.535294117647059</v>
      </c>
      <c r="U87" s="1">
        <f t="shared" si="33"/>
        <v>325</v>
      </c>
    </row>
    <row r="88" ht="36" customHeight="1" spans="1:21">
      <c r="A88" s="54" t="s">
        <v>281</v>
      </c>
      <c r="B88" s="292" t="s">
        <v>276</v>
      </c>
      <c r="C88" s="107" t="s">
        <v>176</v>
      </c>
      <c r="D88" s="456" t="s">
        <v>166</v>
      </c>
      <c r="E88" s="453" t="s">
        <v>3</v>
      </c>
      <c r="F88" s="108">
        <f>'①【国内】研究资源成本估算 (v1.0)'!$G$14</f>
        <v>2</v>
      </c>
      <c r="G88" s="108">
        <f>'①【国内】研究资源成本估算 (v1.0)'!$J$14</f>
        <v>7</v>
      </c>
      <c r="H88" s="109">
        <f>VLOOKUP($G$88,'【国内】特殊&amp;小众用户招募-数据源'!$H$2:$L$14,2,FALSE)</f>
        <v>0.1</v>
      </c>
      <c r="I88" s="109">
        <f>VLOOKUP($G$88,'【国内】特殊&amp;小众用户招募-数据源'!$H$2:$L$14,3,FALSE)</f>
        <v>0.505882352941176</v>
      </c>
      <c r="J88" s="109">
        <f>VLOOKUP($G$88,'【国内】特殊&amp;小众用户招募-数据源'!$H$2:$L$14,4,FALSE)</f>
        <v>2</v>
      </c>
      <c r="K88" s="109">
        <f>VLOOKUP($G$88,'【国内】特殊&amp;小众用户招募-数据源'!$H$2:$L$14,5,FALSE)</f>
        <v>1.8</v>
      </c>
      <c r="L88" s="109">
        <f>J88+I88+H88</f>
        <v>2.60588235294118</v>
      </c>
      <c r="M88" s="109">
        <f>(IF(F88&gt;2,'【国内】特殊&amp;小众用户招募-数据源'!L19+INT((F88-2)/0.5)*150,IF(AND(F88&gt;0,F88&lt;=2),'【国内】特殊&amp;小众用户招募-数据源'!L19,0)))*G88</f>
        <v>2800</v>
      </c>
      <c r="N88" s="109">
        <f>G88*150</f>
        <v>1050</v>
      </c>
      <c r="O88" s="109">
        <f t="shared" si="46"/>
        <v>140</v>
      </c>
      <c r="P88" s="424">
        <f t="shared" si="45"/>
        <v>750</v>
      </c>
      <c r="U88" s="1">
        <f t="shared" si="33"/>
        <v>375</v>
      </c>
    </row>
    <row r="89" ht="36" customHeight="1" spans="1:21">
      <c r="A89" s="54" t="s">
        <v>282</v>
      </c>
      <c r="B89" s="292" t="s">
        <v>276</v>
      </c>
      <c r="C89" s="107" t="s">
        <v>176</v>
      </c>
      <c r="D89" s="456" t="s">
        <v>166</v>
      </c>
      <c r="E89" s="454" t="s">
        <v>4</v>
      </c>
      <c r="F89" s="108">
        <f>'①【国内】研究资源成本估算 (v1.0)'!$G$14</f>
        <v>2</v>
      </c>
      <c r="G89" s="108">
        <f>'①【国内】研究资源成本估算 (v1.0)'!$J$14</f>
        <v>7</v>
      </c>
      <c r="H89" s="109">
        <f>VLOOKUP($G$89,'【国内】特殊&amp;小众用户招募-数据源'!$O$2:$S$14,2,FALSE)</f>
        <v>0.2</v>
      </c>
      <c r="I89" s="109">
        <f>VLOOKUP($G$89,'【国内】特殊&amp;小众用户招募-数据源'!$O$2:$S$14,3,FALSE)</f>
        <v>0.567647058823529</v>
      </c>
      <c r="J89" s="109">
        <f>VLOOKUP($G$89,'【国内】特殊&amp;小众用户招募-数据源'!$O$2:$S$14,4,FALSE)</f>
        <v>2.2</v>
      </c>
      <c r="K89" s="109">
        <f>VLOOKUP($G$89,'【国内】特殊&amp;小众用户招募-数据源'!$O$2:$S$14,5,FALSE)</f>
        <v>3</v>
      </c>
      <c r="L89" s="109">
        <f>J89+I89+H89</f>
        <v>2.96764705882353</v>
      </c>
      <c r="M89" s="109">
        <f>(IF(F89&gt;2,'【国内】特殊&amp;小众用户招募-数据源'!S19+INT((F89-2)/0.5)*200,IF(AND(F89&gt;0,F89&lt;=2),'【国内】特殊&amp;小众用户招募-数据源'!S19,0)))*G89</f>
        <v>3500</v>
      </c>
      <c r="N89" s="109">
        <f>G89*200</f>
        <v>1400</v>
      </c>
      <c r="O89" s="109">
        <f t="shared" si="46"/>
        <v>140</v>
      </c>
      <c r="P89" s="424">
        <f t="shared" si="45"/>
        <v>950</v>
      </c>
      <c r="U89" s="1">
        <f t="shared" si="33"/>
        <v>475</v>
      </c>
    </row>
    <row r="90" ht="36" customHeight="1" spans="1:21">
      <c r="A90" s="54" t="s">
        <v>283</v>
      </c>
      <c r="B90" s="292" t="s">
        <v>276</v>
      </c>
      <c r="C90" s="107" t="s">
        <v>176</v>
      </c>
      <c r="D90" s="456" t="s">
        <v>166</v>
      </c>
      <c r="E90" s="455" t="s">
        <v>5</v>
      </c>
      <c r="F90" s="108">
        <f>'①【国内】研究资源成本估算 (v1.0)'!$G$14</f>
        <v>2</v>
      </c>
      <c r="G90" s="108">
        <f>'①【国内】研究资源成本估算 (v1.0)'!$J$14</f>
        <v>7</v>
      </c>
      <c r="H90" s="109">
        <f>VLOOKUP($G$90,'【国内】特殊&amp;小众用户招募-数据源'!$V$2:$Z$14,2,FALSE)</f>
        <v>0.2</v>
      </c>
      <c r="I90" s="109">
        <f>VLOOKUP($G$90,'【国内】特殊&amp;小众用户招募-数据源'!$V$2:$Z$14,3,FALSE)</f>
        <v>0.608470588235294</v>
      </c>
      <c r="J90" s="109">
        <f>VLOOKUP($G$90,'【国内】特殊&amp;小众用户招募-数据源'!$V$2:$Z$14,4,FALSE)</f>
        <v>2.376</v>
      </c>
      <c r="K90" s="109">
        <f>VLOOKUP($G$90,'【国内】特殊&amp;小众用户招募-数据源'!$V$2:$Z$14,5,FALSE)</f>
        <v>3</v>
      </c>
      <c r="L90" s="109">
        <f>J90+I90+H90</f>
        <v>3.18447058823529</v>
      </c>
      <c r="M90" s="109">
        <f>(IF(F90&gt;2,'【国内】特殊&amp;小众用户招募-数据源'!Z19+INT((F90-2)/0.5)*250,IF(AND(F90&gt;0,F90&lt;=2),'【国内】特殊&amp;小众用户招募-数据源'!Z19,0)))*G90</f>
        <v>4200</v>
      </c>
      <c r="N90" s="109">
        <f>G90*200</f>
        <v>1400</v>
      </c>
      <c r="O90" s="109">
        <f t="shared" si="46"/>
        <v>140</v>
      </c>
      <c r="P90" s="424">
        <f t="shared" si="45"/>
        <v>1000</v>
      </c>
      <c r="U90" s="1">
        <f t="shared" si="33"/>
        <v>500</v>
      </c>
    </row>
    <row r="91" ht="36" customHeight="1" spans="1:21">
      <c r="A91" s="54" t="s">
        <v>284</v>
      </c>
      <c r="B91" s="292" t="s">
        <v>285</v>
      </c>
      <c r="C91" s="107" t="s">
        <v>184</v>
      </c>
      <c r="D91" s="456" t="s">
        <v>30</v>
      </c>
      <c r="E91" s="235" t="s">
        <v>1</v>
      </c>
      <c r="F91" s="108">
        <f>'①【国内】研究资源成本估算 (v1.0)'!$G$15</f>
        <v>2</v>
      </c>
      <c r="G91" s="108">
        <f>'①【国内】研究资源成本估算 (v1.0)'!$J$15</f>
        <v>10</v>
      </c>
      <c r="H91" s="109">
        <f>VLOOKUP($G$91,'【国内】特殊&amp;小众用户招募-数据源'!$A$24:$E$35,2,FALSE)</f>
        <v>0.15</v>
      </c>
      <c r="I91" s="109">
        <f>VLOOKUP($G$91,'【国内】特殊&amp;小众用户招募-数据源'!$A$24:$E$35,3,FALSE)</f>
        <v>2.96029411764706</v>
      </c>
      <c r="J91" s="99">
        <f>VLOOKUP($G$91,'【国内】特殊&amp;小众用户招募-数据源'!$A$24:$E$35,4,FALSE)</f>
        <v>0</v>
      </c>
      <c r="K91" s="109">
        <f>VLOOKUP($G$91,'【国内】特殊&amp;小众用户招募-数据源'!$A$24:$E$35,5,FALSE)</f>
        <v>3.5</v>
      </c>
      <c r="L91" s="109">
        <f t="shared" ref="L91:L98" si="47">K91+I91+H91</f>
        <v>6.61029411764706</v>
      </c>
      <c r="M91" s="109">
        <f>(IF(F91&gt;2,'【国内】特殊&amp;小众用户招募-数据源'!E37+INT((F91-2)/0.5)*100,IF(AND(F91&gt;0,F91&lt;=2),'【国内】特殊&amp;小众用户招募-数据源'!E37,0)))*G91</f>
        <v>4500</v>
      </c>
      <c r="N91" s="109">
        <f>G91*300</f>
        <v>3000</v>
      </c>
      <c r="O91" s="109">
        <f t="shared" ref="O91:O98" si="48">G91*40</f>
        <v>400</v>
      </c>
      <c r="P91" s="424">
        <f t="shared" ref="P91:P98" si="49">(H91*5900+I91*3400+J91*1200+K91*300)/G91</f>
        <v>1200</v>
      </c>
      <c r="U91" s="1">
        <f t="shared" si="33"/>
        <v>600</v>
      </c>
    </row>
    <row r="92" ht="36" customHeight="1" spans="1:21">
      <c r="A92" s="54" t="s">
        <v>286</v>
      </c>
      <c r="B92" s="292" t="s">
        <v>285</v>
      </c>
      <c r="C92" s="107" t="s">
        <v>184</v>
      </c>
      <c r="D92" s="456" t="s">
        <v>30</v>
      </c>
      <c r="E92" s="453" t="s">
        <v>3</v>
      </c>
      <c r="F92" s="108">
        <f>'①【国内】研究资源成本估算 (v1.0)'!$G$15</f>
        <v>2</v>
      </c>
      <c r="G92" s="108">
        <f>'①【国内】研究资源成本估算 (v1.0)'!$J$15</f>
        <v>10</v>
      </c>
      <c r="H92" s="109">
        <f>VLOOKUP($G$92,'【国内】特殊&amp;小众用户招募-数据源'!$H$24:$L$35,2,FALSE)</f>
        <v>0.1725</v>
      </c>
      <c r="I92" s="109">
        <f>VLOOKUP($G$92,'【国内】特殊&amp;小众用户招募-数据源'!$H$24:$L$35,3,FALSE)</f>
        <v>3.46536764705882</v>
      </c>
      <c r="J92" s="99">
        <f>VLOOKUP($G$92,'【国内】特殊&amp;小众用户招募-数据源'!$H$24:$L$35,4,FALSE)</f>
        <v>0</v>
      </c>
      <c r="K92" s="109">
        <f>VLOOKUP($G$92,'【国内】特殊&amp;小众用户招募-数据源'!$H$24:$L$35,5,FALSE)</f>
        <v>4</v>
      </c>
      <c r="L92" s="109">
        <f t="shared" si="47"/>
        <v>7.63786764705882</v>
      </c>
      <c r="M92" s="109">
        <f>(IF(F92&gt;2,'【国内】特殊&amp;小众用户招募-数据源'!L37+INT((F92-2)/0.5)*100,IF(AND(F92&gt;0,F92&lt;=2),'【国内】特殊&amp;小众用户招募-数据源'!L37,0)))*G92</f>
        <v>4500</v>
      </c>
      <c r="N92" s="109">
        <f>G92*300</f>
        <v>3000</v>
      </c>
      <c r="O92" s="109">
        <f t="shared" si="48"/>
        <v>400</v>
      </c>
      <c r="P92" s="424">
        <f t="shared" si="49"/>
        <v>1400</v>
      </c>
      <c r="U92" s="1">
        <f t="shared" si="33"/>
        <v>700</v>
      </c>
    </row>
    <row r="93" ht="36" customHeight="1" spans="1:21">
      <c r="A93" s="54" t="s">
        <v>287</v>
      </c>
      <c r="B93" s="292" t="s">
        <v>285</v>
      </c>
      <c r="C93" s="107" t="s">
        <v>184</v>
      </c>
      <c r="D93" s="456" t="s">
        <v>30</v>
      </c>
      <c r="E93" s="454" t="s">
        <v>4</v>
      </c>
      <c r="F93" s="108">
        <f>'①【国内】研究资源成本估算 (v1.0)'!$G$15</f>
        <v>2</v>
      </c>
      <c r="G93" s="108">
        <f>'①【国内】研究资源成本估算 (v1.0)'!$J$15</f>
        <v>10</v>
      </c>
      <c r="H93" s="109">
        <f>VLOOKUP($G$93,'【国内】特殊&amp;小众用户招募-数据源'!$O$25:$S$35,2,FALSE)</f>
        <v>0.25875</v>
      </c>
      <c r="I93" s="109">
        <f>VLOOKUP($G$93,'【国内】特殊&amp;小众用户招募-数据源'!$O$25:$S$35,3,FALSE)</f>
        <v>3.60981617647059</v>
      </c>
      <c r="J93" s="99">
        <f>VLOOKUP($G$93,'【国内】特殊&amp;小众用户招募-数据源'!$O$25:$S$35,4,FALSE)</f>
        <v>0</v>
      </c>
      <c r="K93" s="109">
        <f>VLOOKUP($G$93,'【国内】特殊&amp;小众用户招募-数据源'!$O$25:$S$35,5,FALSE)</f>
        <v>4</v>
      </c>
      <c r="L93" s="109">
        <f t="shared" si="47"/>
        <v>7.86856617647059</v>
      </c>
      <c r="M93" s="109">
        <f>(IF(F93&gt;2,'【国内】特殊&amp;小众用户招募-数据源'!S37+INT((F93-2)/0.5)*150,IF(AND(F93&gt;0,F93&lt;=2),'【国内】特殊&amp;小众用户招募-数据源'!S37,0)))*G93</f>
        <v>5000</v>
      </c>
      <c r="N93" s="109">
        <f>G93*400</f>
        <v>4000</v>
      </c>
      <c r="O93" s="109">
        <f t="shared" si="48"/>
        <v>400</v>
      </c>
      <c r="P93" s="424">
        <f t="shared" si="49"/>
        <v>1500</v>
      </c>
      <c r="U93" s="1">
        <f t="shared" si="33"/>
        <v>750</v>
      </c>
    </row>
    <row r="94" ht="36" customHeight="1" spans="1:21">
      <c r="A94" s="54" t="s">
        <v>288</v>
      </c>
      <c r="B94" s="292" t="s">
        <v>285</v>
      </c>
      <c r="C94" s="107" t="s">
        <v>184</v>
      </c>
      <c r="D94" s="456" t="s">
        <v>30</v>
      </c>
      <c r="E94" s="455" t="s">
        <v>5</v>
      </c>
      <c r="F94" s="108">
        <f>'①【国内】研究资源成本估算 (v1.0)'!$G$15</f>
        <v>2</v>
      </c>
      <c r="G94" s="108">
        <f>'①【国内】研究资源成本估算 (v1.0)'!$J$15</f>
        <v>10</v>
      </c>
      <c r="H94" s="109">
        <f>VLOOKUP($G$94,'【国内】特殊&amp;小众用户招募-数据源'!$V$24:$Z$35,2,FALSE)</f>
        <v>0.5</v>
      </c>
      <c r="I94" s="109">
        <f>VLOOKUP($G$94,'【国内】特殊&amp;小众用户招募-数据源'!$V$24:$Z$35,3,FALSE)</f>
        <v>4.02941176470588</v>
      </c>
      <c r="J94" s="99">
        <f>VLOOKUP($G$94,'【国内】特殊&amp;小众用户招募-数据源'!$V$24:$Z$35,4,FALSE)</f>
        <v>0</v>
      </c>
      <c r="K94" s="109">
        <f>VLOOKUP($G$94,'【国内】特殊&amp;小众用户招募-数据源'!$V$24:$Z$35,5,FALSE)</f>
        <v>4.5</v>
      </c>
      <c r="L94" s="109">
        <f t="shared" si="47"/>
        <v>9.02941176470588</v>
      </c>
      <c r="M94" s="109">
        <f>(IF(F94&gt;2,'【国内】特殊&amp;小众用户招募-数据源'!Z37+INT((F94-2)/0.5)*150,IF(AND(F94&gt;0,F94&lt;=2),'【国内】特殊&amp;小众用户招募-数据源'!Z37,0)))*G94</f>
        <v>5000</v>
      </c>
      <c r="N94" s="109">
        <f>G94*400</f>
        <v>4000</v>
      </c>
      <c r="O94" s="109">
        <f t="shared" si="48"/>
        <v>400</v>
      </c>
      <c r="P94" s="424">
        <f t="shared" si="49"/>
        <v>1800</v>
      </c>
      <c r="U94" s="1">
        <f t="shared" si="33"/>
        <v>900</v>
      </c>
    </row>
    <row r="95" ht="36" customHeight="1" spans="1:21">
      <c r="A95" s="54" t="s">
        <v>289</v>
      </c>
      <c r="B95" s="292" t="s">
        <v>285</v>
      </c>
      <c r="C95" s="107" t="s">
        <v>176</v>
      </c>
      <c r="D95" s="456" t="s">
        <v>30</v>
      </c>
      <c r="E95" s="235" t="s">
        <v>1</v>
      </c>
      <c r="F95" s="108">
        <f>'①【国内】研究资源成本估算 (v1.0)'!$G$16</f>
        <v>6</v>
      </c>
      <c r="G95" s="108">
        <f>'①【国内】研究资源成本估算 (v1.0)'!$J$16</f>
        <v>10</v>
      </c>
      <c r="H95" s="109">
        <f>VLOOKUP($G$95,'【国内】特殊&amp;小众用户招募-数据源'!$A$24:$E$35,2,FALSE)</f>
        <v>0.15</v>
      </c>
      <c r="I95" s="109">
        <f>VLOOKUP($G$95,'【国内】特殊&amp;小众用户招募-数据源'!$A$24:$E$35,3,FALSE)</f>
        <v>2.96029411764706</v>
      </c>
      <c r="J95" s="99">
        <f>VLOOKUP($G$91,'【国内】特殊&amp;小众用户招募-数据源'!$A$24:$E$35,4,FALSE)</f>
        <v>0</v>
      </c>
      <c r="K95" s="109">
        <f>VLOOKUP($G$95,'【国内】特殊&amp;小众用户招募-数据源'!$A$24:$E$35,5,FALSE)</f>
        <v>3.5</v>
      </c>
      <c r="L95" s="109">
        <f t="shared" si="47"/>
        <v>6.61029411764706</v>
      </c>
      <c r="M95" s="109">
        <f>(IF(F95&gt;2,'【国内】特殊&amp;小众用户招募-数据源'!E40+INT((F95-2)/0.5)*70,IF(AND(F95&gt;0,F95&lt;=2),'【国内】特殊&amp;小众用户招募-数据源'!E40,0)))*G95</f>
        <v>9100</v>
      </c>
      <c r="N95" s="109">
        <f>G95*300</f>
        <v>3000</v>
      </c>
      <c r="O95" s="109">
        <f t="shared" si="48"/>
        <v>400</v>
      </c>
      <c r="P95" s="424">
        <f t="shared" si="49"/>
        <v>1200</v>
      </c>
      <c r="U95" s="1">
        <f t="shared" si="33"/>
        <v>600</v>
      </c>
    </row>
    <row r="96" ht="36" customHeight="1" spans="1:21">
      <c r="A96" s="54" t="s">
        <v>290</v>
      </c>
      <c r="B96" s="292" t="s">
        <v>285</v>
      </c>
      <c r="C96" s="107" t="s">
        <v>176</v>
      </c>
      <c r="D96" s="456" t="s">
        <v>30</v>
      </c>
      <c r="E96" s="453" t="s">
        <v>3</v>
      </c>
      <c r="F96" s="108">
        <f>'①【国内】研究资源成本估算 (v1.0)'!$G$16</f>
        <v>6</v>
      </c>
      <c r="G96" s="108">
        <f>'①【国内】研究资源成本估算 (v1.0)'!$J$16</f>
        <v>10</v>
      </c>
      <c r="H96" s="109">
        <f>VLOOKUP($G$96,'【国内】特殊&amp;小众用户招募-数据源'!$H$24:$L$35,2,FALSE)</f>
        <v>0.1725</v>
      </c>
      <c r="I96" s="109">
        <f>VLOOKUP($G$96,'【国内】特殊&amp;小众用户招募-数据源'!$H$24:$L$35,3,FALSE)</f>
        <v>3.46536764705882</v>
      </c>
      <c r="J96" s="99">
        <f>VLOOKUP($G$91,'【国内】特殊&amp;小众用户招募-数据源'!$A$24:$E$35,4,FALSE)</f>
        <v>0</v>
      </c>
      <c r="K96" s="109">
        <f>VLOOKUP($G$96,'【国内】特殊&amp;小众用户招募-数据源'!$H$24:$L$35,5,FALSE)</f>
        <v>4</v>
      </c>
      <c r="L96" s="109">
        <f t="shared" si="47"/>
        <v>7.63786764705882</v>
      </c>
      <c r="M96" s="109">
        <f>(IF(F96&gt;2,'【国内】特殊&amp;小众用户招募-数据源'!L40+INT((F96-2)/0.5)*70,IF(AND(F96&gt;0,F96&lt;=2),'【国内】特殊&amp;小众用户招募-数据源'!L40,0)))*G96</f>
        <v>9100</v>
      </c>
      <c r="N96" s="109">
        <f>G96*300</f>
        <v>3000</v>
      </c>
      <c r="O96" s="109">
        <f t="shared" si="48"/>
        <v>400</v>
      </c>
      <c r="P96" s="424">
        <f t="shared" si="49"/>
        <v>1400</v>
      </c>
      <c r="U96" s="1">
        <f t="shared" si="33"/>
        <v>699.999999999999</v>
      </c>
    </row>
    <row r="97" ht="36" customHeight="1" spans="1:21">
      <c r="A97" s="54" t="s">
        <v>291</v>
      </c>
      <c r="B97" s="292" t="s">
        <v>285</v>
      </c>
      <c r="C97" s="107" t="s">
        <v>176</v>
      </c>
      <c r="D97" s="456" t="s">
        <v>30</v>
      </c>
      <c r="E97" s="454" t="s">
        <v>4</v>
      </c>
      <c r="F97" s="108">
        <f>'①【国内】研究资源成本估算 (v1.0)'!$G$16</f>
        <v>6</v>
      </c>
      <c r="G97" s="108">
        <f>'①【国内】研究资源成本估算 (v1.0)'!$J$16</f>
        <v>10</v>
      </c>
      <c r="H97" s="109">
        <f>VLOOKUP($G$97,'【国内】特殊&amp;小众用户招募-数据源'!$O$25:$S$35,2,FALSE)</f>
        <v>0.25875</v>
      </c>
      <c r="I97" s="109">
        <f>VLOOKUP($G$97,'【国内】特殊&amp;小众用户招募-数据源'!$O$25:$S$35,3,FALSE)</f>
        <v>3.60981617647059</v>
      </c>
      <c r="J97" s="99">
        <f>VLOOKUP($G$91,'【国内】特殊&amp;小众用户招募-数据源'!$A$24:$E$35,4,FALSE)</f>
        <v>0</v>
      </c>
      <c r="K97" s="109">
        <f>VLOOKUP($G$97,'【国内】特殊&amp;小众用户招募-数据源'!$O$25:$S$35,5,FALSE)</f>
        <v>4</v>
      </c>
      <c r="L97" s="109">
        <f t="shared" si="47"/>
        <v>7.86856617647059</v>
      </c>
      <c r="M97" s="109">
        <f>(IF(F97&gt;2,'【国内】特殊&amp;小众用户招募-数据源'!S40+INT((F97-2)/0.5)*100,IF(AND(F97&gt;0,F97&lt;=2),'【国内】特殊&amp;小众用户招募-数据源'!S40,0)))*G97</f>
        <v>11500</v>
      </c>
      <c r="N97" s="109">
        <f>G97*400</f>
        <v>4000</v>
      </c>
      <c r="O97" s="109">
        <f t="shared" si="48"/>
        <v>400</v>
      </c>
      <c r="P97" s="424">
        <f t="shared" si="49"/>
        <v>1500</v>
      </c>
      <c r="U97" s="1">
        <f t="shared" si="33"/>
        <v>750</v>
      </c>
    </row>
    <row r="98" ht="36" customHeight="1" spans="1:21">
      <c r="A98" s="54" t="s">
        <v>292</v>
      </c>
      <c r="B98" s="292" t="s">
        <v>285</v>
      </c>
      <c r="C98" s="107" t="s">
        <v>176</v>
      </c>
      <c r="D98" s="456" t="s">
        <v>30</v>
      </c>
      <c r="E98" s="455" t="s">
        <v>5</v>
      </c>
      <c r="F98" s="108">
        <f>'①【国内】研究资源成本估算 (v1.0)'!$G$16</f>
        <v>6</v>
      </c>
      <c r="G98" s="108">
        <f>'①【国内】研究资源成本估算 (v1.0)'!$J$16</f>
        <v>10</v>
      </c>
      <c r="H98" s="109">
        <f>VLOOKUP($G$98,'【国内】特殊&amp;小众用户招募-数据源'!$V$24:$Z$35,2,FALSE)</f>
        <v>0.5</v>
      </c>
      <c r="I98" s="109">
        <f>VLOOKUP($G$98,'【国内】特殊&amp;小众用户招募-数据源'!$V$24:$Z$35,3,FALSE)</f>
        <v>4.02941176470588</v>
      </c>
      <c r="J98" s="99">
        <f>VLOOKUP($G$91,'【国内】特殊&amp;小众用户招募-数据源'!$A$24:$E$35,4,FALSE)</f>
        <v>0</v>
      </c>
      <c r="K98" s="109">
        <f>VLOOKUP($G$98,'【国内】特殊&amp;小众用户招募-数据源'!$V$24:$Z$35,5,FALSE)</f>
        <v>4.5</v>
      </c>
      <c r="L98" s="109">
        <f t="shared" si="47"/>
        <v>9.02941176470588</v>
      </c>
      <c r="M98" s="109">
        <f>(IF(F98&gt;2,'【国内】特殊&amp;小众用户招募-数据源'!Z40+INT((F98-2)/0.5)*100,IF(AND(F98&gt;0,F98&lt;=2),'【国内】特殊&amp;小众用户招募-数据源'!Z40,0)))*G98</f>
        <v>11500</v>
      </c>
      <c r="N98" s="109">
        <f>G98*400</f>
        <v>4000</v>
      </c>
      <c r="O98" s="109">
        <f t="shared" si="48"/>
        <v>400</v>
      </c>
      <c r="P98" s="424">
        <f t="shared" si="49"/>
        <v>1800</v>
      </c>
      <c r="U98" s="1">
        <f t="shared" si="33"/>
        <v>900</v>
      </c>
    </row>
    <row r="99" ht="42" customHeight="1"/>
    <row r="100" ht="42" customHeight="1"/>
    <row r="101" ht="42" customHeight="1"/>
  </sheetData>
  <mergeCells count="6">
    <mergeCell ref="B1:E1"/>
    <mergeCell ref="A2:O2"/>
    <mergeCell ref="M79:N79"/>
    <mergeCell ref="M80:N80"/>
    <mergeCell ref="M81:N81"/>
    <mergeCell ref="M82:N82"/>
  </mergeCells>
  <dataValidations count="1">
    <dataValidation allowBlank="1" showInputMessage="1" showErrorMessage="1" sqref="F4:G98"/>
  </dataValidations>
  <pageMargins left="0.75" right="0.75" top="1" bottom="1" header="0.5" footer="0.5"/>
  <pageSetup paperSize="9" orientation="portrait"/>
  <headerFooter/>
  <ignoredErrors>
    <ignoredError sqref="I24:I28 J21:J22" 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42"/>
  <sheetViews>
    <sheetView zoomScale="70" zoomScaleNormal="70" workbookViewId="0">
      <selection activeCell="G36" sqref="G36"/>
    </sheetView>
  </sheetViews>
  <sheetFormatPr defaultColWidth="9" defaultRowHeight="16.5"/>
  <cols>
    <col min="1" max="1" width="11.875" style="267" customWidth="1"/>
    <col min="2" max="3" width="12.5" style="267" customWidth="1"/>
    <col min="4" max="4" width="9.5" style="1" customWidth="1"/>
    <col min="5" max="5" width="14.125" style="1" customWidth="1"/>
    <col min="6" max="6" width="9.5" style="1" customWidth="1"/>
    <col min="7" max="7" width="13.875" style="1" customWidth="1"/>
    <col min="8" max="8" width="9.5" style="1" customWidth="1"/>
    <col min="9" max="9" width="3.125" style="121" customWidth="1"/>
    <col min="10" max="11" width="11.75" style="267" customWidth="1"/>
    <col min="12" max="12" width="9.5" style="1" customWidth="1"/>
    <col min="13" max="13" width="18.375" style="1" customWidth="1"/>
    <col min="14" max="14" width="9.5" style="1" customWidth="1"/>
    <col min="15" max="15" width="13.25" style="1" customWidth="1"/>
    <col min="16" max="16" width="9.5" style="1" customWidth="1"/>
    <col min="17" max="17" width="3.125" style="121" customWidth="1"/>
    <col min="18" max="19" width="11.75" style="267" customWidth="1"/>
    <col min="20" max="20" width="9.5" style="1" customWidth="1"/>
    <col min="21" max="21" width="12.5" style="1" customWidth="1"/>
    <col min="22" max="22" width="9.5" style="1" customWidth="1"/>
    <col min="23" max="23" width="11.875" style="1" customWidth="1"/>
    <col min="24" max="24" width="9.5" style="1" customWidth="1"/>
    <col min="25" max="25" width="3.25" style="121" customWidth="1"/>
    <col min="26" max="27" width="13.5" style="267" customWidth="1"/>
    <col min="28" max="32" width="9.5" style="1" customWidth="1"/>
    <col min="33" max="33" width="3.375" style="121" customWidth="1"/>
    <col min="34" max="35" width="13.25" style="267" customWidth="1"/>
    <col min="36" max="38" width="9.5" style="1" customWidth="1"/>
    <col min="39" max="39" width="19.125" style="1" customWidth="1"/>
    <col min="40" max="40" width="9.5" style="1" customWidth="1"/>
    <col min="41" max="41" width="3.375" style="121" customWidth="1"/>
    <col min="42" max="43" width="13.25" style="267" customWidth="1"/>
    <col min="44" max="45" width="9.5" style="1" customWidth="1"/>
    <col min="46" max="48" width="13" style="99" customWidth="1"/>
    <col min="49" max="49" width="3.375" style="121" customWidth="1"/>
    <col min="50" max="51" width="13.25" style="267" customWidth="1"/>
    <col min="52" max="53" width="9.5" style="1" customWidth="1"/>
    <col min="54" max="54" width="13" style="99" customWidth="1"/>
    <col min="55" max="55" width="9.25" style="267"/>
    <col min="56" max="57" width="9" style="267"/>
    <col min="58" max="58" width="12.625" style="267"/>
    <col min="59" max="16384" width="9" style="267"/>
  </cols>
  <sheetData>
    <row r="1" spans="1:55">
      <c r="B1" s="268" t="s">
        <v>91</v>
      </c>
      <c r="C1" s="268" t="s">
        <v>1</v>
      </c>
      <c r="I1" s="269"/>
      <c r="J1" s="268" t="s">
        <v>91</v>
      </c>
      <c r="K1" s="268"/>
      <c r="L1" s="268" t="s">
        <v>1</v>
      </c>
      <c r="Q1" s="269"/>
      <c r="R1" s="268" t="s">
        <v>91</v>
      </c>
      <c r="S1" s="268"/>
      <c r="T1" s="268" t="s">
        <v>1</v>
      </c>
      <c r="Y1" s="269"/>
      <c r="Z1" s="268" t="s">
        <v>91</v>
      </c>
      <c r="AA1" s="268"/>
      <c r="AB1" s="268" t="s">
        <v>1</v>
      </c>
      <c r="AG1" s="269"/>
      <c r="AH1" s="268" t="s">
        <v>91</v>
      </c>
      <c r="AI1" s="268"/>
      <c r="AJ1" s="268" t="s">
        <v>1</v>
      </c>
      <c r="AO1" s="269"/>
      <c r="AP1" s="268" t="s">
        <v>91</v>
      </c>
      <c r="AQ1" s="268"/>
      <c r="AR1" s="268" t="s">
        <v>1</v>
      </c>
      <c r="AW1" s="269"/>
      <c r="AX1" s="268" t="s">
        <v>91</v>
      </c>
      <c r="AY1" s="268"/>
      <c r="AZ1" s="268" t="s">
        <v>1</v>
      </c>
    </row>
    <row r="2" spans="1:55">
      <c r="B2" s="270" t="s">
        <v>92</v>
      </c>
      <c r="C2" s="270" t="s">
        <v>93</v>
      </c>
      <c r="I2" s="269"/>
      <c r="J2" s="270" t="s">
        <v>92</v>
      </c>
      <c r="K2" s="270"/>
      <c r="L2" s="270" t="s">
        <v>94</v>
      </c>
      <c r="Q2" s="269"/>
      <c r="R2" s="270" t="s">
        <v>92</v>
      </c>
      <c r="S2" s="270"/>
      <c r="T2" s="270" t="s">
        <v>95</v>
      </c>
      <c r="Y2" s="269"/>
      <c r="Z2" s="270" t="s">
        <v>92</v>
      </c>
      <c r="AA2" s="270"/>
      <c r="AB2" s="270" t="s">
        <v>96</v>
      </c>
      <c r="AG2" s="269"/>
      <c r="AH2" s="270" t="s">
        <v>92</v>
      </c>
      <c r="AI2" s="270"/>
      <c r="AJ2" s="270" t="s">
        <v>97</v>
      </c>
      <c r="AO2" s="269"/>
      <c r="AP2" s="270" t="s">
        <v>92</v>
      </c>
      <c r="AQ2" s="270"/>
      <c r="AR2" s="270" t="s">
        <v>98</v>
      </c>
      <c r="AW2" s="269"/>
      <c r="AX2" s="270" t="s">
        <v>92</v>
      </c>
      <c r="AY2" s="270"/>
      <c r="AZ2" s="270" t="s">
        <v>99</v>
      </c>
    </row>
    <row r="3" spans="1:55">
      <c r="B3" s="271" t="s">
        <v>100</v>
      </c>
      <c r="C3" s="271"/>
      <c r="D3" s="271">
        <v>2</v>
      </c>
      <c r="F3" s="59"/>
      <c r="G3" s="272">
        <f>AVERAGE(G7:G22)</f>
        <v>8.03022043790174</v>
      </c>
      <c r="H3" s="59"/>
      <c r="I3" s="269"/>
      <c r="J3" s="271" t="s">
        <v>100</v>
      </c>
      <c r="K3" s="271"/>
      <c r="L3" s="271">
        <v>3</v>
      </c>
      <c r="N3" s="59"/>
      <c r="O3" s="272">
        <f>AVERAGE(O7:O22)</f>
        <v>9.69085847034224</v>
      </c>
      <c r="P3" s="59"/>
      <c r="Q3" s="269"/>
      <c r="R3" s="271" t="s">
        <v>100</v>
      </c>
      <c r="S3" s="271"/>
      <c r="T3" s="271">
        <v>4</v>
      </c>
      <c r="V3" s="59"/>
      <c r="W3" s="272">
        <f>AVERAGE(W7:W22)</f>
        <v>11.3514965027827</v>
      </c>
      <c r="X3" s="59"/>
      <c r="Y3" s="269"/>
      <c r="Z3" s="271" t="s">
        <v>100</v>
      </c>
      <c r="AA3" s="271"/>
      <c r="AB3" s="271">
        <v>5</v>
      </c>
      <c r="AD3" s="59"/>
      <c r="AE3" s="272">
        <f>AVERAGE(AE7:AE22)</f>
        <v>12.8017384956193</v>
      </c>
      <c r="AF3" s="59"/>
      <c r="AG3" s="269"/>
      <c r="AH3" s="271" t="s">
        <v>100</v>
      </c>
      <c r="AI3" s="271"/>
      <c r="AJ3" s="271">
        <v>6</v>
      </c>
      <c r="AL3" s="59"/>
      <c r="AM3" s="272">
        <f>AVERAGE(AM7:AM22)</f>
        <v>14.4623765280598</v>
      </c>
      <c r="AN3" s="59"/>
      <c r="AO3" s="269"/>
      <c r="AP3" s="271" t="s">
        <v>100</v>
      </c>
      <c r="AQ3" s="271"/>
      <c r="AR3" s="271">
        <v>7</v>
      </c>
      <c r="AT3" s="273"/>
      <c r="AU3" s="272">
        <f>AVERAGE(AU7:AU22)</f>
        <v>16.1230145605003</v>
      </c>
      <c r="AV3" s="273"/>
      <c r="AW3" s="269"/>
      <c r="AX3" s="271" t="s">
        <v>100</v>
      </c>
      <c r="AY3" s="271"/>
      <c r="AZ3" s="271">
        <v>8</v>
      </c>
      <c r="BB3" s="273"/>
      <c r="BC3" s="272">
        <f>AVERAGE(BC7:BC22)</f>
        <v>17.7836525929408</v>
      </c>
    </row>
    <row r="4" spans="1:55">
      <c r="B4" s="1" t="s">
        <v>101</v>
      </c>
      <c r="C4" s="1" t="s">
        <v>8</v>
      </c>
      <c r="D4" s="1" t="s">
        <v>9</v>
      </c>
      <c r="E4" s="1" t="s">
        <v>10</v>
      </c>
      <c r="F4" s="1" t="s">
        <v>103</v>
      </c>
      <c r="G4" s="1" t="s">
        <v>104</v>
      </c>
      <c r="H4" s="269" t="s">
        <v>105</v>
      </c>
      <c r="I4" s="269"/>
      <c r="J4" s="1" t="s">
        <v>101</v>
      </c>
      <c r="K4" s="1" t="s">
        <v>8</v>
      </c>
      <c r="L4" s="1" t="s">
        <v>9</v>
      </c>
      <c r="M4" s="1" t="s">
        <v>10</v>
      </c>
      <c r="N4" s="1" t="s">
        <v>103</v>
      </c>
      <c r="O4" s="1" t="s">
        <v>104</v>
      </c>
      <c r="P4" s="269" t="s">
        <v>105</v>
      </c>
      <c r="Q4" s="269"/>
      <c r="R4" s="1" t="s">
        <v>101</v>
      </c>
      <c r="S4" s="1" t="s">
        <v>8</v>
      </c>
      <c r="T4" s="1" t="s">
        <v>9</v>
      </c>
      <c r="U4" s="1" t="s">
        <v>10</v>
      </c>
      <c r="V4" s="1" t="s">
        <v>103</v>
      </c>
      <c r="W4" s="1" t="s">
        <v>104</v>
      </c>
      <c r="X4" s="269" t="s">
        <v>105</v>
      </c>
      <c r="Y4" s="269"/>
      <c r="Z4" s="1" t="s">
        <v>101</v>
      </c>
      <c r="AA4" s="1" t="s">
        <v>8</v>
      </c>
      <c r="AB4" s="1" t="s">
        <v>9</v>
      </c>
      <c r="AC4" s="1" t="s">
        <v>10</v>
      </c>
      <c r="AD4" s="1" t="s">
        <v>103</v>
      </c>
      <c r="AE4" s="1" t="s">
        <v>104</v>
      </c>
      <c r="AF4" s="269" t="s">
        <v>105</v>
      </c>
      <c r="AG4" s="269"/>
      <c r="AH4" s="1" t="s">
        <v>101</v>
      </c>
      <c r="AI4" s="1" t="s">
        <v>8</v>
      </c>
      <c r="AJ4" s="1" t="s">
        <v>9</v>
      </c>
      <c r="AK4" s="1" t="s">
        <v>10</v>
      </c>
      <c r="AL4" s="1" t="s">
        <v>103</v>
      </c>
      <c r="AM4" s="1" t="s">
        <v>104</v>
      </c>
      <c r="AO4" s="269"/>
      <c r="AP4" s="1" t="s">
        <v>101</v>
      </c>
      <c r="AQ4" s="1" t="s">
        <v>8</v>
      </c>
      <c r="AR4" s="1" t="s">
        <v>9</v>
      </c>
      <c r="AS4" s="1" t="s">
        <v>10</v>
      </c>
      <c r="AT4" s="1" t="s">
        <v>103</v>
      </c>
      <c r="AW4" s="269"/>
      <c r="AX4" s="1" t="s">
        <v>101</v>
      </c>
      <c r="AY4" s="1" t="s">
        <v>8</v>
      </c>
      <c r="AZ4" s="1" t="s">
        <v>9</v>
      </c>
      <c r="BA4" s="1" t="s">
        <v>10</v>
      </c>
      <c r="BB4" s="1" t="s">
        <v>103</v>
      </c>
    </row>
    <row r="5" spans="1:55">
      <c r="B5" s="1">
        <v>0</v>
      </c>
      <c r="C5" s="99">
        <v>0</v>
      </c>
      <c r="D5" s="99">
        <v>0</v>
      </c>
      <c r="E5" s="99"/>
      <c r="F5" s="274">
        <f>'【国内】问卷调研-数据源（P3单独执行） '!F5*2</f>
        <v>0</v>
      </c>
      <c r="G5" s="275" t="e">
        <f>'【国内】问卷调研-数据源（P3单独执行） '!G5</f>
        <v>#DIV/0!</v>
      </c>
      <c r="H5" s="1">
        <v>18</v>
      </c>
      <c r="I5" s="269"/>
      <c r="J5" s="1">
        <v>0</v>
      </c>
      <c r="K5" s="99">
        <v>0</v>
      </c>
      <c r="L5" s="99">
        <v>0</v>
      </c>
      <c r="M5" s="99" t="e">
        <f t="shared" ref="M5:M22" si="0">(O5*J5-$L$3*J5-K5*5900-L5*3400-N5*300)/1200</f>
        <v>#DIV/0!</v>
      </c>
      <c r="N5" s="274">
        <f>'【国内】问卷调研-数据源（P3单独执行） '!N5*1.3</f>
        <v>0</v>
      </c>
      <c r="O5" s="275" t="e">
        <f>'【国内】问卷调研-数据源（P3单独执行） '!O5</f>
        <v>#DIV/0!</v>
      </c>
      <c r="P5" s="1">
        <v>18</v>
      </c>
      <c r="Q5" s="269"/>
      <c r="R5" s="1">
        <v>0</v>
      </c>
      <c r="S5" s="99">
        <v>0</v>
      </c>
      <c r="T5" s="99">
        <v>0</v>
      </c>
      <c r="U5" s="99" t="e">
        <f t="shared" ref="U5:U22" si="1">(W5*R5-$T$3*R5-S5*5900-T5*3400-V5*300)/1200</f>
        <v>#DIV/0!</v>
      </c>
      <c r="V5" s="274">
        <f>'【国内】问卷调研-数据源（P3单独执行） '!V5*1.3</f>
        <v>0</v>
      </c>
      <c r="W5" s="275" t="e">
        <f>'【国内】问卷调研-数据源（P3单独执行） '!W5</f>
        <v>#DIV/0!</v>
      </c>
      <c r="X5" s="1">
        <v>18</v>
      </c>
      <c r="Y5" s="269"/>
      <c r="Z5" s="1">
        <v>0</v>
      </c>
      <c r="AA5" s="99">
        <v>0</v>
      </c>
      <c r="AB5" s="99">
        <v>0</v>
      </c>
      <c r="AC5" s="99" t="e">
        <f t="shared" ref="AC5:AC22" si="2">(AE5*Z5-$AB$3*Z5-AA5*5900-AB5*3400-AD5*300)/1200</f>
        <v>#DIV/0!</v>
      </c>
      <c r="AD5" s="274">
        <f>'【国内】问卷调研-数据源（P3单独执行） '!AD5*1.3</f>
        <v>0</v>
      </c>
      <c r="AE5" s="275" t="e">
        <f>'【国内】问卷调研-数据源（P3单独执行） '!AE5</f>
        <v>#DIV/0!</v>
      </c>
      <c r="AG5" s="269"/>
      <c r="AH5" s="1">
        <v>0</v>
      </c>
      <c r="AI5" s="99">
        <f>'【国内】问卷调研-数据源（P3单独执行） '!AI5</f>
        <v>0</v>
      </c>
      <c r="AJ5" s="99">
        <v>0</v>
      </c>
      <c r="AK5" s="99" t="e">
        <f t="shared" ref="AK5:AK22" si="3">(AM5*AH5-$AJ$3*AH5-AI5*5900-AJ5*3400-AL5*300)/1200</f>
        <v>#DIV/0!</v>
      </c>
      <c r="AL5" s="274">
        <f>'【国内】问卷调研-数据源（P3单独执行） '!AL5*1.3</f>
        <v>0</v>
      </c>
      <c r="AM5" s="275" t="e">
        <f>'【国内】问卷调研-数据源（P3单独执行） '!AM5</f>
        <v>#DIV/0!</v>
      </c>
      <c r="AO5" s="269"/>
      <c r="AP5" s="1">
        <v>0</v>
      </c>
      <c r="AQ5" s="99">
        <f>'【国内】问卷调研-数据源（P3单独执行） '!AQ5</f>
        <v>0</v>
      </c>
      <c r="AR5" s="99">
        <v>0</v>
      </c>
      <c r="AS5" s="99" t="e">
        <f t="shared" ref="AS5:AS22" si="4">(AU5*AP5-$AR$3*AP5-AQ5*5900-AR5*3400-AT5*300)/1200</f>
        <v>#DIV/0!</v>
      </c>
      <c r="AT5" s="274">
        <f>'【国内】问卷调研-数据源（P3单独执行） '!AT5*1.3</f>
        <v>0</v>
      </c>
      <c r="AU5" s="275" t="e">
        <f>'【国内】问卷调研-数据源（P3单独执行） '!AU5</f>
        <v>#DIV/0!</v>
      </c>
      <c r="AV5" s="1"/>
      <c r="AW5" s="269"/>
      <c r="AX5" s="1">
        <v>0</v>
      </c>
      <c r="AY5" s="99">
        <f>'【国内】问卷调研-数据源（P3单独执行） '!AY5</f>
        <v>0</v>
      </c>
      <c r="AZ5" s="99">
        <f>'【国内】问卷调研-数据源（P3单独执行） '!BA5*0.4</f>
        <v>0</v>
      </c>
      <c r="BA5" s="99" t="e">
        <f t="shared" ref="BA5:BA22" si="5">(BC5*AX5-$AZ$3*AX5-AY5*5900-AZ5*3400-BB5*300)/1200</f>
        <v>#DIV/0!</v>
      </c>
      <c r="BB5" s="274">
        <f>'【国内】问卷调研-数据源（P3单独执行） '!BB5*1.3</f>
        <v>0</v>
      </c>
      <c r="BC5" s="275" t="e">
        <f>'【国内】问卷调研-数据源（P3单独执行） '!BC5</f>
        <v>#DIV/0!</v>
      </c>
    </row>
    <row r="6" spans="1:55">
      <c r="A6" s="1" t="s">
        <v>106</v>
      </c>
      <c r="B6" s="1">
        <v>1</v>
      </c>
      <c r="C6" s="99">
        <v>0</v>
      </c>
      <c r="D6" s="99">
        <v>0</v>
      </c>
      <c r="E6" s="99">
        <f>(G6*B6-$D$3*B6-C6*5900-D6*3400-F6*300)/1200</f>
        <v>0</v>
      </c>
      <c r="F6" s="274">
        <f>'【国内】问卷调研-数据源（P3单独执行） '!F6*2</f>
        <v>0</v>
      </c>
      <c r="G6" s="275">
        <f>'【国内】问卷调研-数据源（P3单独执行） '!G6</f>
        <v>2</v>
      </c>
      <c r="H6" s="1">
        <v>18</v>
      </c>
      <c r="I6" s="276"/>
      <c r="J6" s="1">
        <v>1</v>
      </c>
      <c r="K6" s="99">
        <v>0</v>
      </c>
      <c r="L6" s="99">
        <v>0</v>
      </c>
      <c r="M6" s="99">
        <f t="shared" si="0"/>
        <v>0</v>
      </c>
      <c r="N6" s="274">
        <f>'【国内】问卷调研-数据源（P3单独执行） '!N6*1.3</f>
        <v>0</v>
      </c>
      <c r="O6" s="275">
        <f>'【国内】问卷调研-数据源（P3单独执行） '!O6</f>
        <v>3</v>
      </c>
      <c r="P6" s="1">
        <v>18</v>
      </c>
      <c r="Q6" s="276"/>
      <c r="R6" s="1">
        <v>1</v>
      </c>
      <c r="S6" s="99">
        <v>0</v>
      </c>
      <c r="T6" s="99">
        <v>0</v>
      </c>
      <c r="U6" s="99">
        <f t="shared" si="1"/>
        <v>0</v>
      </c>
      <c r="V6" s="274">
        <f>'【国内】问卷调研-数据源（P3单独执行） '!V6*1.3</f>
        <v>0</v>
      </c>
      <c r="W6" s="275">
        <f>'【国内】问卷调研-数据源（P3单独执行） '!W6</f>
        <v>4</v>
      </c>
      <c r="X6" s="1">
        <v>18</v>
      </c>
      <c r="Y6" s="276"/>
      <c r="Z6" s="1">
        <v>1</v>
      </c>
      <c r="AA6" s="99">
        <v>0</v>
      </c>
      <c r="AB6" s="99">
        <v>0</v>
      </c>
      <c r="AC6" s="99">
        <f t="shared" si="2"/>
        <v>1.3225</v>
      </c>
      <c r="AD6" s="274">
        <f>'【国内】问卷调研-数据源（P3单独执行） '!AD6*1.3</f>
        <v>1.56</v>
      </c>
      <c r="AE6" s="275">
        <f>'【国内】问卷调研-数据源（P3单独执行） '!AE6</f>
        <v>2060</v>
      </c>
      <c r="AG6" s="276"/>
      <c r="AH6" s="1">
        <v>1</v>
      </c>
      <c r="AI6" s="99">
        <f>'【国内】问卷调研-数据源（P3单独执行） '!AI6</f>
        <v>0</v>
      </c>
      <c r="AJ6" s="99">
        <v>0</v>
      </c>
      <c r="AK6" s="99">
        <f t="shared" si="3"/>
        <v>1.6025</v>
      </c>
      <c r="AL6" s="274">
        <f>'【国内】问卷调研-数据源（P3单独执行） '!AL6*1.3</f>
        <v>1.69</v>
      </c>
      <c r="AM6" s="275">
        <f>'【国内】问卷调研-数据源（P3单独执行） '!AM6</f>
        <v>2436</v>
      </c>
      <c r="AO6" s="276"/>
      <c r="AP6" s="1">
        <v>1</v>
      </c>
      <c r="AQ6" s="99">
        <f>'【国内】问卷调研-数据源（P3单独执行） '!AQ6</f>
        <v>0</v>
      </c>
      <c r="AR6" s="99">
        <v>0</v>
      </c>
      <c r="AS6" s="99">
        <f t="shared" si="4"/>
        <v>1.8725</v>
      </c>
      <c r="AT6" s="274">
        <f>'【国内】问卷调研-数据源（P3单独执行） '!AT6*1.3</f>
        <v>1.82</v>
      </c>
      <c r="AU6" s="275">
        <f>'【国内】问卷调研-数据源（P3单独执行） '!AU6</f>
        <v>2800</v>
      </c>
      <c r="AV6" s="1"/>
      <c r="AW6" s="276"/>
      <c r="AX6" s="1">
        <v>1</v>
      </c>
      <c r="AY6" s="99">
        <f>'【国内】问卷调研-数据源（P3单独执行） '!AY6</f>
        <v>0</v>
      </c>
      <c r="AZ6" s="99">
        <f>'【国内】问卷调研-数据源（P3单独执行） '!BA6*0.4</f>
        <v>0.32</v>
      </c>
      <c r="BA6" s="99">
        <f t="shared" si="5"/>
        <v>1.2475</v>
      </c>
      <c r="BB6" s="274">
        <f>'【国内】问卷调研-数据源（P3单独执行） '!BB6*1.3</f>
        <v>1.95</v>
      </c>
      <c r="BC6" s="275">
        <f>'【国内】问卷调研-数据源（P3单独执行） '!BC6</f>
        <v>3178</v>
      </c>
    </row>
    <row r="7" spans="1:55">
      <c r="A7" s="1" t="s">
        <v>107</v>
      </c>
      <c r="B7" s="1">
        <v>101</v>
      </c>
      <c r="C7" s="99">
        <v>0</v>
      </c>
      <c r="D7" s="99">
        <v>0</v>
      </c>
      <c r="E7" s="99">
        <f t="shared" ref="E7:E22" si="6">(G7*B7-$D$3*B7-C7*5900-D7*3400-F7*300)/1200</f>
        <v>0.675</v>
      </c>
      <c r="F7" s="274">
        <f>F30-0.1</f>
        <v>1.6</v>
      </c>
      <c r="G7" s="275">
        <f>'【国内】问卷调研-数据源（P3单独执行） '!G7</f>
        <v>14.7722772277228</v>
      </c>
      <c r="H7" s="1">
        <v>18</v>
      </c>
      <c r="I7" s="276"/>
      <c r="J7" s="1">
        <v>101</v>
      </c>
      <c r="K7" s="99">
        <v>0</v>
      </c>
      <c r="L7" s="99">
        <v>0</v>
      </c>
      <c r="M7" s="99">
        <f t="shared" si="0"/>
        <v>0.958333333333333</v>
      </c>
      <c r="N7" s="274">
        <f>F7+0.1</f>
        <v>1.7</v>
      </c>
      <c r="O7" s="275">
        <f>'【国内】问卷调研-数据源（P3单独执行） '!O7</f>
        <v>19.4356435643564</v>
      </c>
      <c r="P7" s="1">
        <v>18</v>
      </c>
      <c r="Q7" s="276"/>
      <c r="R7" s="1">
        <v>101</v>
      </c>
      <c r="S7" s="99">
        <v>0</v>
      </c>
      <c r="T7" s="99">
        <v>0</v>
      </c>
      <c r="U7" s="99">
        <f t="shared" si="1"/>
        <v>1.24166666666667</v>
      </c>
      <c r="V7" s="274">
        <f>N7+0.1</f>
        <v>1.8</v>
      </c>
      <c r="W7" s="275">
        <f>'【国内】问卷调研-数据源（P3单独执行） '!W7</f>
        <v>24.0990099009901</v>
      </c>
      <c r="X7" s="1">
        <v>18</v>
      </c>
      <c r="Y7" s="276"/>
      <c r="Z7" s="1">
        <v>101</v>
      </c>
      <c r="AA7" s="99">
        <v>0</v>
      </c>
      <c r="AB7" s="99">
        <v>0</v>
      </c>
      <c r="AC7" s="99">
        <f t="shared" si="2"/>
        <v>1.24166666666667</v>
      </c>
      <c r="AD7" s="274">
        <f>V7+0.1</f>
        <v>1.9</v>
      </c>
      <c r="AE7" s="275">
        <f>'【国内】问卷调研-数据源（P3单独执行） '!AE7</f>
        <v>25.3960396039604</v>
      </c>
      <c r="AG7" s="276"/>
      <c r="AH7" s="1">
        <v>101</v>
      </c>
      <c r="AI7" s="99">
        <f>'【国内】问卷调研-数据源（P3单独执行） '!AI7</f>
        <v>0</v>
      </c>
      <c r="AJ7" s="99">
        <v>0</v>
      </c>
      <c r="AK7" s="99">
        <f t="shared" si="3"/>
        <v>1.525</v>
      </c>
      <c r="AL7" s="274">
        <f>AD7+0.1</f>
        <v>2</v>
      </c>
      <c r="AM7" s="275">
        <f>'【国内】问卷调研-数据源（P3单独执行） '!AM7</f>
        <v>30.0594059405941</v>
      </c>
      <c r="AO7" s="276"/>
      <c r="AP7" s="1">
        <v>101</v>
      </c>
      <c r="AQ7" s="99">
        <f>'【国内】问卷调研-数据源（P3单独执行） '!AQ7</f>
        <v>0</v>
      </c>
      <c r="AR7" s="99">
        <v>0</v>
      </c>
      <c r="AS7" s="99">
        <f t="shared" si="4"/>
        <v>1.80833333333333</v>
      </c>
      <c r="AT7" s="274">
        <f>AL7+0.1</f>
        <v>2.1</v>
      </c>
      <c r="AU7" s="275">
        <f>'【国内】问卷调研-数据源（P3单独执行） '!AU7</f>
        <v>34.7227722772277</v>
      </c>
      <c r="AV7" s="1"/>
      <c r="AW7" s="276"/>
      <c r="AX7" s="1">
        <v>101</v>
      </c>
      <c r="AY7" s="99">
        <f>'【国内】问卷调研-数据源（P3单独执行） '!AY7</f>
        <v>0</v>
      </c>
      <c r="AZ7" s="99">
        <f>'【国内】问卷调研-数据源（P3单独执行） '!BA7*0.4</f>
        <v>0.32</v>
      </c>
      <c r="BA7" s="99">
        <f t="shared" si="5"/>
        <v>1.185</v>
      </c>
      <c r="BB7" s="274">
        <f>AT7+0.1</f>
        <v>2.2</v>
      </c>
      <c r="BC7" s="275">
        <f>'【国内】问卷调研-数据源（P3单独执行） '!BC7</f>
        <v>39.3861386138614</v>
      </c>
    </row>
    <row r="8" spans="1:55">
      <c r="A8" s="1" t="s">
        <v>108</v>
      </c>
      <c r="B8" s="1">
        <v>201</v>
      </c>
      <c r="C8" s="99">
        <v>0</v>
      </c>
      <c r="D8" s="99">
        <v>0</v>
      </c>
      <c r="E8" s="99">
        <f t="shared" si="6"/>
        <v>0.833333333333333</v>
      </c>
      <c r="F8" s="274">
        <f t="shared" ref="F8:F22" si="7">F31-0.1</f>
        <v>2.1</v>
      </c>
      <c r="G8" s="275">
        <f>'【国内】问卷调研-数据源（P3单独执行） '!G8</f>
        <v>10.1094527363184</v>
      </c>
      <c r="H8" s="1">
        <v>18</v>
      </c>
      <c r="I8" s="276"/>
      <c r="J8" s="1">
        <v>201</v>
      </c>
      <c r="K8" s="99">
        <v>0</v>
      </c>
      <c r="L8" s="99">
        <v>0</v>
      </c>
      <c r="M8" s="99">
        <f t="shared" si="0"/>
        <v>1.11666666666667</v>
      </c>
      <c r="N8" s="274">
        <f t="shared" ref="N8:N22" si="8">F8+0.1</f>
        <v>2.2</v>
      </c>
      <c r="O8" s="275">
        <f>'【国内】问卷调研-数据源（P3单独执行） '!O8</f>
        <v>12.9502487562189</v>
      </c>
      <c r="P8" s="1">
        <v>18</v>
      </c>
      <c r="Q8" s="276"/>
      <c r="R8" s="1">
        <v>201</v>
      </c>
      <c r="S8" s="99">
        <v>0</v>
      </c>
      <c r="T8" s="99">
        <v>0</v>
      </c>
      <c r="U8" s="99">
        <f t="shared" si="1"/>
        <v>1.4</v>
      </c>
      <c r="V8" s="274">
        <f t="shared" ref="V8:V22" si="9">N8+0.1</f>
        <v>2.3</v>
      </c>
      <c r="W8" s="275">
        <f>'【国内】问卷调研-数据源（P3单独执行） '!W8</f>
        <v>15.7910447761194</v>
      </c>
      <c r="X8" s="1">
        <v>18</v>
      </c>
      <c r="Y8" s="276"/>
      <c r="Z8" s="1">
        <v>201</v>
      </c>
      <c r="AA8" s="99">
        <v>0</v>
      </c>
      <c r="AB8" s="99">
        <v>0</v>
      </c>
      <c r="AC8" s="99">
        <f t="shared" si="2"/>
        <v>1.68333333333333</v>
      </c>
      <c r="AD8" s="274">
        <f t="shared" ref="AD8:AD22" si="10">V8+0.1</f>
        <v>2.4</v>
      </c>
      <c r="AE8" s="275">
        <f>'【国内】问卷调研-数据源（P3单独执行） '!AE8</f>
        <v>18.6318407960199</v>
      </c>
      <c r="AG8" s="276"/>
      <c r="AH8" s="1">
        <v>201</v>
      </c>
      <c r="AI8" s="99">
        <f>'【国内】问卷调研-数据源（P3单独执行） '!AI8</f>
        <v>0</v>
      </c>
      <c r="AJ8" s="99">
        <v>0</v>
      </c>
      <c r="AK8" s="99">
        <f t="shared" si="3"/>
        <v>1.96666666666667</v>
      </c>
      <c r="AL8" s="274">
        <f t="shared" ref="AL8:AL22" si="11">AD8+0.1</f>
        <v>2.5</v>
      </c>
      <c r="AM8" s="275">
        <f>'【国内】问卷调研-数据源（P3单独执行） '!AM8</f>
        <v>21.4726368159204</v>
      </c>
      <c r="AO8" s="276"/>
      <c r="AP8" s="1">
        <v>201</v>
      </c>
      <c r="AQ8" s="99">
        <f>'【国内】问卷调研-数据源（P3单独执行） '!AQ8</f>
        <v>0</v>
      </c>
      <c r="AR8" s="99">
        <v>0</v>
      </c>
      <c r="AS8" s="99">
        <f t="shared" si="4"/>
        <v>2.25</v>
      </c>
      <c r="AT8" s="274">
        <f t="shared" ref="AT8:AT22" si="12">AL8+0.1</f>
        <v>2.6</v>
      </c>
      <c r="AU8" s="275">
        <f>'【国内】问卷调研-数据源（P3单独执行） '!AU8</f>
        <v>24.3134328358209</v>
      </c>
      <c r="AV8" s="1"/>
      <c r="AW8" s="276"/>
      <c r="AX8" s="1">
        <v>201</v>
      </c>
      <c r="AY8" s="99">
        <f>'【国内】问卷调研-数据源（P3单独执行） '!AY8</f>
        <v>0</v>
      </c>
      <c r="AZ8" s="99">
        <f>'【国内】问卷调研-数据源（P3单独执行） '!BA8*0.4</f>
        <v>0.4</v>
      </c>
      <c r="BA8" s="99">
        <f t="shared" si="5"/>
        <v>1.4</v>
      </c>
      <c r="BB8" s="274">
        <f t="shared" ref="BB8:BB22" si="13">AT8+0.1</f>
        <v>2.7</v>
      </c>
      <c r="BC8" s="275">
        <f>'【国内】问卷调研-数据源（P3单独执行） '!BC8</f>
        <v>27.1542288557214</v>
      </c>
    </row>
    <row r="9" spans="1:55">
      <c r="A9" s="1" t="s">
        <v>109</v>
      </c>
      <c r="B9" s="1">
        <v>301</v>
      </c>
      <c r="C9" s="99">
        <v>0</v>
      </c>
      <c r="D9" s="99">
        <v>0</v>
      </c>
      <c r="E9" s="99">
        <f t="shared" si="6"/>
        <v>1.04166666666667</v>
      </c>
      <c r="F9" s="274">
        <f t="shared" si="7"/>
        <v>2.4</v>
      </c>
      <c r="G9" s="275">
        <f>'【国内】问卷调研-数据源（P3单独执行） '!G9</f>
        <v>8.54485049833887</v>
      </c>
      <c r="H9" s="1">
        <v>18</v>
      </c>
      <c r="I9" s="276"/>
      <c r="J9" s="1">
        <v>301</v>
      </c>
      <c r="K9" s="99">
        <v>0</v>
      </c>
      <c r="L9" s="99">
        <v>0</v>
      </c>
      <c r="M9" s="99">
        <f t="shared" si="0"/>
        <v>1.325</v>
      </c>
      <c r="N9" s="274">
        <f t="shared" si="8"/>
        <v>2.5</v>
      </c>
      <c r="O9" s="275">
        <f>'【国内】问卷调研-数据源（P3单独执行） '!O9</f>
        <v>10.7740863787375</v>
      </c>
      <c r="P9" s="1">
        <v>18</v>
      </c>
      <c r="Q9" s="276"/>
      <c r="R9" s="1">
        <v>301</v>
      </c>
      <c r="S9" s="99">
        <v>0</v>
      </c>
      <c r="T9" s="99">
        <v>0</v>
      </c>
      <c r="U9" s="99">
        <f t="shared" si="1"/>
        <v>1.60833333333333</v>
      </c>
      <c r="V9" s="274">
        <f t="shared" si="9"/>
        <v>2.6</v>
      </c>
      <c r="W9" s="275">
        <f>'【国内】问卷调研-数据源（P3单独执行） '!W9</f>
        <v>13.0033222591362</v>
      </c>
      <c r="X9" s="1">
        <v>18</v>
      </c>
      <c r="Y9" s="276"/>
      <c r="Z9" s="1">
        <v>301</v>
      </c>
      <c r="AA9" s="99">
        <v>0</v>
      </c>
      <c r="AB9" s="99">
        <v>0</v>
      </c>
      <c r="AC9" s="99">
        <f t="shared" si="2"/>
        <v>1.89166666666667</v>
      </c>
      <c r="AD9" s="274">
        <f t="shared" si="10"/>
        <v>2.7</v>
      </c>
      <c r="AE9" s="275">
        <f>'【国内】问卷调研-数据源（P3单独执行） '!AE9</f>
        <v>15.2325581395349</v>
      </c>
      <c r="AG9" s="276"/>
      <c r="AH9" s="1">
        <v>301</v>
      </c>
      <c r="AI9" s="99">
        <f>'【国内】问卷调研-数据源（P3单独执行） '!AI9</f>
        <v>0</v>
      </c>
      <c r="AJ9" s="99">
        <v>0</v>
      </c>
      <c r="AK9" s="99">
        <f t="shared" si="3"/>
        <v>2.175</v>
      </c>
      <c r="AL9" s="274">
        <f t="shared" si="11"/>
        <v>2.8</v>
      </c>
      <c r="AM9" s="275">
        <f>'【国内】问卷调研-数据源（P3单独执行） '!AM9</f>
        <v>17.4617940199336</v>
      </c>
      <c r="AO9" s="276"/>
      <c r="AP9" s="1">
        <v>301</v>
      </c>
      <c r="AQ9" s="99">
        <f>'【国内】问卷调研-数据源（P3单独执行） '!AQ9</f>
        <v>0</v>
      </c>
      <c r="AR9" s="99">
        <v>0</v>
      </c>
      <c r="AS9" s="99">
        <f t="shared" si="4"/>
        <v>2.45833333333333</v>
      </c>
      <c r="AT9" s="274">
        <f t="shared" si="12"/>
        <v>2.9</v>
      </c>
      <c r="AU9" s="275">
        <f>'【国内】问卷调研-数据源（P3单独执行） '!AU9</f>
        <v>19.6910299003322</v>
      </c>
      <c r="AV9" s="1"/>
      <c r="AW9" s="276"/>
      <c r="AX9" s="1">
        <v>301</v>
      </c>
      <c r="AY9" s="99">
        <f>'【国内】问卷调研-数据源（P3单独执行） '!AY9</f>
        <v>0</v>
      </c>
      <c r="AZ9" s="99">
        <f>'【国内】问卷调研-数据源（P3单独执行） '!BA9*0.4</f>
        <v>0.44</v>
      </c>
      <c r="BA9" s="99">
        <f t="shared" si="5"/>
        <v>1.495</v>
      </c>
      <c r="BB9" s="274">
        <f t="shared" si="13"/>
        <v>3</v>
      </c>
      <c r="BC9" s="275">
        <f>'【国内】问卷调研-数据源（P3单独执行） '!BC9</f>
        <v>21.9202657807309</v>
      </c>
    </row>
    <row r="10" spans="1:55">
      <c r="A10" s="1" t="s">
        <v>110</v>
      </c>
      <c r="B10" s="1">
        <v>501</v>
      </c>
      <c r="C10" s="99">
        <v>0</v>
      </c>
      <c r="D10" s="99">
        <v>0</v>
      </c>
      <c r="E10" s="99">
        <f t="shared" si="6"/>
        <v>2.125</v>
      </c>
      <c r="F10" s="274">
        <f t="shared" si="7"/>
        <v>2.6</v>
      </c>
      <c r="G10" s="275">
        <f>'【国内】问卷调研-数据源（P3单独执行） '!G10</f>
        <v>8.64670658682635</v>
      </c>
      <c r="H10" s="1">
        <v>18</v>
      </c>
      <c r="I10" s="276"/>
      <c r="J10" s="1">
        <v>501</v>
      </c>
      <c r="K10" s="99">
        <v>0</v>
      </c>
      <c r="L10" s="99">
        <v>0</v>
      </c>
      <c r="M10" s="99">
        <f t="shared" si="0"/>
        <v>2.40833333333333</v>
      </c>
      <c r="N10" s="274">
        <f t="shared" si="8"/>
        <v>2.7</v>
      </c>
      <c r="O10" s="275">
        <f>'【国内】问卷调研-数据源（P3单独执行） '!O10</f>
        <v>10.3852295409182</v>
      </c>
      <c r="P10" s="1">
        <v>18</v>
      </c>
      <c r="Q10" s="276"/>
      <c r="R10" s="1">
        <v>501</v>
      </c>
      <c r="S10" s="99">
        <v>0</v>
      </c>
      <c r="T10" s="99">
        <v>0</v>
      </c>
      <c r="U10" s="99">
        <f t="shared" si="1"/>
        <v>2.69166666666667</v>
      </c>
      <c r="V10" s="274">
        <f t="shared" si="9"/>
        <v>2.8</v>
      </c>
      <c r="W10" s="275">
        <f>'【国内】问卷调研-数据源（P3单独执行） '!W10</f>
        <v>12.12375249501</v>
      </c>
      <c r="X10" s="1">
        <v>18</v>
      </c>
      <c r="Y10" s="276"/>
      <c r="Z10" s="1">
        <v>501</v>
      </c>
      <c r="AA10" s="99">
        <v>0</v>
      </c>
      <c r="AB10" s="99">
        <v>0</v>
      </c>
      <c r="AC10" s="99">
        <f t="shared" si="2"/>
        <v>2.975</v>
      </c>
      <c r="AD10" s="274">
        <f t="shared" si="10"/>
        <v>2.9</v>
      </c>
      <c r="AE10" s="275">
        <f>'【国内】问卷调研-数据源（P3单独执行） '!AE10</f>
        <v>13.8622754491018</v>
      </c>
      <c r="AG10" s="276"/>
      <c r="AH10" s="1">
        <v>501</v>
      </c>
      <c r="AI10" s="99">
        <f>'【国内】问卷调研-数据源（P3单独执行） '!AI10</f>
        <v>0</v>
      </c>
      <c r="AJ10" s="99">
        <v>0</v>
      </c>
      <c r="AK10" s="99">
        <f t="shared" si="3"/>
        <v>3.25833333333333</v>
      </c>
      <c r="AL10" s="274">
        <f t="shared" si="11"/>
        <v>3</v>
      </c>
      <c r="AM10" s="275">
        <f>'【国内】问卷调研-数据源（P3单独执行） '!AM10</f>
        <v>15.6007984031936</v>
      </c>
      <c r="AO10" s="276"/>
      <c r="AP10" s="1">
        <v>501</v>
      </c>
      <c r="AQ10" s="99">
        <f>'【国内】问卷调研-数据源（P3单独执行） '!AQ10</f>
        <v>0</v>
      </c>
      <c r="AR10" s="99">
        <v>0</v>
      </c>
      <c r="AS10" s="99">
        <f t="shared" si="4"/>
        <v>3.54166666666667</v>
      </c>
      <c r="AT10" s="274">
        <f t="shared" si="12"/>
        <v>3.1</v>
      </c>
      <c r="AU10" s="275">
        <f>'【国内】问卷调研-数据源（P3单独执行） '!AU10</f>
        <v>17.3393213572854</v>
      </c>
      <c r="AV10" s="1"/>
      <c r="AW10" s="276"/>
      <c r="AX10" s="1">
        <v>501</v>
      </c>
      <c r="AY10" s="99">
        <f>'【国内】问卷调研-数据源（P3单独执行） '!AY10</f>
        <v>0</v>
      </c>
      <c r="AZ10" s="99">
        <f>'【国内】问卷调研-数据源（P3单独执行） '!BA10*0.4</f>
        <v>0.6</v>
      </c>
      <c r="BA10" s="99">
        <f t="shared" si="5"/>
        <v>2.125</v>
      </c>
      <c r="BB10" s="274">
        <f t="shared" si="13"/>
        <v>3.2</v>
      </c>
      <c r="BC10" s="275">
        <f>'【国内】问卷调研-数据源（P3单独执行） '!BC10</f>
        <v>19.0778443113772</v>
      </c>
    </row>
    <row r="11" spans="1:55">
      <c r="A11" s="1" t="s">
        <v>111</v>
      </c>
      <c r="B11" s="1">
        <v>701</v>
      </c>
      <c r="C11" s="99">
        <v>0.1</v>
      </c>
      <c r="D11" s="99">
        <v>0</v>
      </c>
      <c r="E11" s="99">
        <f t="shared" si="6"/>
        <v>2.075</v>
      </c>
      <c r="F11" s="274">
        <f t="shared" si="7"/>
        <v>3.1</v>
      </c>
      <c r="G11" s="275">
        <f>'【国内】问卷调研-数据源（P3单独执行） '!G11</f>
        <v>7.72039942938659</v>
      </c>
      <c r="H11" s="1">
        <v>18</v>
      </c>
      <c r="I11" s="276"/>
      <c r="J11" s="1">
        <v>701</v>
      </c>
      <c r="K11" s="99">
        <v>0.1</v>
      </c>
      <c r="L11" s="99">
        <v>0</v>
      </c>
      <c r="M11" s="99">
        <f t="shared" si="0"/>
        <v>2.35833333333333</v>
      </c>
      <c r="N11" s="274">
        <f t="shared" si="8"/>
        <v>3.2</v>
      </c>
      <c r="O11" s="275">
        <f>'【国内】问卷调研-数据源（P3单独执行） '!O11</f>
        <v>9.24821683309558</v>
      </c>
      <c r="P11" s="1">
        <v>18</v>
      </c>
      <c r="Q11" s="276"/>
      <c r="R11" s="1">
        <v>701</v>
      </c>
      <c r="S11" s="99">
        <v>0.1</v>
      </c>
      <c r="T11" s="99">
        <v>0</v>
      </c>
      <c r="U11" s="99">
        <f t="shared" si="1"/>
        <v>2.64166666666667</v>
      </c>
      <c r="V11" s="274">
        <f t="shared" si="9"/>
        <v>3.3</v>
      </c>
      <c r="W11" s="275">
        <f>'【国内】问卷调研-数据源（P3单独执行） '!W11</f>
        <v>10.7760342368046</v>
      </c>
      <c r="X11" s="1">
        <v>18</v>
      </c>
      <c r="Y11" s="276"/>
      <c r="Z11" s="1">
        <v>701</v>
      </c>
      <c r="AA11" s="99">
        <v>0.1</v>
      </c>
      <c r="AB11" s="99">
        <v>0</v>
      </c>
      <c r="AC11" s="99">
        <f t="shared" si="2"/>
        <v>2.925</v>
      </c>
      <c r="AD11" s="274">
        <f t="shared" si="10"/>
        <v>3.4</v>
      </c>
      <c r="AE11" s="275">
        <f>'【国内】问卷调研-数据源（P3单独执行） '!AE11</f>
        <v>12.3038516405136</v>
      </c>
      <c r="AG11" s="276"/>
      <c r="AH11" s="1">
        <v>701</v>
      </c>
      <c r="AI11" s="99">
        <f>'【国内】问卷调研-数据源（P3单独执行） '!AI11</f>
        <v>0</v>
      </c>
      <c r="AJ11" s="99">
        <v>0</v>
      </c>
      <c r="AK11" s="99">
        <f t="shared" si="3"/>
        <v>3.7</v>
      </c>
      <c r="AL11" s="274">
        <f t="shared" si="11"/>
        <v>3.5</v>
      </c>
      <c r="AM11" s="275">
        <f>'【国内】问卷调研-数据源（P3单独执行） '!AM11</f>
        <v>13.8316690442225</v>
      </c>
      <c r="AO11" s="276"/>
      <c r="AP11" s="1">
        <v>701</v>
      </c>
      <c r="AQ11" s="99">
        <f>'【国内】问卷调研-数据源（P3单独执行） '!AQ11</f>
        <v>0</v>
      </c>
      <c r="AR11" s="99">
        <v>0</v>
      </c>
      <c r="AS11" s="99">
        <f t="shared" si="4"/>
        <v>3.98333333333333</v>
      </c>
      <c r="AT11" s="274">
        <f t="shared" si="12"/>
        <v>3.6</v>
      </c>
      <c r="AU11" s="275">
        <f>'【国内】问卷调研-数据源（P3单独执行） '!AU11</f>
        <v>15.3594864479315</v>
      </c>
      <c r="AV11" s="1"/>
      <c r="AW11" s="276"/>
      <c r="AX11" s="1">
        <v>701</v>
      </c>
      <c r="AY11" s="99">
        <f>'【国内】问卷调研-数据源（P3单独执行） '!AY11</f>
        <v>0</v>
      </c>
      <c r="AZ11" s="99">
        <f>'【国内】问卷调研-数据源（P3单独执行） '!BA11*0.4</f>
        <v>0.68</v>
      </c>
      <c r="BA11" s="99">
        <f t="shared" si="5"/>
        <v>2.34</v>
      </c>
      <c r="BB11" s="274">
        <f t="shared" si="13"/>
        <v>3.7</v>
      </c>
      <c r="BC11" s="275">
        <f>'【国内】问卷调研-数据源（P3单独执行） '!BC11</f>
        <v>16.8873038516405</v>
      </c>
    </row>
    <row r="12" spans="1:55">
      <c r="A12" s="1" t="s">
        <v>112</v>
      </c>
      <c r="B12" s="1">
        <v>901</v>
      </c>
      <c r="C12" s="99">
        <v>0</v>
      </c>
      <c r="D12" s="99">
        <v>0</v>
      </c>
      <c r="E12" s="99">
        <f t="shared" si="6"/>
        <v>3.575</v>
      </c>
      <c r="F12" s="274">
        <f t="shared" si="7"/>
        <v>3.6</v>
      </c>
      <c r="G12" s="275">
        <f>'【国内】问卷调研-数据源（P3单独执行） '!G12</f>
        <v>7.96004439511654</v>
      </c>
      <c r="H12" s="1">
        <v>18</v>
      </c>
      <c r="I12" s="276"/>
      <c r="J12" s="1">
        <v>901</v>
      </c>
      <c r="K12" s="99">
        <v>0</v>
      </c>
      <c r="L12" s="99">
        <v>0</v>
      </c>
      <c r="M12" s="99">
        <f t="shared" si="0"/>
        <v>3.85833333333333</v>
      </c>
      <c r="N12" s="274">
        <f t="shared" si="8"/>
        <v>3.7</v>
      </c>
      <c r="O12" s="275">
        <f>'【国内】问卷调研-数据源（P3单独执行） '!O12</f>
        <v>9.37069922308546</v>
      </c>
      <c r="P12" s="1">
        <v>18</v>
      </c>
      <c r="Q12" s="276"/>
      <c r="R12" s="1">
        <v>901</v>
      </c>
      <c r="S12" s="99">
        <v>0</v>
      </c>
      <c r="T12" s="99">
        <v>0</v>
      </c>
      <c r="U12" s="99">
        <f t="shared" si="1"/>
        <v>4.14166666666667</v>
      </c>
      <c r="V12" s="274">
        <f t="shared" si="9"/>
        <v>3.8</v>
      </c>
      <c r="W12" s="275">
        <f>'【国内】问卷调研-数据源（P3单独执行） '!W12</f>
        <v>10.7813540510544</v>
      </c>
      <c r="X12" s="1">
        <v>18</v>
      </c>
      <c r="Y12" s="276"/>
      <c r="Z12" s="1">
        <v>901</v>
      </c>
      <c r="AA12" s="99">
        <v>0</v>
      </c>
      <c r="AB12" s="99">
        <v>0</v>
      </c>
      <c r="AC12" s="99">
        <f t="shared" si="2"/>
        <v>4.425</v>
      </c>
      <c r="AD12" s="274">
        <f t="shared" si="10"/>
        <v>3.9</v>
      </c>
      <c r="AE12" s="275">
        <f>'【国内】问卷调研-数据源（P3单独执行） '!AE12</f>
        <v>12.1920088790233</v>
      </c>
      <c r="AG12" s="276"/>
      <c r="AH12" s="1">
        <v>901</v>
      </c>
      <c r="AI12" s="99">
        <f>'【国内】问卷调研-数据源（P3单独执行） '!AI12</f>
        <v>0</v>
      </c>
      <c r="AJ12" s="99">
        <v>0</v>
      </c>
      <c r="AK12" s="99">
        <f t="shared" si="3"/>
        <v>4.70833333333333</v>
      </c>
      <c r="AL12" s="274">
        <f t="shared" si="11"/>
        <v>4</v>
      </c>
      <c r="AM12" s="275">
        <f>'【国内】问卷调研-数据源（P3单独执行） '!AM12</f>
        <v>13.6026637069922</v>
      </c>
      <c r="AO12" s="276"/>
      <c r="AP12" s="1">
        <v>901</v>
      </c>
      <c r="AQ12" s="99">
        <f>'【国内】问卷调研-数据源（P3单独执行） '!AQ12</f>
        <v>0</v>
      </c>
      <c r="AR12" s="99">
        <v>0</v>
      </c>
      <c r="AS12" s="99">
        <f t="shared" si="4"/>
        <v>4.99166666666667</v>
      </c>
      <c r="AT12" s="274">
        <f t="shared" si="12"/>
        <v>4.1</v>
      </c>
      <c r="AU12" s="275">
        <f>'【国内】问卷调研-数据源（P3单独执行） '!AU12</f>
        <v>15.0133185349612</v>
      </c>
      <c r="AV12" s="1"/>
      <c r="AW12" s="276"/>
      <c r="AX12" s="1">
        <v>901</v>
      </c>
      <c r="AY12" s="99">
        <f>'【国内】问卷调研-数据源（P3单独执行） '!AY12</f>
        <v>0</v>
      </c>
      <c r="AZ12" s="99">
        <f>'【国内】问卷调研-数据源（P3单独执行） '!BA12*0.4</f>
        <v>0.84</v>
      </c>
      <c r="BA12" s="99">
        <f t="shared" si="5"/>
        <v>2.895</v>
      </c>
      <c r="BB12" s="274">
        <f t="shared" si="13"/>
        <v>4.2</v>
      </c>
      <c r="BC12" s="275">
        <f>'【国内】问卷调研-数据源（P3单独执行） '!BC12</f>
        <v>16.4239733629301</v>
      </c>
    </row>
    <row r="13" spans="1:55">
      <c r="A13" s="1" t="s">
        <v>113</v>
      </c>
      <c r="B13" s="1">
        <v>1001</v>
      </c>
      <c r="C13" s="99">
        <v>0.1</v>
      </c>
      <c r="D13" s="99">
        <v>0</v>
      </c>
      <c r="E13" s="99">
        <f t="shared" si="6"/>
        <v>4.05833333333333</v>
      </c>
      <c r="F13" s="274">
        <f t="shared" si="7"/>
        <v>4.1</v>
      </c>
      <c r="G13" s="275">
        <f>'【国内】问卷调研-数据源（P3单独执行） '!G13</f>
        <v>8.68331668331668</v>
      </c>
      <c r="H13" s="1">
        <v>18</v>
      </c>
      <c r="I13" s="276"/>
      <c r="J13" s="1">
        <v>1001</v>
      </c>
      <c r="K13" s="99">
        <v>0.1</v>
      </c>
      <c r="L13" s="99">
        <v>0</v>
      </c>
      <c r="M13" s="99">
        <f t="shared" si="0"/>
        <v>4.34166666666667</v>
      </c>
      <c r="N13" s="274">
        <f t="shared" si="8"/>
        <v>4.2</v>
      </c>
      <c r="O13" s="275">
        <f>'【国内】问卷调研-数据源（P3单独执行） '!O13</f>
        <v>10.0529470529471</v>
      </c>
      <c r="P13" s="1">
        <v>18</v>
      </c>
      <c r="Q13" s="276"/>
      <c r="R13" s="1">
        <v>1001</v>
      </c>
      <c r="S13" s="99">
        <v>0.1</v>
      </c>
      <c r="T13" s="99">
        <v>0</v>
      </c>
      <c r="U13" s="99">
        <f t="shared" si="1"/>
        <v>4.625</v>
      </c>
      <c r="V13" s="274">
        <f t="shared" si="9"/>
        <v>4.3</v>
      </c>
      <c r="W13" s="275">
        <f>'【国内】问卷调研-数据源（P3单独执行） '!W13</f>
        <v>11.4225774225774</v>
      </c>
      <c r="X13" s="1">
        <v>18</v>
      </c>
      <c r="Y13" s="276"/>
      <c r="Z13" s="1">
        <v>1001</v>
      </c>
      <c r="AA13" s="99">
        <v>0.1</v>
      </c>
      <c r="AB13" s="99">
        <v>0</v>
      </c>
      <c r="AC13" s="99">
        <f t="shared" si="2"/>
        <v>4.90833333333333</v>
      </c>
      <c r="AD13" s="274">
        <f t="shared" si="10"/>
        <v>4.4</v>
      </c>
      <c r="AE13" s="275">
        <f>'【国内】问卷调研-数据源（P3单独执行） '!AE13</f>
        <v>12.7922077922078</v>
      </c>
      <c r="AG13" s="276"/>
      <c r="AH13" s="1">
        <v>1001</v>
      </c>
      <c r="AI13" s="99">
        <f>'【国内】问卷调研-数据源（P3单独执行） '!AI13</f>
        <v>0</v>
      </c>
      <c r="AJ13" s="99">
        <v>0</v>
      </c>
      <c r="AK13" s="99">
        <f t="shared" si="3"/>
        <v>5.68333333333333</v>
      </c>
      <c r="AL13" s="274">
        <f t="shared" si="11"/>
        <v>4.5</v>
      </c>
      <c r="AM13" s="275">
        <f>'【国内】问卷调研-数据源（P3单独执行） '!AM13</f>
        <v>14.1618381618382</v>
      </c>
      <c r="AO13" s="276"/>
      <c r="AP13" s="1">
        <v>1001</v>
      </c>
      <c r="AQ13" s="99">
        <f>'【国内】问卷调研-数据源（P3单独执行） '!AQ13</f>
        <v>0</v>
      </c>
      <c r="AR13" s="99">
        <v>0</v>
      </c>
      <c r="AS13" s="99">
        <f t="shared" si="4"/>
        <v>5.96666666666667</v>
      </c>
      <c r="AT13" s="274">
        <f t="shared" si="12"/>
        <v>4.6</v>
      </c>
      <c r="AU13" s="275">
        <f>'【国内】问卷调研-数据源（P3单独执行） '!AU13</f>
        <v>15.5314685314685</v>
      </c>
      <c r="AV13" s="1"/>
      <c r="AW13" s="276"/>
      <c r="AX13" s="1">
        <v>1001</v>
      </c>
      <c r="AY13" s="99">
        <f>'【国内】问卷调研-数据源（P3单独执行） '!AY13</f>
        <v>0</v>
      </c>
      <c r="AZ13" s="99">
        <f>'【国内】问卷调研-数据源（P3单独执行） '!BA13*0.4</f>
        <v>0.96</v>
      </c>
      <c r="BA13" s="99">
        <f t="shared" si="5"/>
        <v>3.53</v>
      </c>
      <c r="BB13" s="274">
        <f t="shared" si="13"/>
        <v>4.7</v>
      </c>
      <c r="BC13" s="275">
        <f>'【国内】问卷调研-数据源（P3单独执行） '!BC13</f>
        <v>16.9010989010989</v>
      </c>
    </row>
    <row r="14" spans="1:55">
      <c r="A14" s="1" t="s">
        <v>114</v>
      </c>
      <c r="B14" s="1">
        <v>1201</v>
      </c>
      <c r="C14" s="99">
        <v>0.1</v>
      </c>
      <c r="D14" s="99">
        <v>0</v>
      </c>
      <c r="E14" s="99">
        <f t="shared" si="6"/>
        <v>4.21666666666667</v>
      </c>
      <c r="F14" s="274">
        <f t="shared" si="7"/>
        <v>4.6</v>
      </c>
      <c r="G14" s="275">
        <f>'【国内】问卷调研-数据源（P3单独执行） '!G14</f>
        <v>7.85345545378851</v>
      </c>
      <c r="H14" s="1">
        <v>18</v>
      </c>
      <c r="I14" s="276"/>
      <c r="J14" s="1">
        <v>1201</v>
      </c>
      <c r="K14" s="99">
        <v>0.1</v>
      </c>
      <c r="L14" s="99">
        <v>0</v>
      </c>
      <c r="M14" s="99">
        <f t="shared" si="0"/>
        <v>4.5</v>
      </c>
      <c r="N14" s="274">
        <f t="shared" si="8"/>
        <v>4.7</v>
      </c>
      <c r="O14" s="275">
        <f>'【国内】问卷调研-数据源（P3单独执行） '!O14</f>
        <v>9.16153205661948</v>
      </c>
      <c r="P14" s="1">
        <v>18</v>
      </c>
      <c r="Q14" s="276"/>
      <c r="R14" s="1">
        <v>1201</v>
      </c>
      <c r="S14" s="99">
        <v>0.1</v>
      </c>
      <c r="T14" s="99">
        <v>0</v>
      </c>
      <c r="U14" s="99">
        <f t="shared" si="1"/>
        <v>4.78333333333333</v>
      </c>
      <c r="V14" s="274">
        <f t="shared" si="9"/>
        <v>4.8</v>
      </c>
      <c r="W14" s="275">
        <f>'【国内】问卷调研-数据源（P3单独执行） '!W14</f>
        <v>10.4696086594505</v>
      </c>
      <c r="X14" s="1">
        <v>18</v>
      </c>
      <c r="Y14" s="276"/>
      <c r="Z14" s="1">
        <v>1201</v>
      </c>
      <c r="AA14" s="99">
        <v>0.1</v>
      </c>
      <c r="AB14" s="99">
        <v>0</v>
      </c>
      <c r="AC14" s="99">
        <f t="shared" si="2"/>
        <v>5.06666666666667</v>
      </c>
      <c r="AD14" s="274">
        <f t="shared" si="10"/>
        <v>4.9</v>
      </c>
      <c r="AE14" s="275">
        <f>'【国内】问卷调研-数据源（P3单独执行） '!AE14</f>
        <v>11.7776852622814</v>
      </c>
      <c r="AG14" s="276"/>
      <c r="AH14" s="1">
        <v>1201</v>
      </c>
      <c r="AI14" s="99">
        <f>'【国内】问卷调研-数据源（P3单独执行） '!AI14</f>
        <v>0</v>
      </c>
      <c r="AJ14" s="99">
        <v>0</v>
      </c>
      <c r="AK14" s="99">
        <f t="shared" si="3"/>
        <v>5.84166666666667</v>
      </c>
      <c r="AL14" s="274">
        <f t="shared" si="11"/>
        <v>5</v>
      </c>
      <c r="AM14" s="275">
        <f>'【国内】问卷调研-数据源（P3单独执行） '!AM14</f>
        <v>13.0857618651124</v>
      </c>
      <c r="AO14" s="276"/>
      <c r="AP14" s="1">
        <v>1201</v>
      </c>
      <c r="AQ14" s="99">
        <f>'【国内】问卷调研-数据源（P3单独执行） '!AQ14</f>
        <v>0</v>
      </c>
      <c r="AR14" s="99">
        <v>0</v>
      </c>
      <c r="AS14" s="99">
        <f t="shared" si="4"/>
        <v>6.125</v>
      </c>
      <c r="AT14" s="274">
        <f t="shared" si="12"/>
        <v>5.1</v>
      </c>
      <c r="AU14" s="275">
        <f>'【国内】问卷调研-数据源（P3单独执行） '!AU14</f>
        <v>14.3938384679434</v>
      </c>
      <c r="AV14" s="1"/>
      <c r="AW14" s="276"/>
      <c r="AX14" s="1">
        <v>1201</v>
      </c>
      <c r="AY14" s="99">
        <f>'【国内】问卷调研-数据源（P3单独执行） '!AY14</f>
        <v>0</v>
      </c>
      <c r="AZ14" s="99">
        <f>'【国内】问卷调研-数据源（P3单独执行） '!BA14*0.4</f>
        <v>1</v>
      </c>
      <c r="BA14" s="99">
        <f t="shared" si="5"/>
        <v>3.575</v>
      </c>
      <c r="BB14" s="274">
        <f t="shared" si="13"/>
        <v>5.2</v>
      </c>
      <c r="BC14" s="275">
        <f>'【国内】问卷调研-数据源（P3单独执行） '!BC14</f>
        <v>15.7019150707744</v>
      </c>
    </row>
    <row r="15" spans="1:55">
      <c r="A15" s="1" t="s">
        <v>115</v>
      </c>
      <c r="B15" s="1">
        <v>1401</v>
      </c>
      <c r="C15" s="99">
        <v>0.105</v>
      </c>
      <c r="D15" s="99">
        <v>0</v>
      </c>
      <c r="E15" s="99">
        <f t="shared" si="6"/>
        <v>4.35041666666667</v>
      </c>
      <c r="F15" s="274">
        <f t="shared" si="7"/>
        <v>5.1</v>
      </c>
      <c r="G15" s="275">
        <f>'【国内】问卷调研-数据源（P3单独执行） '!G15</f>
        <v>7.26052819414704</v>
      </c>
      <c r="H15" s="1">
        <v>18</v>
      </c>
      <c r="I15" s="276"/>
      <c r="J15" s="1">
        <v>1401</v>
      </c>
      <c r="K15" s="99">
        <v>0.105</v>
      </c>
      <c r="L15" s="99">
        <v>0</v>
      </c>
      <c r="M15" s="99">
        <f t="shared" si="0"/>
        <v>4.63375</v>
      </c>
      <c r="N15" s="274">
        <f t="shared" si="8"/>
        <v>5.2</v>
      </c>
      <c r="O15" s="275">
        <f>'【国内】问卷调研-数据源（P3单独执行） '!O15</f>
        <v>8.52462526766595</v>
      </c>
      <c r="P15" s="1">
        <v>18</v>
      </c>
      <c r="Q15" s="276"/>
      <c r="R15" s="1">
        <v>1401</v>
      </c>
      <c r="S15" s="99">
        <v>0.105</v>
      </c>
      <c r="T15" s="99">
        <v>0</v>
      </c>
      <c r="U15" s="99">
        <f t="shared" si="1"/>
        <v>4.91708333333334</v>
      </c>
      <c r="V15" s="274">
        <f t="shared" si="9"/>
        <v>5.3</v>
      </c>
      <c r="W15" s="275">
        <f>'【国内】问卷调研-数据源（P3单独执行） '!W15</f>
        <v>9.78872234118487</v>
      </c>
      <c r="X15" s="1">
        <v>18</v>
      </c>
      <c r="Y15" s="276"/>
      <c r="Z15" s="1">
        <v>1401</v>
      </c>
      <c r="AA15" s="99">
        <v>0.105</v>
      </c>
      <c r="AB15" s="99">
        <v>0</v>
      </c>
      <c r="AC15" s="99">
        <f t="shared" si="2"/>
        <v>5.20041666666667</v>
      </c>
      <c r="AD15" s="274">
        <f t="shared" si="10"/>
        <v>5.4</v>
      </c>
      <c r="AE15" s="275">
        <f>'【国内】问卷调研-数据源（P3单独执行） '!AE15</f>
        <v>11.0528194147038</v>
      </c>
      <c r="AG15" s="276"/>
      <c r="AH15" s="1">
        <v>1401</v>
      </c>
      <c r="AI15" s="99">
        <f>'【国内】问卷调研-数据源（P3单独执行） '!AI15*1.05</f>
        <v>0</v>
      </c>
      <c r="AJ15" s="99">
        <v>0</v>
      </c>
      <c r="AK15" s="99">
        <f t="shared" si="3"/>
        <v>6</v>
      </c>
      <c r="AL15" s="274">
        <f t="shared" si="11"/>
        <v>5.5</v>
      </c>
      <c r="AM15" s="275">
        <f>'【国内】问卷调研-数据源（P3单独执行） '!AM15</f>
        <v>12.3169164882227</v>
      </c>
      <c r="AO15" s="276"/>
      <c r="AP15" s="1">
        <v>1401</v>
      </c>
      <c r="AQ15" s="99">
        <f>'【国内】问卷调研-数据源（P3单独执行） '!AQ15*1.05</f>
        <v>0</v>
      </c>
      <c r="AR15" s="99">
        <v>0</v>
      </c>
      <c r="AS15" s="99">
        <f t="shared" si="4"/>
        <v>6.28333333333333</v>
      </c>
      <c r="AT15" s="274">
        <f t="shared" si="12"/>
        <v>5.6</v>
      </c>
      <c r="AU15" s="275">
        <f>'【国内】问卷调研-数据源（P3单独执行） '!AU15</f>
        <v>13.5810135617416</v>
      </c>
      <c r="AV15" s="1"/>
      <c r="AW15" s="276"/>
      <c r="AX15" s="1">
        <v>1401</v>
      </c>
      <c r="AY15" s="99">
        <f>'【国内】问卷调研-数据源（P3单独执行） '!AY15*1.05</f>
        <v>0</v>
      </c>
      <c r="AZ15" s="99">
        <f>'【国内】问卷调研-数据源（P3单独执行） '!BA15*0.6</f>
        <v>1.56</v>
      </c>
      <c r="BA15" s="99">
        <f t="shared" si="5"/>
        <v>2.14666666666667</v>
      </c>
      <c r="BB15" s="274">
        <f t="shared" si="13"/>
        <v>5.7</v>
      </c>
      <c r="BC15" s="275">
        <f>'【国内】问卷调研-数据源（P3单独执行） '!BC15</f>
        <v>14.8451106352605</v>
      </c>
    </row>
    <row r="16" spans="1:55">
      <c r="A16" s="1" t="s">
        <v>116</v>
      </c>
      <c r="B16" s="1">
        <v>1601</v>
      </c>
      <c r="C16" s="99">
        <v>0.105</v>
      </c>
      <c r="D16" s="99">
        <v>0</v>
      </c>
      <c r="E16" s="99">
        <f t="shared" si="6"/>
        <v>4.84208333333333</v>
      </c>
      <c r="F16" s="274">
        <f t="shared" si="7"/>
        <v>5.4</v>
      </c>
      <c r="G16" s="275">
        <f>'【国内】问卷调研-数据源（P3单独执行） '!G16</f>
        <v>7.02810743285447</v>
      </c>
      <c r="H16" s="1">
        <v>18</v>
      </c>
      <c r="I16" s="276"/>
      <c r="J16" s="1">
        <v>1601</v>
      </c>
      <c r="K16" s="99">
        <v>0.105</v>
      </c>
      <c r="L16" s="99">
        <v>0</v>
      </c>
      <c r="M16" s="99">
        <f t="shared" si="0"/>
        <v>5.12541666666667</v>
      </c>
      <c r="N16" s="274">
        <f t="shared" si="8"/>
        <v>5.5</v>
      </c>
      <c r="O16" s="275">
        <f>'【国内】问卷调研-数据源（P3单独执行） '!O16</f>
        <v>8.25921299188007</v>
      </c>
      <c r="P16" s="1">
        <v>18</v>
      </c>
      <c r="Q16" s="276"/>
      <c r="R16" s="1">
        <v>1601</v>
      </c>
      <c r="S16" s="99">
        <v>0.105</v>
      </c>
      <c r="T16" s="99">
        <v>0</v>
      </c>
      <c r="U16" s="99">
        <f t="shared" si="1"/>
        <v>5.40875</v>
      </c>
      <c r="V16" s="274">
        <f t="shared" si="9"/>
        <v>5.6</v>
      </c>
      <c r="W16" s="275">
        <f>'【国内】问卷调研-数据源（P3单独执行） '!W16</f>
        <v>9.49031855090568</v>
      </c>
      <c r="X16" s="1">
        <v>18</v>
      </c>
      <c r="Y16" s="276"/>
      <c r="Z16" s="1">
        <v>1601</v>
      </c>
      <c r="AA16" s="99">
        <v>0.105</v>
      </c>
      <c r="AB16" s="99">
        <v>0</v>
      </c>
      <c r="AC16" s="99">
        <f t="shared" si="2"/>
        <v>5.69208333333333</v>
      </c>
      <c r="AD16" s="274">
        <f t="shared" si="10"/>
        <v>5.7</v>
      </c>
      <c r="AE16" s="275">
        <f>'【国内】问卷调研-数据源（P3单独执行） '!AE16</f>
        <v>10.7214241099313</v>
      </c>
      <c r="AG16" s="276"/>
      <c r="AH16" s="1">
        <v>1601</v>
      </c>
      <c r="AI16" s="99">
        <f>'【国内】问卷调研-数据源（P3单独执行） '!AI16*1.05</f>
        <v>0</v>
      </c>
      <c r="AJ16" s="99">
        <v>0</v>
      </c>
      <c r="AK16" s="99">
        <f t="shared" si="3"/>
        <v>6.49166666666667</v>
      </c>
      <c r="AL16" s="274">
        <f t="shared" si="11"/>
        <v>5.8</v>
      </c>
      <c r="AM16" s="275">
        <f>'【国内】问卷调研-数据源（P3单独执行） '!AM16</f>
        <v>11.9525296689569</v>
      </c>
      <c r="AO16" s="276"/>
      <c r="AP16" s="1">
        <v>1601</v>
      </c>
      <c r="AQ16" s="99">
        <f>'【国内】问卷调研-数据源（P3单独执行） '!AQ16*1.05</f>
        <v>0</v>
      </c>
      <c r="AR16" s="99">
        <v>0</v>
      </c>
      <c r="AS16" s="99">
        <f t="shared" si="4"/>
        <v>6.775</v>
      </c>
      <c r="AT16" s="274">
        <f t="shared" si="12"/>
        <v>5.9</v>
      </c>
      <c r="AU16" s="275">
        <f>'【国内】问卷调研-数据源（P3单独执行） '!AU16</f>
        <v>13.1836352279825</v>
      </c>
      <c r="AV16" s="1"/>
      <c r="AW16" s="276"/>
      <c r="AX16" s="1">
        <v>1601</v>
      </c>
      <c r="AY16" s="99">
        <f>'【国内】问卷调研-数据源（P3单独执行） '!AY16*1.05</f>
        <v>0</v>
      </c>
      <c r="AZ16" s="99">
        <f>'【国内】问卷调研-数据源（P3单独执行） '!BA16*0.6</f>
        <v>1.68</v>
      </c>
      <c r="BA16" s="99">
        <f t="shared" si="5"/>
        <v>2.29833333333333</v>
      </c>
      <c r="BB16" s="274">
        <f t="shared" si="13"/>
        <v>6</v>
      </c>
      <c r="BC16" s="275">
        <f>'【国内】问卷调研-数据源（P3单独执行） '!BC16</f>
        <v>14.4147407870081</v>
      </c>
    </row>
    <row r="17" spans="1:55">
      <c r="A17" s="1" t="s">
        <v>117</v>
      </c>
      <c r="B17" s="1">
        <v>1801</v>
      </c>
      <c r="C17" s="99">
        <v>0.105</v>
      </c>
      <c r="D17" s="99">
        <v>0</v>
      </c>
      <c r="E17" s="99">
        <f t="shared" si="6"/>
        <v>5.40875</v>
      </c>
      <c r="F17" s="274">
        <f t="shared" si="7"/>
        <v>5.4</v>
      </c>
      <c r="G17" s="275">
        <f>'【国内】问卷调研-数据源（P3单独执行） '!G17</f>
        <v>6.84730705163798</v>
      </c>
      <c r="H17" s="1">
        <v>18</v>
      </c>
      <c r="I17" s="276"/>
      <c r="J17" s="1">
        <v>1801</v>
      </c>
      <c r="K17" s="99">
        <v>0.105</v>
      </c>
      <c r="L17" s="99">
        <v>0</v>
      </c>
      <c r="M17" s="99">
        <f t="shared" si="0"/>
        <v>5.69208333333333</v>
      </c>
      <c r="N17" s="274">
        <f t="shared" si="8"/>
        <v>5.5</v>
      </c>
      <c r="O17" s="275">
        <f>'【国内】问卷调研-数据源（P3单独执行） '!O17</f>
        <v>8.05274847307052</v>
      </c>
      <c r="P17" s="1">
        <v>18</v>
      </c>
      <c r="Q17" s="276"/>
      <c r="R17" s="1">
        <v>1801</v>
      </c>
      <c r="S17" s="99">
        <v>0.105</v>
      </c>
      <c r="T17" s="99">
        <v>0</v>
      </c>
      <c r="U17" s="99">
        <f t="shared" si="1"/>
        <v>5.97541666666667</v>
      </c>
      <c r="V17" s="274">
        <f t="shared" si="9"/>
        <v>5.6</v>
      </c>
      <c r="W17" s="275">
        <f>'【国内】问卷调研-数据源（P3单独执行） '!W17</f>
        <v>9.25818989450305</v>
      </c>
      <c r="X17" s="1">
        <v>18</v>
      </c>
      <c r="Y17" s="276"/>
      <c r="Z17" s="1">
        <v>1801</v>
      </c>
      <c r="AA17" s="99">
        <v>0.105</v>
      </c>
      <c r="AB17" s="99">
        <v>0</v>
      </c>
      <c r="AC17" s="99">
        <f t="shared" si="2"/>
        <v>6.25875</v>
      </c>
      <c r="AD17" s="274">
        <f t="shared" si="10"/>
        <v>5.7</v>
      </c>
      <c r="AE17" s="275">
        <f>'【国内】问卷调研-数据源（P3单独执行） '!AE17</f>
        <v>10.4636313159356</v>
      </c>
      <c r="AG17" s="276"/>
      <c r="AH17" s="1">
        <v>1801</v>
      </c>
      <c r="AI17" s="99">
        <f>'【国内】问卷调研-数据源（P3单独执行） '!AI17*1.05</f>
        <v>0</v>
      </c>
      <c r="AJ17" s="99">
        <v>0</v>
      </c>
      <c r="AK17" s="99">
        <f t="shared" si="3"/>
        <v>7.05833333333333</v>
      </c>
      <c r="AL17" s="274">
        <f t="shared" si="11"/>
        <v>5.8</v>
      </c>
      <c r="AM17" s="275">
        <f>'【国内】问卷调研-数据源（P3单独执行） '!AM17</f>
        <v>11.6690727373681</v>
      </c>
      <c r="AO17" s="276"/>
      <c r="AP17" s="1">
        <v>1801</v>
      </c>
      <c r="AQ17" s="99">
        <f>'【国内】问卷调研-数据源（P3单独执行） '!AQ17*1.05</f>
        <v>0</v>
      </c>
      <c r="AR17" s="99">
        <v>0</v>
      </c>
      <c r="AS17" s="99">
        <f t="shared" si="4"/>
        <v>7.34166666666667</v>
      </c>
      <c r="AT17" s="274">
        <f t="shared" si="12"/>
        <v>5.9</v>
      </c>
      <c r="AU17" s="275">
        <f>'【国内】问卷调研-数据源（P3单独执行） '!AU17</f>
        <v>12.8745141588007</v>
      </c>
      <c r="AV17" s="1"/>
      <c r="AW17" s="276"/>
      <c r="AX17" s="1">
        <v>1801</v>
      </c>
      <c r="AY17" s="99">
        <f>'【国内】问卷调研-数据源（P3单独执行） '!AY17*1.05</f>
        <v>0</v>
      </c>
      <c r="AZ17" s="99">
        <f>'【国内】问卷调研-数据源（P3单独执行） '!BA17*0.6</f>
        <v>1.8</v>
      </c>
      <c r="BA17" s="99">
        <f t="shared" si="5"/>
        <v>2.525</v>
      </c>
      <c r="BB17" s="274">
        <f t="shared" si="13"/>
        <v>6</v>
      </c>
      <c r="BC17" s="275">
        <f>'【国内】问卷调研-数据源（P3单独执行） '!BC17</f>
        <v>14.0799555802332</v>
      </c>
    </row>
    <row r="18" spans="1:55">
      <c r="A18" s="1" t="s">
        <v>118</v>
      </c>
      <c r="B18" s="1">
        <v>2001</v>
      </c>
      <c r="C18" s="99">
        <v>0.21</v>
      </c>
      <c r="D18" s="99">
        <v>0</v>
      </c>
      <c r="E18" s="99">
        <f t="shared" si="6"/>
        <v>5.6175</v>
      </c>
      <c r="F18" s="274">
        <f t="shared" si="7"/>
        <v>5.6</v>
      </c>
      <c r="G18" s="275">
        <f>'【国内】问卷调研-数据源（P3单独执行） '!G18</f>
        <v>6.82758620689655</v>
      </c>
      <c r="H18" s="1">
        <v>18</v>
      </c>
      <c r="I18" s="276"/>
      <c r="J18" s="1">
        <v>2001</v>
      </c>
      <c r="K18" s="99">
        <v>0.21</v>
      </c>
      <c r="L18" s="99">
        <v>0</v>
      </c>
      <c r="M18" s="99">
        <f t="shared" si="0"/>
        <v>5.90083333333333</v>
      </c>
      <c r="N18" s="274">
        <f t="shared" si="8"/>
        <v>5.7</v>
      </c>
      <c r="O18" s="275">
        <f>'【国内】问卷调研-数据源（P3单独执行） '!O18</f>
        <v>8.01249375312344</v>
      </c>
      <c r="P18" s="1">
        <v>18</v>
      </c>
      <c r="Q18" s="276"/>
      <c r="R18" s="1">
        <v>2001</v>
      </c>
      <c r="S18" s="99">
        <v>0.21</v>
      </c>
      <c r="T18" s="99">
        <v>0</v>
      </c>
      <c r="U18" s="99">
        <f t="shared" si="1"/>
        <v>6.18416666666667</v>
      </c>
      <c r="V18" s="274">
        <f t="shared" si="9"/>
        <v>5.8</v>
      </c>
      <c r="W18" s="275">
        <f>'【国内】问卷调研-数据源（P3单独执行） '!W18</f>
        <v>9.19740129935033</v>
      </c>
      <c r="X18" s="1">
        <v>18</v>
      </c>
      <c r="Y18" s="276"/>
      <c r="Z18" s="1">
        <v>2001</v>
      </c>
      <c r="AA18" s="99">
        <v>0.21</v>
      </c>
      <c r="AB18" s="99">
        <v>0</v>
      </c>
      <c r="AC18" s="99">
        <f t="shared" si="2"/>
        <v>6.4675</v>
      </c>
      <c r="AD18" s="274">
        <f t="shared" si="10"/>
        <v>5.9</v>
      </c>
      <c r="AE18" s="275">
        <f>'【国内】问卷调研-数据源（P3单独执行） '!AE18</f>
        <v>10.3823088455772</v>
      </c>
      <c r="AG18" s="276"/>
      <c r="AH18" s="1">
        <v>2001</v>
      </c>
      <c r="AI18" s="99">
        <f>'【国内】问卷调研-数据源（P3单独执行） '!AI18*1.05</f>
        <v>0.105</v>
      </c>
      <c r="AJ18" s="99">
        <v>0</v>
      </c>
      <c r="AK18" s="99">
        <f t="shared" si="3"/>
        <v>7.26708333333333</v>
      </c>
      <c r="AL18" s="274">
        <f t="shared" si="11"/>
        <v>6</v>
      </c>
      <c r="AM18" s="275">
        <f>'【国内】问卷调研-数据源（P3单独执行） '!AM18</f>
        <v>11.5672163918041</v>
      </c>
      <c r="AO18" s="276"/>
      <c r="AP18" s="1">
        <v>2001</v>
      </c>
      <c r="AQ18" s="99">
        <f>'【国内】问卷调研-数据源（P3单独执行） '!AQ18*1.05</f>
        <v>0.105</v>
      </c>
      <c r="AR18" s="99">
        <v>0</v>
      </c>
      <c r="AS18" s="99">
        <f t="shared" si="4"/>
        <v>7.55041666666667</v>
      </c>
      <c r="AT18" s="274">
        <f t="shared" si="12"/>
        <v>6.1</v>
      </c>
      <c r="AU18" s="275">
        <f>'【国内】问卷调研-数据源（P3单独执行） '!AU18</f>
        <v>12.752123938031</v>
      </c>
      <c r="AV18" s="1"/>
      <c r="AW18" s="276"/>
      <c r="AX18" s="1">
        <v>2001</v>
      </c>
      <c r="AY18" s="99">
        <f>'【国内】问卷调研-数据源（P3单独执行） '!AY18*1.05</f>
        <v>0.105</v>
      </c>
      <c r="AZ18" s="99">
        <f>'【国内】问卷调研-数据源（P3单独执行） '!BA18*0.6</f>
        <v>1.86</v>
      </c>
      <c r="BA18" s="99">
        <f t="shared" si="5"/>
        <v>2.56375</v>
      </c>
      <c r="BB18" s="274">
        <f t="shared" si="13"/>
        <v>6.2</v>
      </c>
      <c r="BC18" s="275">
        <f>'【国内】问卷调研-数据源（P3单独执行） '!BC18</f>
        <v>13.9370314842579</v>
      </c>
    </row>
    <row r="19" spans="1:55">
      <c r="A19" s="1" t="s">
        <v>119</v>
      </c>
      <c r="B19" s="1">
        <v>2201</v>
      </c>
      <c r="C19" s="99">
        <v>0.21</v>
      </c>
      <c r="D19" s="99">
        <v>0</v>
      </c>
      <c r="E19" s="99">
        <f t="shared" si="6"/>
        <v>6.4175</v>
      </c>
      <c r="F19" s="274">
        <f t="shared" si="7"/>
        <v>5.8</v>
      </c>
      <c r="G19" s="275">
        <f>'【国内】问卷调研-数据源（P3单独执行） '!G19</f>
        <v>6.85233984552476</v>
      </c>
      <c r="H19" s="1">
        <v>18</v>
      </c>
      <c r="I19" s="276"/>
      <c r="J19" s="1">
        <v>2201</v>
      </c>
      <c r="K19" s="99">
        <v>0.21</v>
      </c>
      <c r="L19" s="99">
        <v>0</v>
      </c>
      <c r="M19" s="99">
        <f t="shared" si="0"/>
        <v>6.70083333333333</v>
      </c>
      <c r="N19" s="274">
        <f t="shared" si="8"/>
        <v>5.9</v>
      </c>
      <c r="O19" s="275">
        <f>'【国内】问卷调研-数据源（P3单独执行） '!O19</f>
        <v>8.02044525215811</v>
      </c>
      <c r="P19" s="1">
        <v>18</v>
      </c>
      <c r="Q19" s="276"/>
      <c r="R19" s="1">
        <v>2201</v>
      </c>
      <c r="S19" s="99">
        <v>0.21</v>
      </c>
      <c r="T19" s="99">
        <v>0</v>
      </c>
      <c r="U19" s="99">
        <f t="shared" si="1"/>
        <v>6.98416666666667</v>
      </c>
      <c r="V19" s="274">
        <f t="shared" si="9"/>
        <v>6</v>
      </c>
      <c r="W19" s="275">
        <f>'【国内】问卷调研-数据源（P3单独执行） '!W19</f>
        <v>9.18855065879146</v>
      </c>
      <c r="X19" s="1">
        <v>18</v>
      </c>
      <c r="Y19" s="276"/>
      <c r="Z19" s="1">
        <v>2201</v>
      </c>
      <c r="AA19" s="99">
        <v>0.21</v>
      </c>
      <c r="AB19" s="99">
        <v>0</v>
      </c>
      <c r="AC19" s="99">
        <f t="shared" si="2"/>
        <v>7.2675</v>
      </c>
      <c r="AD19" s="274">
        <f t="shared" si="10"/>
        <v>6.1</v>
      </c>
      <c r="AE19" s="275">
        <f>'【国内】问卷调研-数据源（P3单独执行） '!AE19</f>
        <v>10.3566560654248</v>
      </c>
      <c r="AG19" s="276"/>
      <c r="AH19" s="1">
        <v>2201</v>
      </c>
      <c r="AI19" s="99">
        <f>'【国内】问卷调研-数据源（P3单独执行） '!AI19*1.05</f>
        <v>0.105</v>
      </c>
      <c r="AJ19" s="99">
        <v>0</v>
      </c>
      <c r="AK19" s="99">
        <f t="shared" si="3"/>
        <v>8.06708333333333</v>
      </c>
      <c r="AL19" s="274">
        <f t="shared" si="11"/>
        <v>6.2</v>
      </c>
      <c r="AM19" s="275">
        <f>'【国内】问卷调研-数据源（P3单独执行） '!AM19</f>
        <v>11.5247614720582</v>
      </c>
      <c r="AO19" s="276"/>
      <c r="AP19" s="1">
        <v>2201</v>
      </c>
      <c r="AQ19" s="99">
        <f>'【国内】问卷调研-数据源（P3单独执行） '!AQ19*1.05</f>
        <v>0.105</v>
      </c>
      <c r="AR19" s="99">
        <v>0</v>
      </c>
      <c r="AS19" s="99">
        <f t="shared" si="4"/>
        <v>8.35041666666667</v>
      </c>
      <c r="AT19" s="274">
        <f t="shared" si="12"/>
        <v>6.3</v>
      </c>
      <c r="AU19" s="275">
        <f>'【国内】问卷调研-数据源（P3单独执行） '!AU19</f>
        <v>12.6928668786915</v>
      </c>
      <c r="AV19" s="1"/>
      <c r="AW19" s="276"/>
      <c r="AX19" s="1">
        <v>2201</v>
      </c>
      <c r="AY19" s="99">
        <f>'【国内】问卷调研-数据源（P3单独执行） '!AY19*1.05</f>
        <v>0.105</v>
      </c>
      <c r="AZ19" s="99">
        <f>'【国内】问卷调研-数据源（P3单独执行） '!BA19*0.6</f>
        <v>2.04</v>
      </c>
      <c r="BA19" s="99">
        <f t="shared" si="5"/>
        <v>2.85375</v>
      </c>
      <c r="BB19" s="274">
        <f t="shared" si="13"/>
        <v>6.4</v>
      </c>
      <c r="BC19" s="275">
        <f>'【国内】问卷调研-数据源（P3单独执行） '!BC19</f>
        <v>13.8609722853249</v>
      </c>
    </row>
    <row r="20" spans="1:55">
      <c r="A20" s="1" t="s">
        <v>120</v>
      </c>
      <c r="B20" s="1">
        <v>2401</v>
      </c>
      <c r="C20" s="99">
        <v>0.21</v>
      </c>
      <c r="D20" s="99">
        <v>0</v>
      </c>
      <c r="E20" s="99">
        <f t="shared" si="6"/>
        <v>6.67583333333333</v>
      </c>
      <c r="F20" s="274">
        <f t="shared" si="7"/>
        <v>5.9</v>
      </c>
      <c r="G20" s="275">
        <f>'【国内】问卷调研-数据源（P3单独执行） '!G20</f>
        <v>6.58975426905456</v>
      </c>
      <c r="H20" s="1">
        <v>18</v>
      </c>
      <c r="I20" s="276"/>
      <c r="J20" s="1">
        <v>2401</v>
      </c>
      <c r="K20" s="99">
        <v>0.21</v>
      </c>
      <c r="L20" s="99">
        <v>0</v>
      </c>
      <c r="M20" s="99">
        <f t="shared" si="0"/>
        <v>6.95916666666667</v>
      </c>
      <c r="N20" s="274">
        <f t="shared" si="8"/>
        <v>6</v>
      </c>
      <c r="O20" s="275">
        <f>'【国内】问卷调研-数据源（P3单独执行） '!O20</f>
        <v>7.74385672636402</v>
      </c>
      <c r="P20" s="1">
        <v>18</v>
      </c>
      <c r="Q20" s="276"/>
      <c r="R20" s="1">
        <v>2401</v>
      </c>
      <c r="S20" s="99">
        <v>0.21</v>
      </c>
      <c r="T20" s="99">
        <v>0</v>
      </c>
      <c r="U20" s="99">
        <f t="shared" si="1"/>
        <v>7.2425</v>
      </c>
      <c r="V20" s="274">
        <f t="shared" si="9"/>
        <v>6.1</v>
      </c>
      <c r="W20" s="275">
        <f>'【国内】问卷调研-数据源（P3单独执行） '!W20</f>
        <v>8.89795918367347</v>
      </c>
      <c r="X20" s="1">
        <v>18</v>
      </c>
      <c r="Y20" s="276"/>
      <c r="Z20" s="1">
        <v>2401</v>
      </c>
      <c r="AA20" s="99">
        <v>0.21</v>
      </c>
      <c r="AB20" s="99">
        <v>0</v>
      </c>
      <c r="AC20" s="99">
        <f t="shared" si="2"/>
        <v>7.52583333333333</v>
      </c>
      <c r="AD20" s="274">
        <f t="shared" si="10"/>
        <v>6.2</v>
      </c>
      <c r="AE20" s="275">
        <f>'【国内】问卷调研-数据源（P3单独执行） '!AE20</f>
        <v>10.0520616409829</v>
      </c>
      <c r="AG20" s="276"/>
      <c r="AH20" s="1">
        <v>2401</v>
      </c>
      <c r="AI20" s="99">
        <f>'【国内】问卷调研-数据源（P3单独执行） '!AI20*1.05</f>
        <v>0.105</v>
      </c>
      <c r="AJ20" s="99">
        <v>0</v>
      </c>
      <c r="AK20" s="99">
        <f t="shared" si="3"/>
        <v>8.32541666666667</v>
      </c>
      <c r="AL20" s="274">
        <f t="shared" si="11"/>
        <v>6.3</v>
      </c>
      <c r="AM20" s="275">
        <f>'【国内】问卷调研-数据源（P3单独执行） '!AM20</f>
        <v>11.2061640982924</v>
      </c>
      <c r="AO20" s="276"/>
      <c r="AP20" s="1">
        <v>2401</v>
      </c>
      <c r="AQ20" s="99">
        <f>'【国内】问卷调研-数据源（P3单独执行） '!AQ20*1.05</f>
        <v>0.105</v>
      </c>
      <c r="AR20" s="99">
        <v>0</v>
      </c>
      <c r="AS20" s="99">
        <f t="shared" si="4"/>
        <v>8.60875</v>
      </c>
      <c r="AT20" s="274">
        <f t="shared" si="12"/>
        <v>6.4</v>
      </c>
      <c r="AU20" s="275">
        <f>'【国内】问卷调研-数据源（P3单独执行） '!AU20</f>
        <v>12.3602665556018</v>
      </c>
      <c r="AV20" s="1"/>
      <c r="AW20" s="276"/>
      <c r="AX20" s="1">
        <v>2401</v>
      </c>
      <c r="AY20" s="99">
        <f>'【国内】问卷调研-数据源（P3单独执行） '!AY20*1.05</f>
        <v>0.105</v>
      </c>
      <c r="AZ20" s="99">
        <f>'【国内】问卷调研-数据源（P3单独执行） '!BA20*0.6</f>
        <v>2.1</v>
      </c>
      <c r="BA20" s="99">
        <f t="shared" si="5"/>
        <v>2.94208333333333</v>
      </c>
      <c r="BB20" s="274">
        <f t="shared" si="13"/>
        <v>6.5</v>
      </c>
      <c r="BC20" s="275">
        <f>'【国内】问卷调研-数据源（P3单独执行） '!BC20</f>
        <v>13.5143690129113</v>
      </c>
    </row>
    <row r="21" spans="1:55">
      <c r="A21" s="1" t="s">
        <v>121</v>
      </c>
      <c r="B21" s="1">
        <v>2601</v>
      </c>
      <c r="C21" s="99">
        <v>0.315</v>
      </c>
      <c r="D21" s="99">
        <v>0</v>
      </c>
      <c r="E21" s="99">
        <f t="shared" si="6"/>
        <v>6.41791666666667</v>
      </c>
      <c r="F21" s="274">
        <f t="shared" si="7"/>
        <v>6</v>
      </c>
      <c r="G21" s="275">
        <f>'【国内】问卷调研-数据源（P3单独执行） '!G21</f>
        <v>6.36755094194541</v>
      </c>
      <c r="H21" s="1">
        <v>18</v>
      </c>
      <c r="I21" s="276"/>
      <c r="J21" s="1">
        <v>2601</v>
      </c>
      <c r="K21" s="99">
        <v>0.315</v>
      </c>
      <c r="L21" s="99">
        <v>0</v>
      </c>
      <c r="M21" s="99">
        <f t="shared" si="0"/>
        <v>6.70125</v>
      </c>
      <c r="N21" s="274">
        <f t="shared" si="8"/>
        <v>6.1</v>
      </c>
      <c r="O21" s="275">
        <f>'【国内】问卷调研-数据源（P3单独执行） '!O21</f>
        <v>7.50980392156863</v>
      </c>
      <c r="P21" s="1">
        <v>18</v>
      </c>
      <c r="Q21" s="276"/>
      <c r="R21" s="1">
        <v>2601</v>
      </c>
      <c r="S21" s="99">
        <v>0.315</v>
      </c>
      <c r="T21" s="99">
        <v>0</v>
      </c>
      <c r="U21" s="99">
        <f t="shared" si="1"/>
        <v>6.98458333333334</v>
      </c>
      <c r="V21" s="274">
        <f t="shared" si="9"/>
        <v>6.2</v>
      </c>
      <c r="W21" s="275">
        <f>'【国内】问卷调研-数据源（P3单独执行） '!W21</f>
        <v>8.65205690119185</v>
      </c>
      <c r="X21" s="1">
        <v>18</v>
      </c>
      <c r="Y21" s="276"/>
      <c r="Z21" s="1">
        <v>2601</v>
      </c>
      <c r="AA21" s="99">
        <v>0.315</v>
      </c>
      <c r="AB21" s="99">
        <v>0</v>
      </c>
      <c r="AC21" s="99">
        <f t="shared" si="2"/>
        <v>7.26791666666667</v>
      </c>
      <c r="AD21" s="274">
        <f t="shared" si="10"/>
        <v>6.3</v>
      </c>
      <c r="AE21" s="275">
        <f>'【国内】问卷调研-数据源（P3单独执行） '!AE21</f>
        <v>9.79430988081507</v>
      </c>
      <c r="AG21" s="276"/>
      <c r="AH21" s="1">
        <v>2601</v>
      </c>
      <c r="AI21" s="99">
        <f>'【国内】问卷调研-数据源（P3单独执行） '!AI21*1.05</f>
        <v>0.105</v>
      </c>
      <c r="AJ21" s="99">
        <v>0</v>
      </c>
      <c r="AK21" s="99">
        <f t="shared" si="3"/>
        <v>8.58375</v>
      </c>
      <c r="AL21" s="274">
        <f t="shared" si="11"/>
        <v>6.4</v>
      </c>
      <c r="AM21" s="275">
        <f>'【国内】问卷调研-数据源（P3单独执行） '!AM21</f>
        <v>10.9365628604383</v>
      </c>
      <c r="AO21" s="276"/>
      <c r="AP21" s="1">
        <v>2601</v>
      </c>
      <c r="AQ21" s="99">
        <f>'【国内】问卷调研-数据源（P3单独执行） '!AQ21*1.05</f>
        <v>0.105</v>
      </c>
      <c r="AR21" s="99">
        <v>0</v>
      </c>
      <c r="AS21" s="99">
        <f t="shared" si="4"/>
        <v>8.86708333333333</v>
      </c>
      <c r="AT21" s="274">
        <f t="shared" si="12"/>
        <v>6.5</v>
      </c>
      <c r="AU21" s="275">
        <f>'【国内】问卷调研-数据源（P3单独执行） '!AU21</f>
        <v>12.0788158400615</v>
      </c>
      <c r="AV21" s="1"/>
      <c r="AW21" s="276"/>
      <c r="AX21" s="1">
        <v>2601</v>
      </c>
      <c r="AY21" s="99">
        <f>'【国内】问卷调研-数据源（P3单独执行） '!AY21*1.05</f>
        <v>0.105</v>
      </c>
      <c r="AZ21" s="99">
        <f>'【国内】问卷调研-数据源（P3单独执行） '!BA21*0.6</f>
        <v>2.16</v>
      </c>
      <c r="BA21" s="99">
        <f t="shared" si="5"/>
        <v>3.03041666666667</v>
      </c>
      <c r="BB21" s="274">
        <f t="shared" si="13"/>
        <v>6.6</v>
      </c>
      <c r="BC21" s="275">
        <f>'【国内】问卷调研-数据源（P3单独执行） '!BC21</f>
        <v>13.2210688196847</v>
      </c>
    </row>
    <row r="22" spans="1:55">
      <c r="A22" s="1" t="s">
        <v>122</v>
      </c>
      <c r="B22" s="1">
        <v>2801</v>
      </c>
      <c r="C22" s="99">
        <v>0.315</v>
      </c>
      <c r="D22" s="99">
        <v>0</v>
      </c>
      <c r="E22" s="99">
        <f t="shared" si="6"/>
        <v>7.16791666666667</v>
      </c>
      <c r="F22" s="274">
        <f t="shared" si="7"/>
        <v>6.4</v>
      </c>
      <c r="G22" s="275">
        <f>'【国内】问卷调研-数据源（P3单独执行） '!G22</f>
        <v>6.4198500535523</v>
      </c>
      <c r="H22" s="1">
        <v>18</v>
      </c>
      <c r="I22" s="276"/>
      <c r="J22" s="1">
        <v>2801</v>
      </c>
      <c r="K22" s="99">
        <v>0.315</v>
      </c>
      <c r="L22" s="99">
        <v>0</v>
      </c>
      <c r="M22" s="99">
        <f t="shared" si="0"/>
        <v>7.45125</v>
      </c>
      <c r="N22" s="274">
        <f t="shared" si="8"/>
        <v>6.5</v>
      </c>
      <c r="O22" s="275">
        <f>'【国内】问卷调研-数据源（P3单独执行） '!O22</f>
        <v>7.55194573366655</v>
      </c>
      <c r="P22" s="1">
        <v>18</v>
      </c>
      <c r="Q22" s="276"/>
      <c r="R22" s="1">
        <v>2801</v>
      </c>
      <c r="S22" s="99">
        <v>0.315</v>
      </c>
      <c r="T22" s="99">
        <v>0</v>
      </c>
      <c r="U22" s="99">
        <f t="shared" si="1"/>
        <v>7.73458333333334</v>
      </c>
      <c r="V22" s="274">
        <f t="shared" si="9"/>
        <v>6.6</v>
      </c>
      <c r="W22" s="275">
        <f>'【国内】问卷调研-数据源（P3单独执行） '!W22</f>
        <v>8.68404141378079</v>
      </c>
      <c r="X22" s="1">
        <v>18</v>
      </c>
      <c r="Y22" s="276"/>
      <c r="Z22" s="1">
        <v>2801</v>
      </c>
      <c r="AA22" s="99">
        <v>0.315</v>
      </c>
      <c r="AB22" s="99">
        <v>0</v>
      </c>
      <c r="AC22" s="99">
        <f t="shared" si="2"/>
        <v>8.01791666666667</v>
      </c>
      <c r="AD22" s="274">
        <f t="shared" si="10"/>
        <v>6.7</v>
      </c>
      <c r="AE22" s="275">
        <f>'【国内】问卷调研-数据源（P3单独执行） '!AE22</f>
        <v>9.81613709389504</v>
      </c>
      <c r="AG22" s="276"/>
      <c r="AH22" s="1">
        <v>2801</v>
      </c>
      <c r="AI22" s="99">
        <f>'【国内】问卷调研-数据源（P3单独执行） '!AI22*1.05</f>
        <v>0.105</v>
      </c>
      <c r="AJ22" s="99">
        <v>0</v>
      </c>
      <c r="AK22" s="99">
        <f t="shared" si="3"/>
        <v>9.33375</v>
      </c>
      <c r="AL22" s="274">
        <f t="shared" si="11"/>
        <v>6.8</v>
      </c>
      <c r="AM22" s="275">
        <f>'【国内】问卷调研-数据源（P3单独执行） '!AM22</f>
        <v>10.9482327740093</v>
      </c>
      <c r="AO22" s="276"/>
      <c r="AP22" s="1">
        <v>2801</v>
      </c>
      <c r="AQ22" s="99">
        <f>'【国内】问卷调研-数据源（P3单独执行） '!AQ22*1.05</f>
        <v>0.105</v>
      </c>
      <c r="AR22" s="99">
        <v>0</v>
      </c>
      <c r="AS22" s="99">
        <f t="shared" si="4"/>
        <v>9.61708333333333</v>
      </c>
      <c r="AT22" s="274">
        <f t="shared" si="12"/>
        <v>6.9</v>
      </c>
      <c r="AU22" s="275">
        <f>'【国内】问卷调研-数据源（P3单独执行） '!AU22</f>
        <v>12.0803284541235</v>
      </c>
      <c r="AV22" s="1"/>
      <c r="AW22" s="276"/>
      <c r="AX22" s="1">
        <v>2801</v>
      </c>
      <c r="AY22" s="99">
        <f>'【国内】问卷调研-数据源（P3单独执行） '!AY22*1.05</f>
        <v>0.105</v>
      </c>
      <c r="AZ22" s="99">
        <f>'【国内】问卷调研-数据源（P3单独执行） '!BA22*0.6</f>
        <v>2.34</v>
      </c>
      <c r="BA22" s="99">
        <f t="shared" si="5"/>
        <v>3.27041666666667</v>
      </c>
      <c r="BB22" s="274">
        <f t="shared" si="13"/>
        <v>7</v>
      </c>
      <c r="BC22" s="275">
        <f>'【国内】问卷调研-数据源（P3单独执行） '!BC22</f>
        <v>13.2124241342378</v>
      </c>
    </row>
    <row r="23" spans="1:55">
      <c r="I23" s="269"/>
      <c r="Q23" s="269"/>
      <c r="Y23" s="269"/>
      <c r="AG23" s="269"/>
      <c r="AO23" s="269"/>
      <c r="AW23" s="269"/>
    </row>
    <row r="24" spans="1:55">
      <c r="B24" s="268" t="s">
        <v>91</v>
      </c>
      <c r="C24" s="268" t="s">
        <v>3</v>
      </c>
      <c r="I24" s="269"/>
      <c r="J24" s="268" t="s">
        <v>91</v>
      </c>
      <c r="K24" s="268"/>
      <c r="L24" s="268" t="s">
        <v>3</v>
      </c>
      <c r="Q24" s="269"/>
      <c r="R24" s="268" t="s">
        <v>91</v>
      </c>
      <c r="S24" s="268"/>
      <c r="T24" s="268" t="s">
        <v>3</v>
      </c>
      <c r="Y24" s="269"/>
      <c r="Z24" s="268" t="s">
        <v>91</v>
      </c>
      <c r="AA24" s="268"/>
      <c r="AB24" s="268" t="s">
        <v>3</v>
      </c>
      <c r="AG24" s="269"/>
      <c r="AH24" s="268" t="s">
        <v>91</v>
      </c>
      <c r="AI24" s="268"/>
      <c r="AJ24" s="268" t="s">
        <v>3</v>
      </c>
      <c r="AO24" s="269"/>
      <c r="AP24" s="268" t="s">
        <v>91</v>
      </c>
      <c r="AQ24" s="268"/>
      <c r="AR24" s="268" t="s">
        <v>3</v>
      </c>
      <c r="AW24" s="269"/>
      <c r="AX24" s="268" t="s">
        <v>91</v>
      </c>
      <c r="AY24" s="268"/>
      <c r="AZ24" s="268" t="s">
        <v>3</v>
      </c>
    </row>
    <row r="25" spans="1:55">
      <c r="B25" s="270" t="s">
        <v>92</v>
      </c>
      <c r="C25" s="270" t="s">
        <v>93</v>
      </c>
      <c r="G25" s="272">
        <f>AVERAGE(G30:G45)</f>
        <v>10.5291157099978</v>
      </c>
      <c r="I25" s="269"/>
      <c r="J25" s="270" t="s">
        <v>92</v>
      </c>
      <c r="K25" s="270"/>
      <c r="L25" s="270" t="s">
        <v>94</v>
      </c>
      <c r="Q25" s="269"/>
      <c r="R25" s="270" t="s">
        <v>92</v>
      </c>
      <c r="S25" s="270"/>
      <c r="T25" s="270" t="s">
        <v>95</v>
      </c>
      <c r="Y25" s="269"/>
      <c r="Z25" s="270" t="s">
        <v>92</v>
      </c>
      <c r="AA25" s="270"/>
      <c r="AB25" s="270" t="s">
        <v>96</v>
      </c>
      <c r="AG25" s="269"/>
      <c r="AH25" s="270" t="s">
        <v>92</v>
      </c>
      <c r="AI25" s="270"/>
      <c r="AJ25" s="270" t="s">
        <v>97</v>
      </c>
      <c r="AO25" s="269"/>
      <c r="AP25" s="270" t="s">
        <v>92</v>
      </c>
      <c r="AQ25" s="270"/>
      <c r="AR25" s="270" t="s">
        <v>98</v>
      </c>
      <c r="AW25" s="269"/>
      <c r="AX25" s="270" t="s">
        <v>92</v>
      </c>
      <c r="AY25" s="270"/>
      <c r="AZ25" s="270" t="s">
        <v>99</v>
      </c>
    </row>
    <row r="26" spans="1:55">
      <c r="B26" s="271" t="s">
        <v>100</v>
      </c>
      <c r="C26" s="271"/>
      <c r="D26" s="271">
        <v>3</v>
      </c>
      <c r="F26" s="59"/>
      <c r="G26" s="1" t="s">
        <v>104</v>
      </c>
      <c r="H26" s="269" t="s">
        <v>105</v>
      </c>
      <c r="I26" s="269"/>
      <c r="J26" s="271" t="s">
        <v>100</v>
      </c>
      <c r="K26" s="271"/>
      <c r="L26" s="271">
        <f>L3+1</f>
        <v>4</v>
      </c>
      <c r="N26" s="59"/>
      <c r="O26" s="272">
        <f>AVERAGE(O30:O45)</f>
        <v>12.1897537424383</v>
      </c>
      <c r="P26" s="59"/>
      <c r="Q26" s="269"/>
      <c r="R26" s="271" t="s">
        <v>100</v>
      </c>
      <c r="S26" s="271"/>
      <c r="T26" s="271">
        <f>T3+1</f>
        <v>5</v>
      </c>
      <c r="V26" s="59"/>
      <c r="W26" s="272">
        <f>AVERAGE(W30:W45)</f>
        <v>13.8503917748788</v>
      </c>
      <c r="X26" s="59"/>
      <c r="Y26" s="269"/>
      <c r="Z26" s="271" t="s">
        <v>100</v>
      </c>
      <c r="AA26" s="271"/>
      <c r="AB26" s="271">
        <f>AB3+1</f>
        <v>6</v>
      </c>
      <c r="AD26" s="59"/>
      <c r="AE26" s="272">
        <f>AVERAGE(AE30:AE45)</f>
        <v>15.3006337677153</v>
      </c>
      <c r="AF26" s="59"/>
      <c r="AG26" s="269"/>
      <c r="AH26" s="271" t="s">
        <v>100</v>
      </c>
      <c r="AI26" s="271"/>
      <c r="AJ26" s="271">
        <f>AJ3+1</f>
        <v>7</v>
      </c>
      <c r="AL26" s="59"/>
      <c r="AM26" s="272">
        <f>AVERAGE(AM30:AM45)</f>
        <v>16.9612718001558</v>
      </c>
      <c r="AN26" s="59"/>
      <c r="AO26" s="269"/>
      <c r="AP26" s="271" t="s">
        <v>100</v>
      </c>
      <c r="AQ26" s="271"/>
      <c r="AR26" s="271">
        <f>AR3+1</f>
        <v>8</v>
      </c>
      <c r="AT26" s="273"/>
      <c r="AU26" s="272">
        <f>AVERAGE(AU30:AU45)</f>
        <v>18.6219098325963</v>
      </c>
      <c r="AV26" s="273"/>
      <c r="AW26" s="269"/>
      <c r="AX26" s="271" t="s">
        <v>100</v>
      </c>
      <c r="AY26" s="271"/>
      <c r="AZ26" s="271">
        <f>AZ3+1</f>
        <v>9</v>
      </c>
      <c r="BB26" s="273"/>
      <c r="BC26" s="272">
        <f>AVERAGE(BC30:BC45)</f>
        <v>20.2825478650369</v>
      </c>
    </row>
    <row r="27" spans="1:55">
      <c r="B27" s="1" t="s">
        <v>101</v>
      </c>
      <c r="C27" s="1" t="s">
        <v>8</v>
      </c>
      <c r="D27" s="1" t="s">
        <v>9</v>
      </c>
      <c r="E27" s="1" t="s">
        <v>10</v>
      </c>
      <c r="F27" s="172" t="s">
        <v>103</v>
      </c>
      <c r="I27" s="269"/>
      <c r="J27" s="1" t="s">
        <v>101</v>
      </c>
      <c r="K27" s="1" t="s">
        <v>8</v>
      </c>
      <c r="L27" s="1" t="s">
        <v>9</v>
      </c>
      <c r="M27" s="1" t="s">
        <v>10</v>
      </c>
      <c r="N27" s="172" t="s">
        <v>103</v>
      </c>
      <c r="O27" s="1" t="s">
        <v>104</v>
      </c>
      <c r="Q27" s="269"/>
      <c r="R27" s="1" t="s">
        <v>101</v>
      </c>
      <c r="S27" s="1" t="s">
        <v>8</v>
      </c>
      <c r="T27" s="1" t="s">
        <v>9</v>
      </c>
      <c r="U27" s="1" t="s">
        <v>10</v>
      </c>
      <c r="V27" s="1" t="s">
        <v>103</v>
      </c>
      <c r="W27" s="1" t="s">
        <v>104</v>
      </c>
      <c r="Y27" s="269"/>
      <c r="Z27" s="1" t="s">
        <v>101</v>
      </c>
      <c r="AA27" s="1" t="s">
        <v>8</v>
      </c>
      <c r="AB27" s="1" t="s">
        <v>9</v>
      </c>
      <c r="AC27" s="1" t="s">
        <v>10</v>
      </c>
      <c r="AD27" s="1" t="s">
        <v>103</v>
      </c>
      <c r="AG27" s="269"/>
      <c r="AH27" s="1" t="s">
        <v>101</v>
      </c>
      <c r="AI27" s="1" t="s">
        <v>8</v>
      </c>
      <c r="AJ27" s="1" t="s">
        <v>9</v>
      </c>
      <c r="AK27" s="1" t="s">
        <v>10</v>
      </c>
      <c r="AL27" s="1" t="s">
        <v>103</v>
      </c>
      <c r="AO27" s="269"/>
      <c r="AP27" s="1" t="s">
        <v>101</v>
      </c>
      <c r="AQ27" s="1" t="s">
        <v>8</v>
      </c>
      <c r="AR27" s="1" t="s">
        <v>9</v>
      </c>
      <c r="AS27" s="1" t="s">
        <v>10</v>
      </c>
      <c r="AT27" s="99" t="s">
        <v>103</v>
      </c>
      <c r="AW27" s="269"/>
      <c r="AX27" s="1" t="s">
        <v>101</v>
      </c>
      <c r="AY27" s="1" t="s">
        <v>8</v>
      </c>
      <c r="AZ27" s="1" t="s">
        <v>9</v>
      </c>
      <c r="BA27" s="1" t="s">
        <v>10</v>
      </c>
      <c r="BB27" s="99" t="s">
        <v>103</v>
      </c>
    </row>
    <row r="28" spans="1:55">
      <c r="B28" s="1">
        <v>0</v>
      </c>
      <c r="C28" s="99">
        <f>'【国内】问卷调研-数据源（P3单独执行） '!C28*2</f>
        <v>0</v>
      </c>
      <c r="D28" s="99">
        <v>0</v>
      </c>
      <c r="E28" s="99" t="e">
        <f>(G28*B28-$D$26*B28-C28*5900-D28*3400-F28*300)/1200</f>
        <v>#DIV/0!</v>
      </c>
      <c r="F28" s="274">
        <f>'【国内】问卷调研-数据源（P3单独执行） '!F28*2.5</f>
        <v>0</v>
      </c>
      <c r="G28" s="275" t="e">
        <f>'【国内】问卷调研-数据源（P3单独执行） '!G28</f>
        <v>#DIV/0!</v>
      </c>
      <c r="I28" s="269"/>
      <c r="J28" s="1">
        <v>0</v>
      </c>
      <c r="K28" s="99">
        <f>'【国内】问卷调研-数据源（P3单独执行） '!K28*2</f>
        <v>0</v>
      </c>
      <c r="L28" s="99">
        <v>0</v>
      </c>
      <c r="M28" s="99" t="e">
        <f>(O28*J28-$L$26*J28-K28*5900-L28*3400-N28*300)/1200</f>
        <v>#DIV/0!</v>
      </c>
      <c r="N28" s="274">
        <f>'【国内】问卷调研-数据源（P3单独执行） '!N28*2.5</f>
        <v>0</v>
      </c>
      <c r="O28" s="275" t="e">
        <f>'【国内】问卷调研-数据源（P3单独执行） '!O28</f>
        <v>#DIV/0!</v>
      </c>
      <c r="Q28" s="269"/>
      <c r="R28" s="1">
        <v>0</v>
      </c>
      <c r="S28" s="99">
        <f>'【国内】问卷调研-数据源（P3单独执行） '!S28*2</f>
        <v>0</v>
      </c>
      <c r="T28" s="99">
        <v>0</v>
      </c>
      <c r="U28" s="99" t="e">
        <f t="shared" ref="U28:U45" si="14">(W28*R28-$T$26*R28-S28*5900-T28*3400-V28*300)/1200</f>
        <v>#DIV/0!</v>
      </c>
      <c r="V28" s="274">
        <f>'【国内】问卷调研-数据源（P3单独执行） '!V28*1.3</f>
        <v>0</v>
      </c>
      <c r="W28" s="275" t="e">
        <f>'【国内】问卷调研-数据源（P3单独执行） '!W28</f>
        <v>#DIV/0!</v>
      </c>
      <c r="Y28" s="269"/>
      <c r="Z28" s="1">
        <v>0</v>
      </c>
      <c r="AA28" s="99">
        <f>'【国内】问卷调研-数据源（P3单独执行） '!AA28*2</f>
        <v>0</v>
      </c>
      <c r="AB28" s="99">
        <v>0</v>
      </c>
      <c r="AC28" s="99" t="e">
        <f t="shared" ref="AC28:AC45" si="15">(AE28*Z28-$AB$26*Z28-AA28*5900-AB28*3400-AD28*300)/1200</f>
        <v>#DIV/0!</v>
      </c>
      <c r="AD28" s="274">
        <f>'【国内】问卷调研-数据源（P3单独执行） '!AD28*1.3</f>
        <v>0.13</v>
      </c>
      <c r="AE28" s="275" t="e">
        <f>'【国内】问卷调研-数据源（P3单独执行） '!AE28</f>
        <v>#DIV/0!</v>
      </c>
      <c r="AG28" s="269"/>
      <c r="AH28" s="1">
        <v>0</v>
      </c>
      <c r="AI28" s="99">
        <f>'【国内】问卷调研-数据源（P3单独执行） '!AI28*2</f>
        <v>0</v>
      </c>
      <c r="AJ28" s="99">
        <v>0</v>
      </c>
      <c r="AK28" s="99" t="e">
        <f t="shared" ref="AK28:AK45" si="16">(AM28*AH28-$AJ$26*AH28-AI28*5900-AJ28*3400-AL28*300)/1200</f>
        <v>#DIV/0!</v>
      </c>
      <c r="AL28" s="274">
        <f>'【国内】问卷调研-数据源（P3单独执行） '!AL28*1.3</f>
        <v>0.26</v>
      </c>
      <c r="AM28" s="275" t="e">
        <f>'【国内】问卷调研-数据源（P3单独执行） '!AM28</f>
        <v>#DIV/0!</v>
      </c>
      <c r="AO28" s="269"/>
      <c r="AP28" s="1">
        <v>0</v>
      </c>
      <c r="AQ28" s="99">
        <f>'【国内】问卷调研-数据源（P3单独执行） '!AQ28*2</f>
        <v>0</v>
      </c>
      <c r="AR28" s="99">
        <v>0</v>
      </c>
      <c r="AS28" s="99" t="e">
        <f t="shared" ref="AS28:AS45" si="17">(AU28*AP28-$AR$26*AP28-AQ28*5900-AR28*3400-AT28*300)/1200</f>
        <v>#DIV/0!</v>
      </c>
      <c r="AT28" s="274">
        <f>'【国内】问卷调研-数据源（P3单独执行） '!AT28*1.3</f>
        <v>0.39</v>
      </c>
      <c r="AU28" s="275" t="e">
        <f>'【国内】问卷调研-数据源（P3单独执行） '!AU28</f>
        <v>#DIV/0!</v>
      </c>
      <c r="AV28" s="1"/>
      <c r="AW28" s="269"/>
      <c r="AX28" s="1">
        <v>0</v>
      </c>
      <c r="AY28" s="99">
        <f>'【国内】问卷调研-数据源（P3单独执行） '!AY28*2</f>
        <v>0</v>
      </c>
      <c r="AZ28" s="99">
        <f>'【国内】问卷调研-数据源（P3单独执行） '!BA28*0.4</f>
        <v>0</v>
      </c>
      <c r="BA28" s="99" t="e">
        <f t="shared" ref="BA28:BA45" si="18">(BC28*AX28-$AZ$26*AX28-AY28*5900-AZ28*3400-BB28*300)/1200</f>
        <v>#DIV/0!</v>
      </c>
      <c r="BB28" s="274">
        <f>'【国内】问卷调研-数据源（P3单独执行） '!BB28*1.3</f>
        <v>0.52</v>
      </c>
      <c r="BC28" s="275" t="e">
        <f>'【国内】问卷调研-数据源（P3单独执行） '!BC28</f>
        <v>#DIV/0!</v>
      </c>
    </row>
    <row r="29" spans="1:55">
      <c r="A29" s="1" t="s">
        <v>106</v>
      </c>
      <c r="B29" s="1">
        <v>1</v>
      </c>
      <c r="C29" s="99">
        <f>'【国内】问卷调研-数据源（P3单独执行） '!C29*2</f>
        <v>0</v>
      </c>
      <c r="D29" s="99">
        <v>0</v>
      </c>
      <c r="E29" s="99">
        <f t="shared" ref="E29:E45" si="19">(G29*B29-$D$26*B29-C29*5900-D29*3400-F29*300)/1200</f>
        <v>0.908333333333333</v>
      </c>
      <c r="F29" s="274">
        <f>'【国内】问卷调研-数据源（P3单独执行） '!F29*2.5</f>
        <v>1.5</v>
      </c>
      <c r="G29" s="275">
        <f>'【国内】问卷调研-数据源（P3单独执行） '!G29</f>
        <v>1543</v>
      </c>
      <c r="I29" s="276"/>
      <c r="J29" s="1">
        <v>1</v>
      </c>
      <c r="K29" s="99">
        <f>'【国内】问卷调研-数据源（P3单独执行） '!K29*2</f>
        <v>0</v>
      </c>
      <c r="L29" s="99">
        <v>0</v>
      </c>
      <c r="M29" s="99">
        <f t="shared" ref="M29:M45" si="20">(O29*J29-$L$26*J29-K29*5900-L29*3400-N29*300)/1200</f>
        <v>1.15416666666667</v>
      </c>
      <c r="N29" s="274">
        <f>'【国内】问卷调研-数据源（P3单独执行） '!N29*2.5</f>
        <v>1.75</v>
      </c>
      <c r="O29" s="275">
        <f>'【国内】问卷调研-数据源（P3单独执行） '!O29</f>
        <v>1914</v>
      </c>
      <c r="Q29" s="276"/>
      <c r="R29" s="1">
        <v>1</v>
      </c>
      <c r="S29" s="99">
        <f>'【国内】问卷调研-数据源（P3单独执行） '!S29*2</f>
        <v>0</v>
      </c>
      <c r="T29" s="99">
        <v>0</v>
      </c>
      <c r="U29" s="99">
        <f t="shared" si="14"/>
        <v>1.64</v>
      </c>
      <c r="V29" s="274">
        <f>'【国内】问卷调研-数据源（P3单独执行） '!V29*1.3</f>
        <v>1.04</v>
      </c>
      <c r="W29" s="275">
        <f>'【国内】问卷调研-数据源（P3单独执行） '!W29</f>
        <v>2285</v>
      </c>
      <c r="Y29" s="276"/>
      <c r="Z29" s="1">
        <v>1</v>
      </c>
      <c r="AA29" s="99">
        <f>'【国内】问卷调研-数据源（P3单独执行） '!AA29*2</f>
        <v>0</v>
      </c>
      <c r="AB29" s="99">
        <v>0</v>
      </c>
      <c r="AC29" s="99">
        <f t="shared" si="15"/>
        <v>1.91583333333333</v>
      </c>
      <c r="AD29" s="274">
        <f>'【国内】问卷调研-数据源（P3单独执行） '!AD29*1.3</f>
        <v>1.17</v>
      </c>
      <c r="AE29" s="275">
        <f>'【国内】问卷调研-数据源（P3单独执行） '!AE29</f>
        <v>2656</v>
      </c>
      <c r="AG29" s="276"/>
      <c r="AH29" s="1">
        <v>1</v>
      </c>
      <c r="AI29" s="99">
        <f>'【国内】问卷调研-数据源（P3单独执行） '!AI29*2</f>
        <v>0</v>
      </c>
      <c r="AJ29" s="99">
        <v>0</v>
      </c>
      <c r="AK29" s="99">
        <f t="shared" si="16"/>
        <v>2.19166666666667</v>
      </c>
      <c r="AL29" s="274">
        <f>'【国内】问卷调研-数据源（P3单独执行） '!AL29*1.3</f>
        <v>1.3</v>
      </c>
      <c r="AM29" s="275">
        <f>'【国内】问卷调研-数据源（P3单独执行） '!AM29</f>
        <v>3027</v>
      </c>
      <c r="AO29" s="276"/>
      <c r="AP29" s="1">
        <v>1</v>
      </c>
      <c r="AQ29" s="99">
        <f>'【国内】问卷调研-数据源（P3单独执行） '!AQ29*2</f>
        <v>0</v>
      </c>
      <c r="AR29" s="99">
        <v>0</v>
      </c>
      <c r="AS29" s="99">
        <f t="shared" si="17"/>
        <v>2.4675</v>
      </c>
      <c r="AT29" s="274">
        <f>'【国内】问卷调研-数据源（P3单独执行） '!AT29*1.3</f>
        <v>1.43</v>
      </c>
      <c r="AU29" s="275">
        <f>'【国内】问卷调研-数据源（P3单独执行） '!AU29</f>
        <v>3398</v>
      </c>
      <c r="AV29" s="1"/>
      <c r="AW29" s="276"/>
      <c r="AX29" s="1">
        <v>1</v>
      </c>
      <c r="AY29" s="99">
        <f>'【国内】问卷调研-数据源（P3单独执行） '!AY29*2</f>
        <v>0</v>
      </c>
      <c r="AZ29" s="99">
        <f>'【国内】问卷调研-数据源（P3单独执行） '!BA29*0.4</f>
        <v>0.36</v>
      </c>
      <c r="BA29" s="99">
        <f t="shared" si="18"/>
        <v>1.44</v>
      </c>
      <c r="BB29" s="274">
        <f>'【国内】问卷调研-数据源（P3单独执行） '!BB29*1.3</f>
        <v>1.56</v>
      </c>
      <c r="BC29" s="275">
        <f>'【国内】问卷调研-数据源（P3单独执行） '!BC29</f>
        <v>3429</v>
      </c>
    </row>
    <row r="30" spans="1:55">
      <c r="A30" s="1" t="s">
        <v>107</v>
      </c>
      <c r="B30" s="1">
        <v>101</v>
      </c>
      <c r="C30" s="99">
        <f>'【国内】问卷调研-数据源（P3单独执行） '!C30*2</f>
        <v>0</v>
      </c>
      <c r="D30" s="99">
        <v>0</v>
      </c>
      <c r="E30" s="99">
        <f t="shared" si="19"/>
        <v>0.858333333333333</v>
      </c>
      <c r="F30" s="274">
        <f>F53-0.1</f>
        <v>1.7</v>
      </c>
      <c r="G30" s="275">
        <f>'【国内】问卷调研-数据源（P3单独执行） '!G30</f>
        <v>18.2475247524752</v>
      </c>
      <c r="I30" s="276"/>
      <c r="J30" s="1">
        <v>101</v>
      </c>
      <c r="K30" s="99">
        <f>'【国内】问卷调研-数据源（P3单独执行） '!K30*2</f>
        <v>0</v>
      </c>
      <c r="L30" s="99">
        <v>0</v>
      </c>
      <c r="M30" s="99">
        <f t="shared" si="20"/>
        <v>1.14166666666667</v>
      </c>
      <c r="N30" s="274">
        <f t="shared" ref="N30:N45" si="21">N53-0.1</f>
        <v>1.8</v>
      </c>
      <c r="O30" s="275">
        <f>'【国内】问卷调研-数据源（P3单独执行） '!O30</f>
        <v>22.9108910891089</v>
      </c>
      <c r="Q30" s="276"/>
      <c r="R30" s="1">
        <v>101</v>
      </c>
      <c r="S30" s="99">
        <f>'【国内】问卷调研-数据源（P3单独执行） '!S30*2</f>
        <v>0</v>
      </c>
      <c r="T30" s="99">
        <v>0</v>
      </c>
      <c r="U30" s="99">
        <f t="shared" si="14"/>
        <v>1.425</v>
      </c>
      <c r="V30" s="274">
        <f>N30+0.1</f>
        <v>1.9</v>
      </c>
      <c r="W30" s="275">
        <f>'【国内】问卷调研-数据源（P3单独执行） '!W30</f>
        <v>27.5742574257426</v>
      </c>
      <c r="Y30" s="276"/>
      <c r="Z30" s="1">
        <v>101</v>
      </c>
      <c r="AA30" s="99">
        <f>'【国内】问卷调研-数据源（P3单独执行） '!AA30*2</f>
        <v>0</v>
      </c>
      <c r="AB30" s="99">
        <v>0</v>
      </c>
      <c r="AC30" s="99">
        <f t="shared" si="15"/>
        <v>1.425</v>
      </c>
      <c r="AD30" s="274">
        <f>V30+0.1</f>
        <v>2</v>
      </c>
      <c r="AE30" s="275">
        <f>'【国内】问卷调研-数据源（P3单独执行） '!AE30</f>
        <v>28.8712871287129</v>
      </c>
      <c r="AG30" s="276"/>
      <c r="AH30" s="1">
        <v>101</v>
      </c>
      <c r="AI30" s="99">
        <f>'【国内】问卷调研-数据源（P3单独执行） '!AI30*2</f>
        <v>0</v>
      </c>
      <c r="AJ30" s="99">
        <v>0</v>
      </c>
      <c r="AK30" s="99">
        <f t="shared" si="16"/>
        <v>1.70833333333333</v>
      </c>
      <c r="AL30" s="274">
        <f>AD30+0.1</f>
        <v>2.1</v>
      </c>
      <c r="AM30" s="275">
        <f>'【国内】问卷调研-数据源（P3单独执行） '!AM30</f>
        <v>33.5346534653465</v>
      </c>
      <c r="AO30" s="276"/>
      <c r="AP30" s="1">
        <v>101</v>
      </c>
      <c r="AQ30" s="99">
        <f>'【国内】问卷调研-数据源（P3单独执行） '!AQ30*2</f>
        <v>0</v>
      </c>
      <c r="AR30" s="99">
        <v>0</v>
      </c>
      <c r="AS30" s="99">
        <f t="shared" si="17"/>
        <v>1.99166666666667</v>
      </c>
      <c r="AT30" s="274">
        <f>AL30+0.1</f>
        <v>2.2</v>
      </c>
      <c r="AU30" s="275">
        <f>'【国内】问卷调研-数据源（P3单独执行） '!AU30</f>
        <v>38.1980198019802</v>
      </c>
      <c r="AV30" s="1"/>
      <c r="AW30" s="276"/>
      <c r="AX30" s="1">
        <v>101</v>
      </c>
      <c r="AY30" s="99">
        <f>'【国内】问卷调研-数据源（P3单独执行） '!AY30*2</f>
        <v>0</v>
      </c>
      <c r="AZ30" s="99">
        <f>'【国内】问卷调研-数据源（P3单独执行） '!BA30*0.4</f>
        <v>0.36</v>
      </c>
      <c r="BA30" s="99">
        <f t="shared" si="18"/>
        <v>1.255</v>
      </c>
      <c r="BB30" s="274">
        <f>AT30+0.1</f>
        <v>2.3</v>
      </c>
      <c r="BC30" s="275">
        <f>'【国内】问卷调研-数据源（P3单独执行） '!BC30</f>
        <v>42.8613861386139</v>
      </c>
    </row>
    <row r="31" spans="1:55">
      <c r="A31" s="1" t="s">
        <v>108</v>
      </c>
      <c r="B31" s="1">
        <v>201</v>
      </c>
      <c r="C31" s="99">
        <f>'【国内】问卷调研-数据源（P3单独执行） '!C31*2</f>
        <v>0</v>
      </c>
      <c r="D31" s="99">
        <v>0</v>
      </c>
      <c r="E31" s="99">
        <f t="shared" si="19"/>
        <v>1.68333333333333</v>
      </c>
      <c r="F31" s="274">
        <f t="shared" ref="F31:F45" si="22">F54-0.1</f>
        <v>2.2</v>
      </c>
      <c r="G31" s="275">
        <f>'【国内】问卷调研-数据源（P3单独执行） '!G31</f>
        <v>16.3333333333333</v>
      </c>
      <c r="I31" s="276"/>
      <c r="J31" s="1">
        <v>201</v>
      </c>
      <c r="K31" s="99">
        <f>'【国内】问卷调研-数据源（P3单独执行） '!K31*2</f>
        <v>0</v>
      </c>
      <c r="L31" s="99">
        <v>0</v>
      </c>
      <c r="M31" s="99">
        <f t="shared" si="20"/>
        <v>1.96666666666667</v>
      </c>
      <c r="N31" s="274">
        <f t="shared" si="21"/>
        <v>2.3</v>
      </c>
      <c r="O31" s="275">
        <f>'【国内】问卷调研-数据源（P3单独执行） '!O31</f>
        <v>19.1741293532338</v>
      </c>
      <c r="Q31" s="276"/>
      <c r="R31" s="1">
        <v>201</v>
      </c>
      <c r="S31" s="99">
        <f>'【国内】问卷调研-数据源（P3单独执行） '!S31*2</f>
        <v>0</v>
      </c>
      <c r="T31" s="99">
        <v>0</v>
      </c>
      <c r="U31" s="99">
        <f t="shared" si="14"/>
        <v>2.25</v>
      </c>
      <c r="V31" s="274">
        <f t="shared" ref="V31:V45" si="23">N31+0.1</f>
        <v>2.4</v>
      </c>
      <c r="W31" s="275">
        <f>'【国内】问卷调研-数据源（P3单独执行） '!W31</f>
        <v>22.0149253731343</v>
      </c>
      <c r="Y31" s="276"/>
      <c r="Z31" s="1">
        <v>201</v>
      </c>
      <c r="AA31" s="99">
        <f>'【国内】问卷调研-数据源（P3单独执行） '!AA31*2</f>
        <v>0</v>
      </c>
      <c r="AB31" s="99">
        <v>0</v>
      </c>
      <c r="AC31" s="99">
        <f t="shared" si="15"/>
        <v>2.53333333333333</v>
      </c>
      <c r="AD31" s="274">
        <f t="shared" ref="AD31:AD45" si="24">V31+0.1</f>
        <v>2.5</v>
      </c>
      <c r="AE31" s="275">
        <f>'【国内】问卷调研-数据源（P3单独执行） '!AE31</f>
        <v>24.8557213930348</v>
      </c>
      <c r="AG31" s="276"/>
      <c r="AH31" s="1">
        <v>201</v>
      </c>
      <c r="AI31" s="99">
        <f>'【国内】问卷调研-数据源（P3单独执行） '!AI31*2</f>
        <v>0</v>
      </c>
      <c r="AJ31" s="99">
        <v>0</v>
      </c>
      <c r="AK31" s="99">
        <f t="shared" si="16"/>
        <v>2.81666666666667</v>
      </c>
      <c r="AL31" s="274">
        <f t="shared" ref="AL31:AL45" si="25">AD31+0.1</f>
        <v>2.6</v>
      </c>
      <c r="AM31" s="275">
        <f>'【国内】问卷调研-数据源（P3单独执行） '!AM31</f>
        <v>27.6965174129353</v>
      </c>
      <c r="AO31" s="276"/>
      <c r="AP31" s="1">
        <v>201</v>
      </c>
      <c r="AQ31" s="99">
        <f>'【国内】问卷调研-数据源（P3单独执行） '!AQ31*2</f>
        <v>0</v>
      </c>
      <c r="AR31" s="99">
        <v>0</v>
      </c>
      <c r="AS31" s="99">
        <f t="shared" si="17"/>
        <v>3.1</v>
      </c>
      <c r="AT31" s="274">
        <f t="shared" ref="AT31:AT45" si="26">AL31+0.1</f>
        <v>2.7</v>
      </c>
      <c r="AU31" s="275">
        <f>'【国内】问卷调研-数据源（P3单独执行） '!AU31</f>
        <v>30.5373134328358</v>
      </c>
      <c r="AV31" s="1"/>
      <c r="AW31" s="276"/>
      <c r="AX31" s="1">
        <v>201</v>
      </c>
      <c r="AY31" s="99">
        <f>'【国内】问卷调研-数据源（P3单独执行） '!AY31*2</f>
        <v>0</v>
      </c>
      <c r="AZ31" s="99">
        <f>'【国内】问卷调研-数据源（P3单独执行） '!BA31*0.4</f>
        <v>0.52</v>
      </c>
      <c r="BA31" s="99">
        <f t="shared" si="18"/>
        <v>1.91</v>
      </c>
      <c r="BB31" s="274">
        <f t="shared" ref="BB31:BB45" si="27">AT31+0.1</f>
        <v>2.8</v>
      </c>
      <c r="BC31" s="275">
        <f>'【国内】问卷调研-数据源（P3单独执行） '!BC31</f>
        <v>33.3781094527363</v>
      </c>
    </row>
    <row r="32" spans="1:55">
      <c r="A32" s="1" t="s">
        <v>109</v>
      </c>
      <c r="B32" s="1">
        <v>301</v>
      </c>
      <c r="C32" s="99">
        <f>'【国内】问卷调研-数据源（P3单独执行） '!C32*2</f>
        <v>0</v>
      </c>
      <c r="D32" s="99">
        <v>0</v>
      </c>
      <c r="E32" s="99">
        <f t="shared" si="19"/>
        <v>2.2</v>
      </c>
      <c r="F32" s="274">
        <f t="shared" si="22"/>
        <v>2.5</v>
      </c>
      <c r="G32" s="275">
        <f>'【国内】问卷调研-数据源（P3单独执行） '!G32</f>
        <v>14.2624584717608</v>
      </c>
      <c r="I32" s="276"/>
      <c r="J32" s="1">
        <v>301</v>
      </c>
      <c r="K32" s="99">
        <f>'【国内】问卷调研-数据源（P3单独执行） '!K32*2</f>
        <v>0</v>
      </c>
      <c r="L32" s="99">
        <v>0</v>
      </c>
      <c r="M32" s="99">
        <f t="shared" si="20"/>
        <v>2.48333333333333</v>
      </c>
      <c r="N32" s="274">
        <f t="shared" si="21"/>
        <v>2.6</v>
      </c>
      <c r="O32" s="275">
        <f>'【国内】问卷调研-数据源（P3单独执行） '!O32</f>
        <v>16.4916943521595</v>
      </c>
      <c r="Q32" s="276"/>
      <c r="R32" s="1">
        <v>301</v>
      </c>
      <c r="S32" s="99">
        <f>'【国内】问卷调研-数据源（P3单独执行） '!S32*2</f>
        <v>0</v>
      </c>
      <c r="T32" s="99">
        <v>0</v>
      </c>
      <c r="U32" s="99">
        <f t="shared" si="14"/>
        <v>2.76666666666667</v>
      </c>
      <c r="V32" s="274">
        <f t="shared" si="23"/>
        <v>2.7</v>
      </c>
      <c r="W32" s="275">
        <f>'【国内】问卷调研-数据源（P3单独执行） '!W32</f>
        <v>18.7209302325581</v>
      </c>
      <c r="Y32" s="276"/>
      <c r="Z32" s="1">
        <v>301</v>
      </c>
      <c r="AA32" s="99">
        <f>'【国内】问卷调研-数据源（P3单独执行） '!AA32*2</f>
        <v>0</v>
      </c>
      <c r="AB32" s="99">
        <v>0</v>
      </c>
      <c r="AC32" s="99">
        <f t="shared" si="15"/>
        <v>3.05</v>
      </c>
      <c r="AD32" s="274">
        <f t="shared" si="24"/>
        <v>2.8</v>
      </c>
      <c r="AE32" s="275">
        <f>'【国内】问卷调研-数据源（P3单独执行） '!AE32</f>
        <v>20.9501661129568</v>
      </c>
      <c r="AG32" s="276"/>
      <c r="AH32" s="1">
        <v>301</v>
      </c>
      <c r="AI32" s="99">
        <f>'【国内】问卷调研-数据源（P3单独执行） '!AI32*2</f>
        <v>0</v>
      </c>
      <c r="AJ32" s="99">
        <v>0</v>
      </c>
      <c r="AK32" s="99">
        <f t="shared" si="16"/>
        <v>3.33333333333333</v>
      </c>
      <c r="AL32" s="274">
        <f t="shared" si="25"/>
        <v>2.9</v>
      </c>
      <c r="AM32" s="275">
        <f>'【国内】问卷调研-数据源（P3单独执行） '!AM32</f>
        <v>23.1794019933555</v>
      </c>
      <c r="AO32" s="276"/>
      <c r="AP32" s="1">
        <v>301</v>
      </c>
      <c r="AQ32" s="99">
        <f>'【国内】问卷调研-数据源（P3单独执行） '!AQ32*2</f>
        <v>0</v>
      </c>
      <c r="AR32" s="99">
        <v>0</v>
      </c>
      <c r="AS32" s="99">
        <f t="shared" si="17"/>
        <v>3.61666666666667</v>
      </c>
      <c r="AT32" s="274">
        <f t="shared" si="26"/>
        <v>3</v>
      </c>
      <c r="AU32" s="275">
        <f>'【国内】问卷调研-数据源（P3单独执行） '!AU32</f>
        <v>25.4086378737542</v>
      </c>
      <c r="AV32" s="1"/>
      <c r="AW32" s="276"/>
      <c r="AX32" s="1">
        <v>301</v>
      </c>
      <c r="AY32" s="99">
        <f>'【国内】问卷调研-数据源（P3单独执行） '!AY32*2</f>
        <v>0</v>
      </c>
      <c r="AZ32" s="99">
        <f>'【国内】问卷调研-数据源（P3单独执行） '!BA32*0.4</f>
        <v>0.6</v>
      </c>
      <c r="BA32" s="99">
        <f t="shared" si="18"/>
        <v>2.2</v>
      </c>
      <c r="BB32" s="274">
        <f t="shared" si="27"/>
        <v>3.1</v>
      </c>
      <c r="BC32" s="275">
        <f>'【国内】问卷调研-数据源（P3单独执行） '!BC32</f>
        <v>27.6378737541528</v>
      </c>
    </row>
    <row r="33" spans="1:55">
      <c r="A33" s="1" t="s">
        <v>110</v>
      </c>
      <c r="B33" s="1">
        <v>501</v>
      </c>
      <c r="C33" s="99">
        <f>'【国内】问卷调研-数据源（P3单独执行） '!C33*2</f>
        <v>0</v>
      </c>
      <c r="D33" s="99">
        <v>0</v>
      </c>
      <c r="E33" s="99">
        <f t="shared" si="19"/>
        <v>3.025</v>
      </c>
      <c r="F33" s="274">
        <f t="shared" si="22"/>
        <v>2.7</v>
      </c>
      <c r="G33" s="275">
        <f>'【国内】问卷调研-数据源（P3单独执行） '!G33</f>
        <v>11.8622754491018</v>
      </c>
      <c r="I33" s="276"/>
      <c r="J33" s="1">
        <v>501</v>
      </c>
      <c r="K33" s="99">
        <f>'【国内】问卷调研-数据源（P3单独执行） '!K33*2</f>
        <v>0</v>
      </c>
      <c r="L33" s="99">
        <v>0</v>
      </c>
      <c r="M33" s="99">
        <f t="shared" si="20"/>
        <v>3.30833333333333</v>
      </c>
      <c r="N33" s="274">
        <f t="shared" si="21"/>
        <v>2.8</v>
      </c>
      <c r="O33" s="275">
        <f>'【国内】问卷调研-数据源（P3单独执行） '!O33</f>
        <v>13.6007984031936</v>
      </c>
      <c r="Q33" s="276"/>
      <c r="R33" s="1">
        <v>501</v>
      </c>
      <c r="S33" s="99">
        <f>'【国内】问卷调研-数据源（P3单独执行） '!S33*2</f>
        <v>0</v>
      </c>
      <c r="T33" s="99">
        <v>0</v>
      </c>
      <c r="U33" s="99">
        <f t="shared" si="14"/>
        <v>3.59166666666667</v>
      </c>
      <c r="V33" s="274">
        <f t="shared" si="23"/>
        <v>2.9</v>
      </c>
      <c r="W33" s="275">
        <f>'【国内】问卷调研-数据源（P3单独执行） '!W33</f>
        <v>15.3393213572854</v>
      </c>
      <c r="Y33" s="276"/>
      <c r="Z33" s="1">
        <v>501</v>
      </c>
      <c r="AA33" s="99">
        <f>'【国内】问卷调研-数据源（P3单独执行） '!AA33*2</f>
        <v>0</v>
      </c>
      <c r="AB33" s="99">
        <v>0</v>
      </c>
      <c r="AC33" s="99">
        <f t="shared" si="15"/>
        <v>3.875</v>
      </c>
      <c r="AD33" s="274">
        <f t="shared" si="24"/>
        <v>3</v>
      </c>
      <c r="AE33" s="275">
        <f>'【国内】问卷调研-数据源（P3单独执行） '!AE33</f>
        <v>17.0778443113772</v>
      </c>
      <c r="AG33" s="276"/>
      <c r="AH33" s="1">
        <v>501</v>
      </c>
      <c r="AI33" s="99">
        <f>'【国内】问卷调研-数据源（P3单独执行） '!AI33*2</f>
        <v>0</v>
      </c>
      <c r="AJ33" s="99">
        <v>0</v>
      </c>
      <c r="AK33" s="99">
        <f t="shared" si="16"/>
        <v>4.15833333333333</v>
      </c>
      <c r="AL33" s="274">
        <f t="shared" si="25"/>
        <v>3.1</v>
      </c>
      <c r="AM33" s="275">
        <f>'【国内】问卷调研-数据源（P3单独执行） '!AM33</f>
        <v>18.8163672654691</v>
      </c>
      <c r="AO33" s="276"/>
      <c r="AP33" s="1">
        <v>501</v>
      </c>
      <c r="AQ33" s="99">
        <f>'【国内】问卷调研-数据源（P3单独执行） '!AQ33*2</f>
        <v>0</v>
      </c>
      <c r="AR33" s="99">
        <v>0</v>
      </c>
      <c r="AS33" s="99">
        <f t="shared" si="17"/>
        <v>4.44166666666667</v>
      </c>
      <c r="AT33" s="274">
        <f t="shared" si="26"/>
        <v>3.2</v>
      </c>
      <c r="AU33" s="275">
        <f>'【国内】问卷调研-数据源（P3单独执行） '!AU33</f>
        <v>20.5548902195609</v>
      </c>
      <c r="AV33" s="1"/>
      <c r="AW33" s="276"/>
      <c r="AX33" s="1">
        <v>501</v>
      </c>
      <c r="AY33" s="99">
        <f>'【国内】问卷调研-数据源（P3单独执行） '!AY33*2</f>
        <v>0</v>
      </c>
      <c r="AZ33" s="99">
        <f>'【国内】问卷调研-数据源（P3单独执行） '!BA33*0.4</f>
        <v>0.72</v>
      </c>
      <c r="BA33" s="99">
        <f t="shared" si="18"/>
        <v>2.685</v>
      </c>
      <c r="BB33" s="274">
        <f t="shared" si="27"/>
        <v>3.3</v>
      </c>
      <c r="BC33" s="275">
        <f>'【国内】问卷调研-数据源（P3单独执行） '!BC33</f>
        <v>22.2934131736527</v>
      </c>
    </row>
    <row r="34" spans="1:55">
      <c r="A34" s="1" t="s">
        <v>111</v>
      </c>
      <c r="B34" s="1">
        <v>701</v>
      </c>
      <c r="C34" s="99">
        <f>'【国内】问卷调研-数据源（P3单独执行） '!C34*2</f>
        <v>0.2</v>
      </c>
      <c r="D34" s="99">
        <v>0</v>
      </c>
      <c r="E34" s="99">
        <f t="shared" si="19"/>
        <v>3</v>
      </c>
      <c r="F34" s="274">
        <f t="shared" si="22"/>
        <v>3.2</v>
      </c>
      <c r="G34" s="275">
        <f>'【国内】问卷调研-数据源（P3单独执行） '!G34</f>
        <v>11.188302425107</v>
      </c>
      <c r="I34" s="276"/>
      <c r="J34" s="1">
        <v>701</v>
      </c>
      <c r="K34" s="99">
        <f>'【国内】问卷调研-数据源（P3单独执行） '!K34*2</f>
        <v>0.2</v>
      </c>
      <c r="L34" s="99">
        <v>0</v>
      </c>
      <c r="M34" s="99">
        <f t="shared" si="20"/>
        <v>3.28333333333333</v>
      </c>
      <c r="N34" s="274">
        <f t="shared" si="21"/>
        <v>3.3</v>
      </c>
      <c r="O34" s="275">
        <f>'【国内】问卷调研-数据源（P3单独执行） '!O34</f>
        <v>12.716119828816</v>
      </c>
      <c r="Q34" s="276"/>
      <c r="R34" s="1">
        <v>701</v>
      </c>
      <c r="S34" s="99">
        <f>'【国内】问卷调研-数据源（P3单独执行） '!S34*2</f>
        <v>0.2</v>
      </c>
      <c r="T34" s="99">
        <v>0</v>
      </c>
      <c r="U34" s="99">
        <f t="shared" si="14"/>
        <v>3.56666666666667</v>
      </c>
      <c r="V34" s="274">
        <f t="shared" si="23"/>
        <v>3.4</v>
      </c>
      <c r="W34" s="275">
        <f>'【国内】问卷调研-数据源（P3单独执行） '!W34</f>
        <v>14.243937232525</v>
      </c>
      <c r="Y34" s="276"/>
      <c r="Z34" s="1">
        <v>701</v>
      </c>
      <c r="AA34" s="99">
        <f>'【国内】问卷调研-数据源（P3单独执行） '!AA34*2</f>
        <v>0.2</v>
      </c>
      <c r="AB34" s="99">
        <v>0</v>
      </c>
      <c r="AC34" s="99">
        <f t="shared" si="15"/>
        <v>3.85</v>
      </c>
      <c r="AD34" s="274">
        <f t="shared" si="24"/>
        <v>3.5</v>
      </c>
      <c r="AE34" s="275">
        <f>'【国内】问卷调研-数据源（P3单独执行） '!AE34</f>
        <v>15.771754636234</v>
      </c>
      <c r="AG34" s="276"/>
      <c r="AH34" s="1">
        <v>701</v>
      </c>
      <c r="AI34" s="99">
        <f>'【国内】问卷调研-数据源（P3单独执行） '!AI34*2</f>
        <v>0.2</v>
      </c>
      <c r="AJ34" s="99">
        <v>0</v>
      </c>
      <c r="AK34" s="99">
        <f t="shared" si="16"/>
        <v>4.13333333333333</v>
      </c>
      <c r="AL34" s="274">
        <f t="shared" si="25"/>
        <v>3.6</v>
      </c>
      <c r="AM34" s="275">
        <f>'【国内】问卷调研-数据源（P3单独执行） '!AM34</f>
        <v>17.2995720399429</v>
      </c>
      <c r="AO34" s="276"/>
      <c r="AP34" s="1">
        <v>701</v>
      </c>
      <c r="AQ34" s="99">
        <f>'【国内】问卷调研-数据源（P3单独执行） '!AQ34*2</f>
        <v>0.2</v>
      </c>
      <c r="AR34" s="99">
        <v>0</v>
      </c>
      <c r="AS34" s="99">
        <f t="shared" si="17"/>
        <v>4.41666666666667</v>
      </c>
      <c r="AT34" s="274">
        <f t="shared" si="26"/>
        <v>3.7</v>
      </c>
      <c r="AU34" s="275">
        <f>'【国内】问卷调研-数据源（P3单独执行） '!AU34</f>
        <v>18.8273894436519</v>
      </c>
      <c r="AV34" s="1"/>
      <c r="AW34" s="276"/>
      <c r="AX34" s="1">
        <v>701</v>
      </c>
      <c r="AY34" s="99">
        <f>'【国内】问卷调研-数据源（P3单独执行） '!AY34*2</f>
        <v>0.2</v>
      </c>
      <c r="AZ34" s="99">
        <f>'【国内】问卷调研-数据源（P3单独执行） '!BA34*0.4</f>
        <v>0.8</v>
      </c>
      <c r="BA34" s="99">
        <f t="shared" si="18"/>
        <v>2.43333333333333</v>
      </c>
      <c r="BB34" s="274">
        <f t="shared" si="27"/>
        <v>3.8</v>
      </c>
      <c r="BC34" s="275">
        <f>'【国内】问卷调研-数据源（P3单独执行） '!BC34</f>
        <v>20.3552068473609</v>
      </c>
    </row>
    <row r="35" spans="1:55">
      <c r="A35" s="1" t="s">
        <v>112</v>
      </c>
      <c r="B35" s="1">
        <v>901</v>
      </c>
      <c r="C35" s="99">
        <f>'【国内】问卷调研-数据源（P3单独执行） '!C35*2</f>
        <v>0</v>
      </c>
      <c r="D35" s="99">
        <v>0</v>
      </c>
      <c r="E35" s="99">
        <f t="shared" si="19"/>
        <v>4.21666666666667</v>
      </c>
      <c r="F35" s="274">
        <f t="shared" si="22"/>
        <v>3.7</v>
      </c>
      <c r="G35" s="275">
        <f>'【国内】问卷调研-数据源（P3单独执行） '!G35</f>
        <v>9.84794672586015</v>
      </c>
      <c r="I35" s="276"/>
      <c r="J35" s="1">
        <v>901</v>
      </c>
      <c r="K35" s="99">
        <f>'【国内】问卷调研-数据源（P3单独执行） '!K35*2</f>
        <v>0</v>
      </c>
      <c r="L35" s="99">
        <v>0</v>
      </c>
      <c r="M35" s="99">
        <f t="shared" si="20"/>
        <v>4.5</v>
      </c>
      <c r="N35" s="274">
        <f t="shared" si="21"/>
        <v>3.8</v>
      </c>
      <c r="O35" s="275">
        <f>'【国内】问卷调研-数据源（P3单独执行） '!O35</f>
        <v>11.2586015538291</v>
      </c>
      <c r="Q35" s="276"/>
      <c r="R35" s="1">
        <v>901</v>
      </c>
      <c r="S35" s="99">
        <f>'【国内】问卷调研-数据源（P3单独执行） '!S35*2</f>
        <v>0</v>
      </c>
      <c r="T35" s="99">
        <v>0</v>
      </c>
      <c r="U35" s="99">
        <f t="shared" si="14"/>
        <v>4.78333333333333</v>
      </c>
      <c r="V35" s="274">
        <f t="shared" si="23"/>
        <v>3.9</v>
      </c>
      <c r="W35" s="275">
        <f>'【国内】问卷调研-数据源（P3单独执行） '!W35</f>
        <v>12.669256381798</v>
      </c>
      <c r="Y35" s="276"/>
      <c r="Z35" s="1">
        <v>901</v>
      </c>
      <c r="AA35" s="99">
        <f>'【国内】问卷调研-数据源（P3单独执行） '!AA35*2</f>
        <v>0</v>
      </c>
      <c r="AB35" s="99">
        <v>0</v>
      </c>
      <c r="AC35" s="99">
        <f t="shared" si="15"/>
        <v>5.06666666666667</v>
      </c>
      <c r="AD35" s="274">
        <f t="shared" si="24"/>
        <v>4</v>
      </c>
      <c r="AE35" s="275">
        <f>'【国内】问卷调研-数据源（P3单独执行） '!AE35</f>
        <v>14.0799112097669</v>
      </c>
      <c r="AG35" s="276"/>
      <c r="AH35" s="1">
        <v>901</v>
      </c>
      <c r="AI35" s="99">
        <f>'【国内】问卷调研-数据源（P3单独执行） '!AI35*2</f>
        <v>0</v>
      </c>
      <c r="AJ35" s="99">
        <v>0</v>
      </c>
      <c r="AK35" s="99">
        <f t="shared" si="16"/>
        <v>5.35</v>
      </c>
      <c r="AL35" s="274">
        <f t="shared" si="25"/>
        <v>4.1</v>
      </c>
      <c r="AM35" s="275">
        <f>'【国内】问卷调研-数据源（P3单独执行） '!AM35</f>
        <v>15.4905660377358</v>
      </c>
      <c r="AO35" s="276"/>
      <c r="AP35" s="1">
        <v>901</v>
      </c>
      <c r="AQ35" s="99">
        <f>'【国内】问卷调研-数据源（P3单独执行） '!AQ35*2</f>
        <v>0</v>
      </c>
      <c r="AR35" s="99">
        <v>0</v>
      </c>
      <c r="AS35" s="99">
        <f t="shared" si="17"/>
        <v>5.63333333333333</v>
      </c>
      <c r="AT35" s="274">
        <f t="shared" si="26"/>
        <v>4.2</v>
      </c>
      <c r="AU35" s="275">
        <f>'【国内】问卷调研-数据源（P3单独执行） '!AU35</f>
        <v>16.9012208657048</v>
      </c>
      <c r="AV35" s="1"/>
      <c r="AW35" s="276"/>
      <c r="AX35" s="1">
        <v>901</v>
      </c>
      <c r="AY35" s="99">
        <f>'【国内】问卷调研-数据源（P3单独执行） '!AY35*2</f>
        <v>0</v>
      </c>
      <c r="AZ35" s="99">
        <f>'【国内】问卷调研-数据源（P3单独执行） '!BA35*0.4</f>
        <v>0.92</v>
      </c>
      <c r="BA35" s="99">
        <f t="shared" si="18"/>
        <v>3.31</v>
      </c>
      <c r="BB35" s="274">
        <f t="shared" si="27"/>
        <v>4.3</v>
      </c>
      <c r="BC35" s="275">
        <f>'【国内】问卷调研-数据源（P3单独执行） '!BC35</f>
        <v>18.3118756936737</v>
      </c>
    </row>
    <row r="36" spans="1:55">
      <c r="A36" s="1" t="s">
        <v>113</v>
      </c>
      <c r="B36" s="1">
        <v>1001</v>
      </c>
      <c r="C36" s="99">
        <f>'【国内】问卷调研-数据源（P3单独执行） '!C36*2</f>
        <v>0.2</v>
      </c>
      <c r="D36" s="99">
        <v>0</v>
      </c>
      <c r="E36" s="99">
        <f t="shared" si="19"/>
        <v>4.21666666666667</v>
      </c>
      <c r="F36" s="274">
        <f t="shared" si="22"/>
        <v>4.2</v>
      </c>
      <c r="G36" s="275">
        <f>'【国内】问卷调研-数据源（P3单独执行） '!G36</f>
        <v>10.4925074925075</v>
      </c>
      <c r="I36" s="276"/>
      <c r="J36" s="1">
        <v>1001</v>
      </c>
      <c r="K36" s="99">
        <f>'【国内】问卷调研-数据源（P3单独执行） '!K36*2</f>
        <v>0.2</v>
      </c>
      <c r="L36" s="99">
        <v>0</v>
      </c>
      <c r="M36" s="99">
        <f t="shared" si="20"/>
        <v>4.5</v>
      </c>
      <c r="N36" s="274">
        <f t="shared" si="21"/>
        <v>4.3</v>
      </c>
      <c r="O36" s="275">
        <f>'【国内】问卷调研-数据源（P3单独执行） '!O36</f>
        <v>11.8621378621379</v>
      </c>
      <c r="Q36" s="276"/>
      <c r="R36" s="1">
        <v>1001</v>
      </c>
      <c r="S36" s="99">
        <f>'【国内】问卷调研-数据源（P3单独执行） '!S36*2</f>
        <v>0.2</v>
      </c>
      <c r="T36" s="99">
        <v>0</v>
      </c>
      <c r="U36" s="99">
        <f t="shared" si="14"/>
        <v>4.78333333333333</v>
      </c>
      <c r="V36" s="274">
        <f t="shared" si="23"/>
        <v>4.4</v>
      </c>
      <c r="W36" s="275">
        <f>'【国内】问卷调研-数据源（P3单独执行） '!W36</f>
        <v>13.2317682317682</v>
      </c>
      <c r="Y36" s="276"/>
      <c r="Z36" s="1">
        <v>1001</v>
      </c>
      <c r="AA36" s="99">
        <f>'【国内】问卷调研-数据源（P3单独执行） '!AA36*2</f>
        <v>0.2</v>
      </c>
      <c r="AB36" s="99">
        <v>0</v>
      </c>
      <c r="AC36" s="99">
        <f t="shared" si="15"/>
        <v>5.06666666666667</v>
      </c>
      <c r="AD36" s="274">
        <f t="shared" si="24"/>
        <v>4.5</v>
      </c>
      <c r="AE36" s="275">
        <f>'【国内】问卷调研-数据源（P3单独执行） '!AE36</f>
        <v>14.6013986013986</v>
      </c>
      <c r="AG36" s="276"/>
      <c r="AH36" s="1">
        <v>1001</v>
      </c>
      <c r="AI36" s="99">
        <f>'【国内】问卷调研-数据源（P3单独执行） '!AI36*2</f>
        <v>0.2</v>
      </c>
      <c r="AJ36" s="99">
        <v>0</v>
      </c>
      <c r="AK36" s="99">
        <f t="shared" si="16"/>
        <v>5.35</v>
      </c>
      <c r="AL36" s="274">
        <f t="shared" si="25"/>
        <v>4.6</v>
      </c>
      <c r="AM36" s="275">
        <f>'【国内】问卷调研-数据源（P3单独执行） '!AM36</f>
        <v>15.971028971029</v>
      </c>
      <c r="AO36" s="276"/>
      <c r="AP36" s="1">
        <v>1001</v>
      </c>
      <c r="AQ36" s="99">
        <f>'【国内】问卷调研-数据源（P3单独执行） '!AQ36*2</f>
        <v>0.2</v>
      </c>
      <c r="AR36" s="99">
        <v>0</v>
      </c>
      <c r="AS36" s="99">
        <f t="shared" si="17"/>
        <v>5.63333333333333</v>
      </c>
      <c r="AT36" s="274">
        <f t="shared" si="26"/>
        <v>4.7</v>
      </c>
      <c r="AU36" s="275">
        <f>'【国内】问卷调研-数据源（P3单独执行） '!AU36</f>
        <v>17.3406593406593</v>
      </c>
      <c r="AV36" s="1"/>
      <c r="AW36" s="276"/>
      <c r="AX36" s="1">
        <v>1001</v>
      </c>
      <c r="AY36" s="99">
        <f>'【国内】问卷调研-数据源（P3单独执行） '!AY36*2</f>
        <v>0.2</v>
      </c>
      <c r="AZ36" s="99">
        <f>'【国内】问卷调研-数据源（P3单独执行） '!BA36*0.4</f>
        <v>1</v>
      </c>
      <c r="BA36" s="99">
        <f t="shared" si="18"/>
        <v>3.08333333333333</v>
      </c>
      <c r="BB36" s="274">
        <f t="shared" si="27"/>
        <v>4.8</v>
      </c>
      <c r="BC36" s="275">
        <f>'【国内】问卷调研-数据源（P3单独执行） '!BC36</f>
        <v>18.7102897102897</v>
      </c>
    </row>
    <row r="37" spans="1:55">
      <c r="A37" s="1" t="s">
        <v>114</v>
      </c>
      <c r="B37" s="1">
        <v>1201</v>
      </c>
      <c r="C37" s="99">
        <f>'【国内】问卷调研-数据源（P3单独执行） '!C37*2</f>
        <v>0.2</v>
      </c>
      <c r="D37" s="99">
        <v>0</v>
      </c>
      <c r="E37" s="99">
        <f t="shared" si="19"/>
        <v>4.425</v>
      </c>
      <c r="F37" s="274">
        <f t="shared" si="22"/>
        <v>4.7</v>
      </c>
      <c r="G37" s="275">
        <f>'【国内】问卷调研-数据源（P3单独执行） '!G37</f>
        <v>9.57785179017485</v>
      </c>
      <c r="I37" s="276"/>
      <c r="J37" s="1">
        <v>1201</v>
      </c>
      <c r="K37" s="99">
        <f>'【国内】问卷调研-数据源（P3单独执行） '!K37*2</f>
        <v>0.2</v>
      </c>
      <c r="L37" s="99">
        <v>0</v>
      </c>
      <c r="M37" s="99">
        <f t="shared" si="20"/>
        <v>4.70833333333333</v>
      </c>
      <c r="N37" s="274">
        <f t="shared" si="21"/>
        <v>4.8</v>
      </c>
      <c r="O37" s="275">
        <f>'【国内】问卷调研-数据源（P3单独执行） '!O37</f>
        <v>10.8859283930058</v>
      </c>
      <c r="Q37" s="276"/>
      <c r="R37" s="1">
        <v>1201</v>
      </c>
      <c r="S37" s="99">
        <f>'【国内】问卷调研-数据源（P3单独执行） '!S37*2</f>
        <v>0.2</v>
      </c>
      <c r="T37" s="99">
        <v>0</v>
      </c>
      <c r="U37" s="99">
        <f t="shared" si="14"/>
        <v>4.99166666666667</v>
      </c>
      <c r="V37" s="274">
        <f t="shared" si="23"/>
        <v>4.9</v>
      </c>
      <c r="W37" s="275">
        <f>'【国内】问卷调研-数据源（P3单独执行） '!W37</f>
        <v>12.1940049958368</v>
      </c>
      <c r="Y37" s="276"/>
      <c r="Z37" s="1">
        <v>1201</v>
      </c>
      <c r="AA37" s="99">
        <f>'【国内】问卷调研-数据源（P3单独执行） '!AA37*2</f>
        <v>0.2</v>
      </c>
      <c r="AB37" s="99">
        <v>0</v>
      </c>
      <c r="AC37" s="99">
        <f t="shared" si="15"/>
        <v>5.275</v>
      </c>
      <c r="AD37" s="274">
        <f t="shared" si="24"/>
        <v>5</v>
      </c>
      <c r="AE37" s="275">
        <f>'【国内】问卷调研-数据源（P3单独执行） '!AE37</f>
        <v>13.5020815986678</v>
      </c>
      <c r="AG37" s="276"/>
      <c r="AH37" s="1">
        <v>1201</v>
      </c>
      <c r="AI37" s="99">
        <f>'【国内】问卷调研-数据源（P3单独执行） '!AI37*2</f>
        <v>0.2</v>
      </c>
      <c r="AJ37" s="99">
        <v>0</v>
      </c>
      <c r="AK37" s="99">
        <f t="shared" si="16"/>
        <v>5.55833333333333</v>
      </c>
      <c r="AL37" s="274">
        <f t="shared" si="25"/>
        <v>5.1</v>
      </c>
      <c r="AM37" s="275">
        <f>'【国内】问卷调研-数据源（P3单独执行） '!AM37</f>
        <v>14.8101582014988</v>
      </c>
      <c r="AO37" s="276"/>
      <c r="AP37" s="1">
        <v>1201</v>
      </c>
      <c r="AQ37" s="99">
        <f>'【国内】问卷调研-数据源（P3单独执行） '!AQ37*2</f>
        <v>0.2</v>
      </c>
      <c r="AR37" s="99">
        <v>0</v>
      </c>
      <c r="AS37" s="99">
        <f t="shared" si="17"/>
        <v>5.84166666666667</v>
      </c>
      <c r="AT37" s="274">
        <f t="shared" si="26"/>
        <v>5.2</v>
      </c>
      <c r="AU37" s="275">
        <f>'【国内】问卷调研-数据源（P3单独执行） '!AU37</f>
        <v>16.1182348043297</v>
      </c>
      <c r="AV37" s="1"/>
      <c r="AW37" s="276"/>
      <c r="AX37" s="1">
        <v>1201</v>
      </c>
      <c r="AY37" s="99">
        <f>'【国内】问卷调研-数据源（P3单独执行） '!AY37*2</f>
        <v>0.2</v>
      </c>
      <c r="AZ37" s="99">
        <f>'【国内】问卷调研-数据源（P3单独执行） '!BA37*0.4</f>
        <v>1.04</v>
      </c>
      <c r="BA37" s="99">
        <f t="shared" si="18"/>
        <v>3.17833333333333</v>
      </c>
      <c r="BB37" s="274">
        <f t="shared" si="27"/>
        <v>5.3</v>
      </c>
      <c r="BC37" s="275">
        <f>'【国内】问卷调研-数据源（P3单独执行） '!BC37</f>
        <v>17.4263114071607</v>
      </c>
    </row>
    <row r="38" spans="1:55">
      <c r="A38" s="1" t="s">
        <v>115</v>
      </c>
      <c r="B38" s="1">
        <v>1401</v>
      </c>
      <c r="C38" s="99">
        <f>'【国内】问卷调研-数据源（P3单独执行） '!C38*2</f>
        <v>0.2</v>
      </c>
      <c r="D38" s="99">
        <v>0</v>
      </c>
      <c r="E38" s="99">
        <f t="shared" si="19"/>
        <v>4.60833333333333</v>
      </c>
      <c r="F38" s="274">
        <f t="shared" si="22"/>
        <v>5.2</v>
      </c>
      <c r="G38" s="275">
        <f>'【国内】问卷调研-数据源（P3单独执行） '!G38</f>
        <v>8.90292648108494</v>
      </c>
      <c r="I38" s="276"/>
      <c r="J38" s="1">
        <v>1401</v>
      </c>
      <c r="K38" s="99">
        <f>'【国内】问卷调研-数据源（P3单独执行） '!K38*2</f>
        <v>0.2</v>
      </c>
      <c r="L38" s="99">
        <v>0</v>
      </c>
      <c r="M38" s="99">
        <f t="shared" si="20"/>
        <v>4.89166666666667</v>
      </c>
      <c r="N38" s="274">
        <f t="shared" si="21"/>
        <v>5.3</v>
      </c>
      <c r="O38" s="275">
        <f>'【国内】问卷调研-数据源（P3单独执行） '!O38</f>
        <v>10.1670235546039</v>
      </c>
      <c r="Q38" s="276"/>
      <c r="R38" s="1">
        <v>1401</v>
      </c>
      <c r="S38" s="99">
        <f>'【国内】问卷调研-数据源（P3单独执行） '!S38*2</f>
        <v>0.2</v>
      </c>
      <c r="T38" s="99">
        <v>0</v>
      </c>
      <c r="U38" s="99">
        <f t="shared" si="14"/>
        <v>5.175</v>
      </c>
      <c r="V38" s="274">
        <f t="shared" si="23"/>
        <v>5.4</v>
      </c>
      <c r="W38" s="275">
        <f>'【国内】问卷调研-数据源（P3单独执行） '!W38</f>
        <v>11.4311206281228</v>
      </c>
      <c r="Y38" s="276"/>
      <c r="Z38" s="1">
        <v>1401</v>
      </c>
      <c r="AA38" s="99">
        <f>'【国内】问卷调研-数据源（P3单独执行） '!AA38*2</f>
        <v>0.2</v>
      </c>
      <c r="AB38" s="99">
        <v>0</v>
      </c>
      <c r="AC38" s="99">
        <f t="shared" si="15"/>
        <v>5.45833333333333</v>
      </c>
      <c r="AD38" s="274">
        <f t="shared" si="24"/>
        <v>5.5</v>
      </c>
      <c r="AE38" s="275">
        <f>'【国内】问卷调研-数据源（P3单独执行） '!AE38</f>
        <v>12.6952177016417</v>
      </c>
      <c r="AG38" s="276"/>
      <c r="AH38" s="1">
        <v>1401</v>
      </c>
      <c r="AI38" s="99">
        <f>'【国内】问卷调研-数据源（P3单独执行） '!AI38*2</f>
        <v>0.2</v>
      </c>
      <c r="AJ38" s="99">
        <v>0</v>
      </c>
      <c r="AK38" s="99">
        <f t="shared" si="16"/>
        <v>5.74166666666667</v>
      </c>
      <c r="AL38" s="274">
        <f t="shared" si="25"/>
        <v>5.6</v>
      </c>
      <c r="AM38" s="275">
        <f>'【国内】问卷调研-数据源（P3单独执行） '!AM38</f>
        <v>13.9593147751606</v>
      </c>
      <c r="AO38" s="276"/>
      <c r="AP38" s="1">
        <v>1401</v>
      </c>
      <c r="AQ38" s="99">
        <f>'【国内】问卷调研-数据源（P3单独执行） '!AQ38*2</f>
        <v>0.2</v>
      </c>
      <c r="AR38" s="99">
        <v>0</v>
      </c>
      <c r="AS38" s="99">
        <f t="shared" si="17"/>
        <v>6.025</v>
      </c>
      <c r="AT38" s="274">
        <f t="shared" si="26"/>
        <v>5.7</v>
      </c>
      <c r="AU38" s="275">
        <f>'【国内】问卷调研-数据源（P3单独执行） '!AU38</f>
        <v>15.2234118486795</v>
      </c>
      <c r="AV38" s="1"/>
      <c r="AW38" s="276"/>
      <c r="AX38" s="1">
        <v>1401</v>
      </c>
      <c r="AY38" s="99">
        <f>'【国内】问卷调研-数据源（P3单独执行） '!AY38*2</f>
        <v>0.2</v>
      </c>
      <c r="AZ38" s="99">
        <f>'【国内】问卷调研-数据源（P3单独执行） '!BA38*0.6</f>
        <v>1.62</v>
      </c>
      <c r="BA38" s="99">
        <f t="shared" si="18"/>
        <v>1.71833333333333</v>
      </c>
      <c r="BB38" s="274">
        <f t="shared" si="27"/>
        <v>5.8</v>
      </c>
      <c r="BC38" s="275">
        <f>'【国内】问卷调研-数据源（P3单独执行） '!BC38</f>
        <v>16.4875089221984</v>
      </c>
    </row>
    <row r="39" spans="1:55">
      <c r="A39" s="1" t="s">
        <v>116</v>
      </c>
      <c r="B39" s="1">
        <v>1601</v>
      </c>
      <c r="C39" s="99">
        <f>'【国内】问卷调研-数据源（P3单独执行） '!C39*2</f>
        <v>0.2</v>
      </c>
      <c r="D39" s="99">
        <v>0</v>
      </c>
      <c r="E39" s="99">
        <f t="shared" si="19"/>
        <v>5.1</v>
      </c>
      <c r="F39" s="274">
        <f t="shared" si="22"/>
        <v>5.5</v>
      </c>
      <c r="G39" s="275">
        <f>'【国内】问卷调研-数据源（P3单独执行） '!G39</f>
        <v>8.59025608994379</v>
      </c>
      <c r="I39" s="276"/>
      <c r="J39" s="1">
        <v>1601</v>
      </c>
      <c r="K39" s="99">
        <f>'【国内】问卷调研-数据源（P3单独执行） '!K39*2</f>
        <v>0.2</v>
      </c>
      <c r="L39" s="99">
        <v>0</v>
      </c>
      <c r="M39" s="99">
        <f t="shared" si="20"/>
        <v>5.38333333333333</v>
      </c>
      <c r="N39" s="274">
        <f t="shared" si="21"/>
        <v>5.6</v>
      </c>
      <c r="O39" s="275">
        <f>'【国内】问卷调研-数据源（P3单独执行） '!O39</f>
        <v>9.82136164896939</v>
      </c>
      <c r="Q39" s="276"/>
      <c r="R39" s="1">
        <v>1601</v>
      </c>
      <c r="S39" s="99">
        <f>'【国内】问卷调研-数据源（P3单独执行） '!S39*2</f>
        <v>0.2</v>
      </c>
      <c r="T39" s="99">
        <v>0</v>
      </c>
      <c r="U39" s="99">
        <f t="shared" si="14"/>
        <v>5.66666666666667</v>
      </c>
      <c r="V39" s="274">
        <f t="shared" si="23"/>
        <v>5.7</v>
      </c>
      <c r="W39" s="275">
        <f>'【国内】问卷调研-数据源（P3单独执行） '!W39</f>
        <v>11.052467207995</v>
      </c>
      <c r="Y39" s="276"/>
      <c r="Z39" s="1">
        <v>1601</v>
      </c>
      <c r="AA39" s="99">
        <f>'【国内】问卷调研-数据源（P3单独执行） '!AA39*2</f>
        <v>0.2</v>
      </c>
      <c r="AB39" s="99">
        <v>0</v>
      </c>
      <c r="AC39" s="99">
        <f t="shared" si="15"/>
        <v>5.95</v>
      </c>
      <c r="AD39" s="274">
        <f t="shared" si="24"/>
        <v>5.8</v>
      </c>
      <c r="AE39" s="275">
        <f>'【国内】问卷调研-数据源（P3单独执行） '!AE39</f>
        <v>12.2835727670206</v>
      </c>
      <c r="AG39" s="276"/>
      <c r="AH39" s="1">
        <v>1601</v>
      </c>
      <c r="AI39" s="99">
        <f>'【国内】问卷调研-数据源（P3单独执行） '!AI39*2</f>
        <v>0.2</v>
      </c>
      <c r="AJ39" s="99">
        <v>0</v>
      </c>
      <c r="AK39" s="99">
        <f t="shared" si="16"/>
        <v>6.23333333333333</v>
      </c>
      <c r="AL39" s="274">
        <f t="shared" si="25"/>
        <v>5.9</v>
      </c>
      <c r="AM39" s="275">
        <f>'【国内】问卷调研-数据源（P3单独执行） '!AM39</f>
        <v>13.5146783260462</v>
      </c>
      <c r="AO39" s="276"/>
      <c r="AP39" s="1">
        <v>1601</v>
      </c>
      <c r="AQ39" s="99">
        <f>'【国内】问卷调研-数据源（P3单独执行） '!AQ39*2</f>
        <v>0.2</v>
      </c>
      <c r="AR39" s="99">
        <v>0</v>
      </c>
      <c r="AS39" s="99">
        <f t="shared" si="17"/>
        <v>6.51666666666667</v>
      </c>
      <c r="AT39" s="274">
        <f t="shared" si="26"/>
        <v>6</v>
      </c>
      <c r="AU39" s="275">
        <f>'【国内】问卷调研-数据源（P3单独执行） '!AU39</f>
        <v>14.7457838850718</v>
      </c>
      <c r="AV39" s="1"/>
      <c r="AW39" s="276"/>
      <c r="AX39" s="1">
        <v>1601</v>
      </c>
      <c r="AY39" s="99">
        <f>'【国内】问卷调研-数据源（P3单独执行） '!AY39*2</f>
        <v>0.2</v>
      </c>
      <c r="AZ39" s="99">
        <f>'【国内】问卷调研-数据源（P3单独执行） '!BA39*0.6</f>
        <v>1.74</v>
      </c>
      <c r="BA39" s="99">
        <f t="shared" si="18"/>
        <v>1.87</v>
      </c>
      <c r="BB39" s="274">
        <f t="shared" si="27"/>
        <v>6.1</v>
      </c>
      <c r="BC39" s="275">
        <f>'【国内】问卷调研-数据源（P3单独执行） '!BC39</f>
        <v>15.9768894440974</v>
      </c>
    </row>
    <row r="40" spans="1:55">
      <c r="A40" s="1" t="s">
        <v>117</v>
      </c>
      <c r="B40" s="1">
        <v>1801</v>
      </c>
      <c r="C40" s="99">
        <f>'【国内】问卷调研-数据源（P3单独执行） '!C40*2</f>
        <v>0.2</v>
      </c>
      <c r="D40" s="99">
        <v>0</v>
      </c>
      <c r="E40" s="99">
        <f t="shared" si="19"/>
        <v>5.66666666666667</v>
      </c>
      <c r="F40" s="274">
        <f t="shared" si="22"/>
        <v>5.5</v>
      </c>
      <c r="G40" s="275">
        <f>'【国内】问卷调研-数据源（P3单独执行） '!G40</f>
        <v>8.3470294280955</v>
      </c>
      <c r="I40" s="276"/>
      <c r="J40" s="1">
        <v>1801</v>
      </c>
      <c r="K40" s="99">
        <f>'【国内】问卷调研-数据源（P3单独执行） '!K40*2</f>
        <v>0.2</v>
      </c>
      <c r="L40" s="99">
        <v>0</v>
      </c>
      <c r="M40" s="99">
        <f t="shared" si="20"/>
        <v>5.95</v>
      </c>
      <c r="N40" s="274">
        <f t="shared" si="21"/>
        <v>5.6</v>
      </c>
      <c r="O40" s="275">
        <f>'【国内】问卷调研-数据源（P3单独执行） '!O40</f>
        <v>9.55247084952804</v>
      </c>
      <c r="Q40" s="276"/>
      <c r="R40" s="1">
        <v>1801</v>
      </c>
      <c r="S40" s="99">
        <f>'【国内】问卷调研-数据源（P3单独执行） '!S40*2</f>
        <v>0.2</v>
      </c>
      <c r="T40" s="99">
        <v>0</v>
      </c>
      <c r="U40" s="99">
        <f t="shared" si="14"/>
        <v>6.23333333333333</v>
      </c>
      <c r="V40" s="274">
        <f t="shared" si="23"/>
        <v>5.7</v>
      </c>
      <c r="W40" s="275">
        <f>'【国内】问卷调研-数据源（P3单独执行） '!W40</f>
        <v>10.7579122709606</v>
      </c>
      <c r="Y40" s="276"/>
      <c r="Z40" s="1">
        <v>1801</v>
      </c>
      <c r="AA40" s="99">
        <f>'【国内】问卷调研-数据源（P3单独执行） '!AA40*2</f>
        <v>0.2</v>
      </c>
      <c r="AB40" s="99">
        <v>0</v>
      </c>
      <c r="AC40" s="99">
        <f t="shared" si="15"/>
        <v>6.51666666666667</v>
      </c>
      <c r="AD40" s="274">
        <f t="shared" si="24"/>
        <v>5.8</v>
      </c>
      <c r="AE40" s="275">
        <f>'【国内】问卷调研-数据源（P3单独执行） '!AE40</f>
        <v>11.9633536923931</v>
      </c>
      <c r="AG40" s="276"/>
      <c r="AH40" s="1">
        <v>1801</v>
      </c>
      <c r="AI40" s="99">
        <f>'【国内】问卷调研-数据源（P3单独执行） '!AI40*2</f>
        <v>0.2</v>
      </c>
      <c r="AJ40" s="99">
        <v>0</v>
      </c>
      <c r="AK40" s="99">
        <f t="shared" si="16"/>
        <v>6.8</v>
      </c>
      <c r="AL40" s="274">
        <f t="shared" si="25"/>
        <v>5.9</v>
      </c>
      <c r="AM40" s="275">
        <f>'【国内】问卷调研-数据源（P3单独执行） '!AM40</f>
        <v>13.1687951138257</v>
      </c>
      <c r="AO40" s="276"/>
      <c r="AP40" s="1">
        <v>1801</v>
      </c>
      <c r="AQ40" s="99">
        <f>'【国内】问卷调研-数据源（P3单独执行） '!AQ40*2</f>
        <v>0.2</v>
      </c>
      <c r="AR40" s="99">
        <v>0</v>
      </c>
      <c r="AS40" s="99">
        <f t="shared" si="17"/>
        <v>7.08333333333333</v>
      </c>
      <c r="AT40" s="274">
        <f t="shared" si="26"/>
        <v>6</v>
      </c>
      <c r="AU40" s="275">
        <f>'【国内】问卷调研-数据源（P3单独执行） '!AU40</f>
        <v>14.3742365352582</v>
      </c>
      <c r="AV40" s="1"/>
      <c r="AW40" s="276"/>
      <c r="AX40" s="1">
        <v>1801</v>
      </c>
      <c r="AY40" s="99">
        <f>'【国内】问卷调研-数据源（P3单独执行） '!AY40*2</f>
        <v>0.2</v>
      </c>
      <c r="AZ40" s="99">
        <f>'【国内】问卷调研-数据源（P3单独执行） '!BA40*0.6</f>
        <v>1.86</v>
      </c>
      <c r="BA40" s="99">
        <f t="shared" si="18"/>
        <v>2.09666666666667</v>
      </c>
      <c r="BB40" s="274">
        <f t="shared" si="27"/>
        <v>6.1</v>
      </c>
      <c r="BC40" s="275">
        <f>'【国内】问卷调研-数据源（P3单独执行） '!BC40</f>
        <v>15.5796779566907</v>
      </c>
    </row>
    <row r="41" spans="1:55">
      <c r="A41" s="1" t="s">
        <v>118</v>
      </c>
      <c r="B41" s="1">
        <v>2001</v>
      </c>
      <c r="C41" s="99">
        <f>'【国内】问卷调研-数据源（P3单独执行） '!C41*2</f>
        <v>0.4</v>
      </c>
      <c r="D41" s="99">
        <v>0</v>
      </c>
      <c r="E41" s="99">
        <f t="shared" si="19"/>
        <v>5.74166666666667</v>
      </c>
      <c r="F41" s="274">
        <f t="shared" si="22"/>
        <v>5.7</v>
      </c>
      <c r="G41" s="275">
        <f>'【国内】问卷调研-数据源（P3单独执行） '!G41</f>
        <v>8.47726136931534</v>
      </c>
      <c r="I41" s="276"/>
      <c r="J41" s="1">
        <v>2001</v>
      </c>
      <c r="K41" s="99">
        <f>'【国内】问卷调研-数据源（P3单独执行） '!K41*2</f>
        <v>0.4</v>
      </c>
      <c r="L41" s="99">
        <v>0</v>
      </c>
      <c r="M41" s="99">
        <f t="shared" si="20"/>
        <v>6.025</v>
      </c>
      <c r="N41" s="274">
        <f t="shared" si="21"/>
        <v>5.8</v>
      </c>
      <c r="O41" s="275">
        <f>'【国内】问卷调研-数据源（P3单独执行） '!O41</f>
        <v>9.66216891554223</v>
      </c>
      <c r="Q41" s="276"/>
      <c r="R41" s="1">
        <v>2001</v>
      </c>
      <c r="S41" s="99">
        <f>'【国内】问卷调研-数据源（P3单独执行） '!S41*2</f>
        <v>0.4</v>
      </c>
      <c r="T41" s="99">
        <v>0</v>
      </c>
      <c r="U41" s="99">
        <f t="shared" si="14"/>
        <v>6.30833333333333</v>
      </c>
      <c r="V41" s="274">
        <f t="shared" si="23"/>
        <v>5.9</v>
      </c>
      <c r="W41" s="275">
        <f>'【国内】问卷调研-数据源（P3单独执行） '!W41</f>
        <v>10.8470764617691</v>
      </c>
      <c r="Y41" s="276"/>
      <c r="Z41" s="1">
        <v>2001</v>
      </c>
      <c r="AA41" s="99">
        <f>'【国内】问卷调研-数据源（P3单独执行） '!AA41*2</f>
        <v>0.4</v>
      </c>
      <c r="AB41" s="99">
        <v>0</v>
      </c>
      <c r="AC41" s="99">
        <f t="shared" si="15"/>
        <v>6.59166666666667</v>
      </c>
      <c r="AD41" s="274">
        <f t="shared" si="24"/>
        <v>6</v>
      </c>
      <c r="AE41" s="275">
        <f>'【国内】问卷调研-数据源（P3单独执行） '!AE41</f>
        <v>12.031984007996</v>
      </c>
      <c r="AG41" s="276"/>
      <c r="AH41" s="1">
        <v>2001</v>
      </c>
      <c r="AI41" s="99">
        <f>'【国内】问卷调研-数据源（P3单独执行） '!AI41*2</f>
        <v>0.4</v>
      </c>
      <c r="AJ41" s="99">
        <v>0</v>
      </c>
      <c r="AK41" s="99">
        <f t="shared" si="16"/>
        <v>6.875</v>
      </c>
      <c r="AL41" s="274">
        <f t="shared" si="25"/>
        <v>6.1</v>
      </c>
      <c r="AM41" s="275">
        <f>'【国内】问卷调研-数据源（P3单独执行） '!AM41</f>
        <v>13.2168915542229</v>
      </c>
      <c r="AO41" s="276"/>
      <c r="AP41" s="1">
        <v>2001</v>
      </c>
      <c r="AQ41" s="99">
        <f>'【国内】问卷调研-数据源（P3单独执行） '!AQ41*2</f>
        <v>0.4</v>
      </c>
      <c r="AR41" s="99">
        <v>0</v>
      </c>
      <c r="AS41" s="99">
        <f t="shared" si="17"/>
        <v>7.15833333333333</v>
      </c>
      <c r="AT41" s="274">
        <f t="shared" si="26"/>
        <v>6.2</v>
      </c>
      <c r="AU41" s="275">
        <f>'【国内】问卷调研-数据源（P3单独执行） '!AU41</f>
        <v>14.4017991004498</v>
      </c>
      <c r="AV41" s="1"/>
      <c r="AW41" s="276"/>
      <c r="AX41" s="1">
        <v>2001</v>
      </c>
      <c r="AY41" s="99">
        <f>'【国内】问卷调研-数据源（P3单独执行） '!AY41*2</f>
        <v>0.4</v>
      </c>
      <c r="AZ41" s="99">
        <f>'【国内】问卷调研-数据源（P3单独执行） '!BA41*0.6</f>
        <v>1.98</v>
      </c>
      <c r="BA41" s="99">
        <f t="shared" si="18"/>
        <v>1.83166666666667</v>
      </c>
      <c r="BB41" s="274">
        <f t="shared" si="27"/>
        <v>6.3</v>
      </c>
      <c r="BC41" s="275">
        <f>'【国内】问卷调研-数据源（P3单独执行） '!BC41</f>
        <v>15.5867066466767</v>
      </c>
    </row>
    <row r="42" spans="1:55">
      <c r="A42" s="1" t="s">
        <v>119</v>
      </c>
      <c r="B42" s="1">
        <v>2201</v>
      </c>
      <c r="C42" s="99">
        <f>'【国内】问卷调研-数据源（P3单独执行） '!C42*2</f>
        <v>0.4</v>
      </c>
      <c r="D42" s="99">
        <v>0</v>
      </c>
      <c r="E42" s="99">
        <f t="shared" si="19"/>
        <v>6.25833333333333</v>
      </c>
      <c r="F42" s="274">
        <f t="shared" si="22"/>
        <v>5.9</v>
      </c>
      <c r="G42" s="275">
        <f>'【国内】问卷调研-数据源（P3单独执行） '!G42</f>
        <v>8.28850522489777</v>
      </c>
      <c r="I42" s="276"/>
      <c r="J42" s="1">
        <v>2201</v>
      </c>
      <c r="K42" s="99">
        <f>'【国内】问卷调研-数据源（P3单独执行） '!K42*2</f>
        <v>0.4</v>
      </c>
      <c r="L42" s="99">
        <v>0</v>
      </c>
      <c r="M42" s="99">
        <f t="shared" si="20"/>
        <v>6.54166666666667</v>
      </c>
      <c r="N42" s="274">
        <f t="shared" si="21"/>
        <v>6</v>
      </c>
      <c r="O42" s="275">
        <f>'【国内】问卷调研-数据源（P3单独执行） '!O42</f>
        <v>9.45661063153112</v>
      </c>
      <c r="Q42" s="276"/>
      <c r="R42" s="1">
        <v>2201</v>
      </c>
      <c r="S42" s="99">
        <f>'【国内】问卷调研-数据源（P3单独执行） '!S42*2</f>
        <v>0.4</v>
      </c>
      <c r="T42" s="99">
        <v>0</v>
      </c>
      <c r="U42" s="99">
        <f t="shared" si="14"/>
        <v>6.825</v>
      </c>
      <c r="V42" s="274">
        <f t="shared" si="23"/>
        <v>6.1</v>
      </c>
      <c r="W42" s="275">
        <f>'【国内】问卷调研-数据源（P3单独执行） '!W42</f>
        <v>10.6247160381645</v>
      </c>
      <c r="Y42" s="276"/>
      <c r="Z42" s="1">
        <v>2201</v>
      </c>
      <c r="AA42" s="99">
        <f>'【国内】问卷调研-数据源（P3单独执行） '!AA42*2</f>
        <v>0.4</v>
      </c>
      <c r="AB42" s="99">
        <v>0</v>
      </c>
      <c r="AC42" s="99">
        <f t="shared" si="15"/>
        <v>7.10833333333333</v>
      </c>
      <c r="AD42" s="274">
        <f t="shared" si="24"/>
        <v>6.2</v>
      </c>
      <c r="AE42" s="275">
        <f>'【国内】问卷调研-数据源（P3单独执行） '!AE42</f>
        <v>11.7928214447978</v>
      </c>
      <c r="AG42" s="276"/>
      <c r="AH42" s="1">
        <v>2201</v>
      </c>
      <c r="AI42" s="99">
        <f>'【国内】问卷调研-数据源（P3单独执行） '!AI42*2</f>
        <v>0.4</v>
      </c>
      <c r="AJ42" s="99">
        <v>0</v>
      </c>
      <c r="AK42" s="99">
        <f t="shared" si="16"/>
        <v>7.39166666666667</v>
      </c>
      <c r="AL42" s="274">
        <f t="shared" si="25"/>
        <v>6.3</v>
      </c>
      <c r="AM42" s="275">
        <f>'【国内】问卷调研-数据源（P3单独执行） '!AM42</f>
        <v>12.9609268514312</v>
      </c>
      <c r="AO42" s="276"/>
      <c r="AP42" s="1">
        <v>2201</v>
      </c>
      <c r="AQ42" s="99">
        <f>'【国内】问卷调研-数据源（P3单独执行） '!AQ42*2</f>
        <v>0.4</v>
      </c>
      <c r="AR42" s="99">
        <v>0</v>
      </c>
      <c r="AS42" s="99">
        <f t="shared" si="17"/>
        <v>7.675</v>
      </c>
      <c r="AT42" s="274">
        <f t="shared" si="26"/>
        <v>6.4</v>
      </c>
      <c r="AU42" s="275">
        <f>'【国内】问卷调研-数据源（P3单独执行） '!AU42</f>
        <v>14.1290322580645</v>
      </c>
      <c r="AV42" s="1"/>
      <c r="AW42" s="276"/>
      <c r="AX42" s="1">
        <v>2201</v>
      </c>
      <c r="AY42" s="99">
        <f>'【国内】问卷调研-数据源（P3单独执行） '!AY42*2</f>
        <v>0.4</v>
      </c>
      <c r="AZ42" s="99">
        <f>'【国内】问卷调研-数据源（P3单独执行） '!BA42*0.6</f>
        <v>2.1</v>
      </c>
      <c r="BA42" s="99">
        <f t="shared" si="18"/>
        <v>2.00833333333333</v>
      </c>
      <c r="BB42" s="274">
        <f t="shared" si="27"/>
        <v>6.5</v>
      </c>
      <c r="BC42" s="275">
        <f>'【国内】问卷调研-数据源（P3单独执行） '!BC42</f>
        <v>15.2971376646979</v>
      </c>
    </row>
    <row r="43" spans="1:55">
      <c r="A43" s="1" t="s">
        <v>120</v>
      </c>
      <c r="B43" s="1">
        <v>2401</v>
      </c>
      <c r="C43" s="99">
        <f>'【国内】问卷调研-数据源（P3单独执行） '!C43*2</f>
        <v>0.4</v>
      </c>
      <c r="D43" s="99">
        <v>0</v>
      </c>
      <c r="E43" s="99">
        <f t="shared" si="19"/>
        <v>6.51666666666667</v>
      </c>
      <c r="F43" s="274">
        <f t="shared" si="22"/>
        <v>6</v>
      </c>
      <c r="G43" s="275">
        <f>'【国内】问卷调研-数据源（P3单独执行） '!G43</f>
        <v>7.98958767180341</v>
      </c>
      <c r="I43" s="276"/>
      <c r="J43" s="1">
        <v>2401</v>
      </c>
      <c r="K43" s="99">
        <f>'【国内】问卷调研-数据源（P3单独执行） '!K43*2</f>
        <v>0.4</v>
      </c>
      <c r="L43" s="99">
        <v>0</v>
      </c>
      <c r="M43" s="99">
        <f t="shared" si="20"/>
        <v>6.8</v>
      </c>
      <c r="N43" s="274">
        <f t="shared" si="21"/>
        <v>6.1</v>
      </c>
      <c r="O43" s="275">
        <f>'【国内】问卷调研-数据源（P3单独执行） '!O43</f>
        <v>9.14369012911287</v>
      </c>
      <c r="Q43" s="276"/>
      <c r="R43" s="1">
        <v>2401</v>
      </c>
      <c r="S43" s="99">
        <f>'【国内】问卷调研-数据源（P3单独执行） '!S43*2</f>
        <v>0.4</v>
      </c>
      <c r="T43" s="99">
        <v>0</v>
      </c>
      <c r="U43" s="99">
        <f t="shared" si="14"/>
        <v>7.08333333333333</v>
      </c>
      <c r="V43" s="274">
        <f t="shared" si="23"/>
        <v>6.2</v>
      </c>
      <c r="W43" s="275">
        <f>'【国内】问卷调研-数据源（P3单独执行） '!W43</f>
        <v>10.2977925864223</v>
      </c>
      <c r="Y43" s="276"/>
      <c r="Z43" s="1">
        <v>2401</v>
      </c>
      <c r="AA43" s="99">
        <f>'【国内】问卷调研-数据源（P3单独执行） '!AA43*2</f>
        <v>0.4</v>
      </c>
      <c r="AB43" s="99">
        <v>0</v>
      </c>
      <c r="AC43" s="99">
        <f t="shared" si="15"/>
        <v>7.36666666666667</v>
      </c>
      <c r="AD43" s="274">
        <f t="shared" si="24"/>
        <v>6.3</v>
      </c>
      <c r="AE43" s="275">
        <f>'【国内】问卷调研-数据源（P3单独执行） '!AE43</f>
        <v>11.4518950437318</v>
      </c>
      <c r="AG43" s="276"/>
      <c r="AH43" s="1">
        <v>2401</v>
      </c>
      <c r="AI43" s="99">
        <f>'【国内】问卷调研-数据源（P3单独执行） '!AI43*2</f>
        <v>0.4</v>
      </c>
      <c r="AJ43" s="99">
        <v>0</v>
      </c>
      <c r="AK43" s="99">
        <f t="shared" si="16"/>
        <v>7.65</v>
      </c>
      <c r="AL43" s="274">
        <f t="shared" si="25"/>
        <v>6.4</v>
      </c>
      <c r="AM43" s="275">
        <f>'【国内】问卷调研-数据源（P3单独执行） '!AM43</f>
        <v>12.6059975010412</v>
      </c>
      <c r="AO43" s="276"/>
      <c r="AP43" s="1">
        <v>2401</v>
      </c>
      <c r="AQ43" s="99">
        <f>'【国内】问卷调研-数据源（P3单独执行） '!AQ43*2</f>
        <v>0.4</v>
      </c>
      <c r="AR43" s="99">
        <v>0</v>
      </c>
      <c r="AS43" s="99">
        <f t="shared" si="17"/>
        <v>7.93333333333333</v>
      </c>
      <c r="AT43" s="274">
        <f t="shared" si="26"/>
        <v>6.5</v>
      </c>
      <c r="AU43" s="275">
        <f>'【国内】问卷调研-数据源（P3单独执行） '!AU43</f>
        <v>13.7600999583507</v>
      </c>
      <c r="AV43" s="1"/>
      <c r="AW43" s="276"/>
      <c r="AX43" s="1">
        <v>2401</v>
      </c>
      <c r="AY43" s="99">
        <f>'【国内】问卷调研-数据源（P3单独执行） '!AY43*2</f>
        <v>0.4</v>
      </c>
      <c r="AZ43" s="99">
        <f>'【国内】问卷调研-数据源（P3单独执行） '!BA43*0.6</f>
        <v>2.16</v>
      </c>
      <c r="BA43" s="99">
        <f t="shared" si="18"/>
        <v>2.09666666666667</v>
      </c>
      <c r="BB43" s="274">
        <f t="shared" si="27"/>
        <v>6.6</v>
      </c>
      <c r="BC43" s="275">
        <f>'【国内】问卷调研-数据源（P3单独执行） '!BC43</f>
        <v>14.9142024156601</v>
      </c>
    </row>
    <row r="44" spans="1:55">
      <c r="A44" s="1" t="s">
        <v>121</v>
      </c>
      <c r="B44" s="1">
        <v>2601</v>
      </c>
      <c r="C44" s="99">
        <f>'【国内】问卷调研-数据源（P3单独执行） '!C44*2</f>
        <v>0.6</v>
      </c>
      <c r="D44" s="99">
        <v>0</v>
      </c>
      <c r="E44" s="99">
        <f t="shared" si="19"/>
        <v>6.28333333333333</v>
      </c>
      <c r="F44" s="274">
        <f t="shared" si="22"/>
        <v>6.1</v>
      </c>
      <c r="G44" s="275">
        <f>'【国内】问卷调研-数据源（P3单独执行） '!G44</f>
        <v>7.96347558631296</v>
      </c>
      <c r="I44" s="276"/>
      <c r="J44" s="1">
        <v>2601</v>
      </c>
      <c r="K44" s="99">
        <f>'【国内】问卷调研-数据源（P3单独执行） '!K44*2</f>
        <v>0.6</v>
      </c>
      <c r="L44" s="99">
        <v>0</v>
      </c>
      <c r="M44" s="99">
        <f t="shared" si="20"/>
        <v>6.56666666666667</v>
      </c>
      <c r="N44" s="274">
        <f t="shared" si="21"/>
        <v>6.2</v>
      </c>
      <c r="O44" s="275">
        <f>'【国内】问卷调研-数据源（P3单独执行） '!O44</f>
        <v>9.10572856593618</v>
      </c>
      <c r="Q44" s="276"/>
      <c r="R44" s="1">
        <v>2601</v>
      </c>
      <c r="S44" s="99">
        <f>'【国内】问卷调研-数据源（P3单独执行） '!S44*2</f>
        <v>0.6</v>
      </c>
      <c r="T44" s="99">
        <v>0</v>
      </c>
      <c r="U44" s="99">
        <f t="shared" si="14"/>
        <v>6.85</v>
      </c>
      <c r="V44" s="274">
        <f t="shared" si="23"/>
        <v>6.3</v>
      </c>
      <c r="W44" s="275">
        <f>'【国内】问卷调研-数据源（P3单独执行） '!W44</f>
        <v>10.2479815455594</v>
      </c>
      <c r="Y44" s="276"/>
      <c r="Z44" s="1">
        <v>2601</v>
      </c>
      <c r="AA44" s="99">
        <f>'【国内】问卷调研-数据源（P3单独执行） '!AA44*2</f>
        <v>0.6</v>
      </c>
      <c r="AB44" s="99">
        <v>0</v>
      </c>
      <c r="AC44" s="99">
        <f t="shared" si="15"/>
        <v>7.13333333333333</v>
      </c>
      <c r="AD44" s="274">
        <f t="shared" si="24"/>
        <v>6.4</v>
      </c>
      <c r="AE44" s="275">
        <f>'【国内】问卷调研-数据源（P3单独执行） '!AE44</f>
        <v>11.3902345251826</v>
      </c>
      <c r="AG44" s="276"/>
      <c r="AH44" s="1">
        <v>2601</v>
      </c>
      <c r="AI44" s="99">
        <f>'【国内】问卷调研-数据源（P3单独执行） '!AI44*2</f>
        <v>0.6</v>
      </c>
      <c r="AJ44" s="99">
        <v>0</v>
      </c>
      <c r="AK44" s="99">
        <f t="shared" si="16"/>
        <v>7.41666666666666</v>
      </c>
      <c r="AL44" s="274">
        <f t="shared" si="25"/>
        <v>6.5</v>
      </c>
      <c r="AM44" s="275">
        <f>'【国内】问卷调研-数据源（P3单独执行） '!AM44</f>
        <v>12.5324875048058</v>
      </c>
      <c r="AO44" s="276"/>
      <c r="AP44" s="1">
        <v>2601</v>
      </c>
      <c r="AQ44" s="99">
        <f>'【国内】问卷调研-数据源（P3单独执行） '!AQ44*2</f>
        <v>0.6</v>
      </c>
      <c r="AR44" s="99">
        <v>0</v>
      </c>
      <c r="AS44" s="99">
        <f t="shared" si="17"/>
        <v>7.7</v>
      </c>
      <c r="AT44" s="274">
        <f t="shared" si="26"/>
        <v>6.6</v>
      </c>
      <c r="AU44" s="275">
        <f>'【国内】问卷调研-数据源（P3单独执行） '!AU44</f>
        <v>13.6747404844291</v>
      </c>
      <c r="AV44" s="1"/>
      <c r="AW44" s="276"/>
      <c r="AX44" s="1">
        <v>2601</v>
      </c>
      <c r="AY44" s="99">
        <f>'【国内】问卷调研-数据源（P3单独执行） '!AY44*2</f>
        <v>0.6</v>
      </c>
      <c r="AZ44" s="99">
        <f>'【国内】问卷调研-数据源（P3单独执行） '!BA44*0.6</f>
        <v>2.22</v>
      </c>
      <c r="BA44" s="99">
        <f t="shared" si="18"/>
        <v>1.69333333333333</v>
      </c>
      <c r="BB44" s="274">
        <f t="shared" si="27"/>
        <v>6.7</v>
      </c>
      <c r="BC44" s="275">
        <f>'【国内】问卷调研-数据源（P3单独执行） '!BC44</f>
        <v>14.8169934640523</v>
      </c>
    </row>
    <row r="45" spans="1:55">
      <c r="A45" s="1" t="s">
        <v>122</v>
      </c>
      <c r="B45" s="1">
        <v>2801</v>
      </c>
      <c r="C45" s="99">
        <f>'【国内】问卷调研-数据源（P3单独执行） '!C45*2</f>
        <v>0.6</v>
      </c>
      <c r="D45" s="99">
        <v>0</v>
      </c>
      <c r="E45" s="99">
        <f t="shared" si="19"/>
        <v>7.31666666666667</v>
      </c>
      <c r="F45" s="274">
        <f t="shared" si="22"/>
        <v>6.5</v>
      </c>
      <c r="G45" s="275">
        <f>'【国内】问卷调研-数据源（P3单独执行） '!G45</f>
        <v>8.09460906818993</v>
      </c>
      <c r="I45" s="276"/>
      <c r="J45" s="1">
        <v>2801</v>
      </c>
      <c r="K45" s="99">
        <f>'【国内】问卷调研-数据源（P3单独执行） '!K45*2</f>
        <v>0.6</v>
      </c>
      <c r="L45" s="99">
        <v>0</v>
      </c>
      <c r="M45" s="99">
        <f t="shared" si="20"/>
        <v>7.6</v>
      </c>
      <c r="N45" s="274">
        <f t="shared" si="21"/>
        <v>6.6</v>
      </c>
      <c r="O45" s="275">
        <f>'【国内】问卷调研-数据源（P3单独执行） '!O45</f>
        <v>9.22670474830418</v>
      </c>
      <c r="Q45" s="276"/>
      <c r="R45" s="1">
        <v>2801</v>
      </c>
      <c r="S45" s="99">
        <f>'【国内】问卷调研-数据源（P3单独执行） '!S45*2</f>
        <v>0.6</v>
      </c>
      <c r="T45" s="99">
        <v>0</v>
      </c>
      <c r="U45" s="99">
        <f t="shared" si="14"/>
        <v>7.88333333333333</v>
      </c>
      <c r="V45" s="274">
        <f t="shared" si="23"/>
        <v>6.7</v>
      </c>
      <c r="W45" s="275">
        <f>'【国内】问卷调研-数据源（P3单独执行） '!W45</f>
        <v>10.3588004284184</v>
      </c>
      <c r="Y45" s="276"/>
      <c r="Z45" s="1">
        <v>2801</v>
      </c>
      <c r="AA45" s="99">
        <f>'【国内】问卷调研-数据源（P3单独执行） '!AA45*2</f>
        <v>0.6</v>
      </c>
      <c r="AB45" s="99">
        <v>0</v>
      </c>
      <c r="AC45" s="99">
        <f t="shared" si="15"/>
        <v>8.16666666666667</v>
      </c>
      <c r="AD45" s="274">
        <f t="shared" si="24"/>
        <v>6.8</v>
      </c>
      <c r="AE45" s="275">
        <f>'【国内】问卷调研-数据源（P3单独执行） '!AE45</f>
        <v>11.4908961085327</v>
      </c>
      <c r="AG45" s="276"/>
      <c r="AH45" s="1">
        <v>2801</v>
      </c>
      <c r="AI45" s="99">
        <f>'【国内】问卷调研-数据源（P3单独执行） '!AI45*2</f>
        <v>0.6</v>
      </c>
      <c r="AJ45" s="99">
        <v>0</v>
      </c>
      <c r="AK45" s="99">
        <f t="shared" si="16"/>
        <v>8.45</v>
      </c>
      <c r="AL45" s="274">
        <f t="shared" si="25"/>
        <v>6.9</v>
      </c>
      <c r="AM45" s="275">
        <f>'【国内】问卷调研-数据源（P3单独执行） '!AM45</f>
        <v>12.6229917886469</v>
      </c>
      <c r="AO45" s="276"/>
      <c r="AP45" s="1">
        <v>2801</v>
      </c>
      <c r="AQ45" s="99">
        <f>'【国内】问卷调研-数据源（P3单独执行） '!AQ45*2</f>
        <v>0.6</v>
      </c>
      <c r="AR45" s="99">
        <v>0</v>
      </c>
      <c r="AS45" s="99">
        <f t="shared" si="17"/>
        <v>8.73333333333333</v>
      </c>
      <c r="AT45" s="274">
        <f t="shared" si="26"/>
        <v>7</v>
      </c>
      <c r="AU45" s="275">
        <f>'【国内】问卷调研-数据源（P3单独执行） '!AU45</f>
        <v>13.7550874687612</v>
      </c>
      <c r="AV45" s="1"/>
      <c r="AW45" s="276"/>
      <c r="AX45" s="1">
        <v>2801</v>
      </c>
      <c r="AY45" s="99">
        <f>'【国内】问卷调研-数据源（P3单独执行） '!AY45*2</f>
        <v>0.6</v>
      </c>
      <c r="AZ45" s="99">
        <f>'【国内】问卷调研-数据源（P3单独执行） '!BA45*0.6</f>
        <v>2.46</v>
      </c>
      <c r="BA45" s="99">
        <f t="shared" si="18"/>
        <v>2.04666666666667</v>
      </c>
      <c r="BB45" s="274">
        <f t="shared" si="27"/>
        <v>7.1</v>
      </c>
      <c r="BC45" s="275">
        <f>'【国内】问卷调研-数据源（P3单独执行） '!BC45</f>
        <v>14.8871831488754</v>
      </c>
    </row>
    <row r="46" spans="1:55">
      <c r="I46" s="269"/>
      <c r="Q46" s="269"/>
      <c r="Y46" s="269"/>
      <c r="AG46" s="269"/>
      <c r="AO46" s="269"/>
      <c r="AW46" s="269"/>
    </row>
    <row r="47" s="266" customFormat="1" spans="1:55">
      <c r="B47" s="172" t="s">
        <v>91</v>
      </c>
      <c r="C47" s="172" t="s">
        <v>4</v>
      </c>
      <c r="D47" s="172"/>
      <c r="E47" s="172"/>
      <c r="F47" s="172"/>
      <c r="G47" s="172"/>
      <c r="H47" s="172"/>
      <c r="I47" s="172"/>
      <c r="J47" s="172" t="s">
        <v>91</v>
      </c>
      <c r="K47" s="172"/>
      <c r="L47" s="172" t="s">
        <v>4</v>
      </c>
      <c r="M47" s="172"/>
      <c r="N47" s="172"/>
      <c r="O47" s="172"/>
      <c r="P47" s="172"/>
      <c r="Q47" s="172"/>
      <c r="R47" s="172" t="s">
        <v>91</v>
      </c>
      <c r="S47" s="172"/>
      <c r="T47" s="172" t="s">
        <v>4</v>
      </c>
      <c r="U47" s="172"/>
      <c r="V47" s="172"/>
      <c r="W47" s="172"/>
      <c r="X47" s="172"/>
      <c r="Y47" s="172"/>
      <c r="Z47" s="172" t="s">
        <v>91</v>
      </c>
      <c r="AA47" s="172"/>
      <c r="AB47" s="172" t="s">
        <v>4</v>
      </c>
      <c r="AC47" s="172"/>
      <c r="AD47" s="172"/>
      <c r="AE47" s="172"/>
      <c r="AF47" s="172"/>
      <c r="AG47" s="172"/>
      <c r="AH47" s="172" t="s">
        <v>91</v>
      </c>
      <c r="AI47" s="172"/>
      <c r="AJ47" s="172" t="s">
        <v>4</v>
      </c>
      <c r="AK47" s="172"/>
      <c r="AL47" s="172"/>
      <c r="AM47" s="172"/>
      <c r="AN47" s="172"/>
      <c r="AO47" s="172"/>
      <c r="AP47" s="172" t="s">
        <v>91</v>
      </c>
      <c r="AQ47" s="172"/>
      <c r="AR47" s="172" t="s">
        <v>4</v>
      </c>
      <c r="AS47" s="172"/>
      <c r="AT47" s="274"/>
      <c r="AU47" s="274"/>
      <c r="AV47" s="274"/>
      <c r="AW47" s="172"/>
      <c r="AX47" s="172" t="s">
        <v>91</v>
      </c>
      <c r="AY47" s="172"/>
      <c r="AZ47" s="172" t="s">
        <v>4</v>
      </c>
      <c r="BA47" s="172"/>
      <c r="BB47" s="274"/>
    </row>
    <row r="48" s="266" customFormat="1" spans="1:55">
      <c r="B48" s="172" t="s">
        <v>92</v>
      </c>
      <c r="C48" s="172" t="s">
        <v>93</v>
      </c>
      <c r="D48" s="172"/>
      <c r="E48" s="172"/>
      <c r="F48" s="172"/>
      <c r="G48" s="172"/>
      <c r="H48" s="172"/>
      <c r="I48" s="172"/>
      <c r="J48" s="172" t="s">
        <v>92</v>
      </c>
      <c r="K48" s="172"/>
      <c r="L48" s="172" t="s">
        <v>94</v>
      </c>
      <c r="M48" s="172"/>
      <c r="N48" s="172"/>
      <c r="O48" s="172"/>
      <c r="P48" s="172"/>
      <c r="Q48" s="172"/>
      <c r="R48" s="172" t="s">
        <v>92</v>
      </c>
      <c r="S48" s="172"/>
      <c r="T48" s="172" t="s">
        <v>95</v>
      </c>
      <c r="U48" s="172"/>
      <c r="V48" s="172"/>
      <c r="W48" s="277">
        <v>13</v>
      </c>
      <c r="X48" s="172"/>
      <c r="Y48" s="172"/>
      <c r="Z48" s="172" t="s">
        <v>92</v>
      </c>
      <c r="AA48" s="172"/>
      <c r="AB48" s="172" t="s">
        <v>96</v>
      </c>
      <c r="AC48" s="172"/>
      <c r="AD48" s="172"/>
      <c r="AE48" s="172"/>
      <c r="AF48" s="172"/>
      <c r="AG48" s="172"/>
      <c r="AH48" s="172" t="s">
        <v>92</v>
      </c>
      <c r="AI48" s="172"/>
      <c r="AJ48" s="172" t="s">
        <v>97</v>
      </c>
      <c r="AK48" s="172"/>
      <c r="AL48" s="172"/>
      <c r="AM48" s="172"/>
      <c r="AN48" s="172"/>
      <c r="AO48" s="172"/>
      <c r="AP48" s="172" t="s">
        <v>92</v>
      </c>
      <c r="AQ48" s="172"/>
      <c r="AR48" s="172" t="s">
        <v>98</v>
      </c>
      <c r="AS48" s="172"/>
      <c r="AT48" s="274"/>
      <c r="AU48" s="274"/>
      <c r="AV48" s="274"/>
      <c r="AW48" s="172"/>
      <c r="AX48" s="172" t="s">
        <v>92</v>
      </c>
      <c r="AY48" s="172"/>
      <c r="AZ48" s="172" t="s">
        <v>99</v>
      </c>
      <c r="BA48" s="172"/>
      <c r="BB48" s="274"/>
    </row>
    <row r="49" s="266" customFormat="1" spans="1:55">
      <c r="B49" s="172" t="s">
        <v>100</v>
      </c>
      <c r="C49" s="172"/>
      <c r="D49" s="172">
        <v>5</v>
      </c>
      <c r="E49" s="172"/>
      <c r="F49" s="278"/>
      <c r="G49" s="278">
        <f>AVERAGE(G53:G68)</f>
        <v>13.4659698814059</v>
      </c>
      <c r="H49" s="278"/>
      <c r="I49" s="172"/>
      <c r="J49" s="172" t="s">
        <v>100</v>
      </c>
      <c r="K49" s="172"/>
      <c r="L49" s="172">
        <v>6</v>
      </c>
      <c r="M49" s="172"/>
      <c r="N49" s="278"/>
      <c r="O49" s="278">
        <f>AVERAGE(O53:O68)</f>
        <v>15.1737777251672</v>
      </c>
      <c r="P49" s="278"/>
      <c r="Q49" s="172"/>
      <c r="R49" s="172" t="s">
        <v>100</v>
      </c>
      <c r="S49" s="172"/>
      <c r="T49" s="172">
        <v>7</v>
      </c>
      <c r="U49" s="172"/>
      <c r="V49" s="278"/>
      <c r="W49" s="275">
        <f>AVERAGE(W53:W68)</f>
        <v>16.8344157576077</v>
      </c>
      <c r="X49" s="278"/>
      <c r="Y49" s="172"/>
      <c r="Z49" s="172" t="s">
        <v>100</v>
      </c>
      <c r="AA49" s="172"/>
      <c r="AB49" s="172">
        <v>8</v>
      </c>
      <c r="AC49" s="172"/>
      <c r="AD49" s="278"/>
      <c r="AE49" s="275">
        <f>AVERAGE(AE53:AE68)</f>
        <v>18.4950537900482</v>
      </c>
      <c r="AF49" s="278"/>
      <c r="AG49" s="172"/>
      <c r="AH49" s="172" t="s">
        <v>100</v>
      </c>
      <c r="AI49" s="172"/>
      <c r="AJ49" s="172">
        <v>9</v>
      </c>
      <c r="AK49" s="172"/>
      <c r="AL49" s="278"/>
      <c r="AM49" s="275">
        <f>AVERAGE(AM53:AM68)</f>
        <v>20.1556918224887</v>
      </c>
      <c r="AN49" s="278"/>
      <c r="AO49" s="172"/>
      <c r="AP49" s="172" t="s">
        <v>100</v>
      </c>
      <c r="AQ49" s="172"/>
      <c r="AR49" s="172">
        <v>10</v>
      </c>
      <c r="AS49" s="172"/>
      <c r="AT49" s="279"/>
      <c r="AU49" s="275">
        <f>AVERAGE(AU53:AU68)</f>
        <v>21.8163298549292</v>
      </c>
      <c r="AV49" s="279"/>
      <c r="AW49" s="172"/>
      <c r="AX49" s="172" t="s">
        <v>100</v>
      </c>
      <c r="AY49" s="172"/>
      <c r="AZ49" s="172">
        <v>11</v>
      </c>
      <c r="BA49" s="172"/>
      <c r="BB49" s="279"/>
      <c r="BC49" s="275">
        <f>AVERAGE(BC53:BC68)</f>
        <v>23.4769678873697</v>
      </c>
    </row>
    <row r="50" s="266" customFormat="1" spans="1:55">
      <c r="B50" s="172" t="s">
        <v>101</v>
      </c>
      <c r="C50" s="1" t="s">
        <v>8</v>
      </c>
      <c r="D50" s="1" t="s">
        <v>9</v>
      </c>
      <c r="E50" s="1" t="s">
        <v>10</v>
      </c>
      <c r="F50" s="172" t="s">
        <v>103</v>
      </c>
      <c r="G50" s="172" t="s">
        <v>104</v>
      </c>
      <c r="H50" s="172" t="s">
        <v>105</v>
      </c>
      <c r="I50" s="172"/>
      <c r="J50" s="172" t="s">
        <v>101</v>
      </c>
      <c r="K50" s="1" t="s">
        <v>8</v>
      </c>
      <c r="L50" s="1" t="s">
        <v>9</v>
      </c>
      <c r="M50" s="1" t="s">
        <v>10</v>
      </c>
      <c r="N50" s="172" t="s">
        <v>103</v>
      </c>
      <c r="O50" s="172"/>
      <c r="P50" s="172"/>
      <c r="Q50" s="172"/>
      <c r="R50" s="172" t="s">
        <v>101</v>
      </c>
      <c r="S50" s="1" t="s">
        <v>8</v>
      </c>
      <c r="T50" s="1" t="s">
        <v>9</v>
      </c>
      <c r="U50" s="1" t="s">
        <v>10</v>
      </c>
      <c r="V50" s="172" t="s">
        <v>103</v>
      </c>
      <c r="W50" s="172" t="s">
        <v>104</v>
      </c>
      <c r="X50" s="172"/>
      <c r="Y50" s="172"/>
      <c r="Z50" s="172" t="s">
        <v>101</v>
      </c>
      <c r="AA50" s="1" t="s">
        <v>8</v>
      </c>
      <c r="AB50" s="1" t="s">
        <v>9</v>
      </c>
      <c r="AC50" s="1" t="s">
        <v>10</v>
      </c>
      <c r="AD50" s="172" t="s">
        <v>103</v>
      </c>
      <c r="AE50" s="172"/>
      <c r="AF50" s="172"/>
      <c r="AG50" s="172"/>
      <c r="AH50" s="172" t="s">
        <v>101</v>
      </c>
      <c r="AI50" s="1" t="s">
        <v>8</v>
      </c>
      <c r="AJ50" s="1" t="s">
        <v>9</v>
      </c>
      <c r="AK50" s="1" t="s">
        <v>10</v>
      </c>
      <c r="AL50" s="172" t="s">
        <v>103</v>
      </c>
      <c r="AM50" s="172"/>
      <c r="AN50" s="172"/>
      <c r="AO50" s="172"/>
      <c r="AP50" s="172" t="s">
        <v>101</v>
      </c>
      <c r="AQ50" s="1" t="s">
        <v>8</v>
      </c>
      <c r="AR50" s="1" t="s">
        <v>9</v>
      </c>
      <c r="AS50" s="1" t="s">
        <v>10</v>
      </c>
      <c r="AT50" s="172" t="s">
        <v>103</v>
      </c>
      <c r="AU50" s="274"/>
      <c r="AV50" s="274"/>
      <c r="AW50" s="172"/>
      <c r="AX50" s="172" t="s">
        <v>101</v>
      </c>
      <c r="AY50" s="1" t="s">
        <v>8</v>
      </c>
      <c r="AZ50" s="1" t="s">
        <v>9</v>
      </c>
      <c r="BA50" s="1" t="s">
        <v>10</v>
      </c>
      <c r="BB50" s="172" t="s">
        <v>103</v>
      </c>
    </row>
    <row r="51" s="266" customFormat="1" spans="1:55">
      <c r="B51" s="172">
        <v>0</v>
      </c>
      <c r="C51" s="99">
        <f>'【国内】问卷调研-数据源（P3单独执行） '!C51*1.8</f>
        <v>0</v>
      </c>
      <c r="D51" s="99">
        <v>0</v>
      </c>
      <c r="E51" s="99" t="e">
        <f>(G51*B51-$D$49*B51-C51*5900-D51*3400-F51*300)/1200</f>
        <v>#DIV/0!</v>
      </c>
      <c r="F51" s="274">
        <f>'【国内】问卷调研-数据源（P3单独执行） '!F51*1.8</f>
        <v>0</v>
      </c>
      <c r="G51" s="275" t="e">
        <f>'【国内】问卷调研-数据源（P3单独执行） '!G51</f>
        <v>#DIV/0!</v>
      </c>
      <c r="H51" s="172"/>
      <c r="I51" s="172"/>
      <c r="J51" s="172">
        <v>0</v>
      </c>
      <c r="K51" s="99">
        <f>'【国内】问卷调研-数据源（混合执行）  (2)'!K51*1.8</f>
        <v>0</v>
      </c>
      <c r="L51" s="99">
        <v>0</v>
      </c>
      <c r="M51" s="99" t="e">
        <f>(O51*J51-$L$49*J51-K51*5900-L51*3400-N51*300)/1200</f>
        <v>#DIV/0!</v>
      </c>
      <c r="N51" s="274">
        <v>0</v>
      </c>
      <c r="O51" s="275" t="e">
        <f>'【国内】问卷调研-数据源（P3单独执行） '!O51</f>
        <v>#DIV/0!</v>
      </c>
      <c r="P51" s="172"/>
      <c r="Q51" s="172"/>
      <c r="R51" s="172">
        <v>0</v>
      </c>
      <c r="S51" s="99">
        <v>0</v>
      </c>
      <c r="T51" s="99">
        <v>0</v>
      </c>
      <c r="U51" s="99">
        <f>(W51*R51-$T$49*R51-S51*5900-T51*3400-V51*300)/1200</f>
        <v>0</v>
      </c>
      <c r="V51" s="274">
        <f>'【国内】问卷调研-数据源（P3单独执行） '!V51*1.8</f>
        <v>0</v>
      </c>
      <c r="W51" s="275">
        <f>'【国内】问卷调研-数据源（P3单独执行） '!W51</f>
        <v>0</v>
      </c>
      <c r="X51" s="172"/>
      <c r="Y51" s="172"/>
      <c r="Z51" s="172">
        <v>0</v>
      </c>
      <c r="AA51" s="99">
        <f>'【国内】问卷调研-数据源（P3单独执行） '!AA51*1.5</f>
        <v>0</v>
      </c>
      <c r="AB51" s="99">
        <v>0</v>
      </c>
      <c r="AC51" s="99">
        <f>(AE51*Z51-$AB$49*Z51-AA51*5900-AB51*3400-AD51*300)/1200</f>
        <v>-0.045</v>
      </c>
      <c r="AD51" s="274">
        <f>'【国内】问卷调研-数据源（P3单独执行） '!AD51*1.8</f>
        <v>0.18</v>
      </c>
      <c r="AE51" s="275">
        <f>'【国内】问卷调研-数据源（P3单独执行） '!AE51</f>
        <v>0</v>
      </c>
      <c r="AF51" s="172"/>
      <c r="AG51" s="172"/>
      <c r="AH51" s="172">
        <v>0</v>
      </c>
      <c r="AI51" s="99">
        <f>'【国内】问卷调研-数据源（P3单独执行） '!AI51*1.5</f>
        <v>0</v>
      </c>
      <c r="AJ51" s="99">
        <v>0</v>
      </c>
      <c r="AK51" s="99" t="e">
        <f>(AM51*AH51-$AJ$49*AH51-AI51*5900-AJ51*3400-AL51*300)/1200</f>
        <v>#DIV/0!</v>
      </c>
      <c r="AL51" s="274">
        <f>'【国内】问卷调研-数据源（P3单独执行） '!AL51*1.8</f>
        <v>0.36</v>
      </c>
      <c r="AM51" s="275" t="e">
        <f>'【国内】问卷调研-数据源（P3单独执行） '!AM51</f>
        <v>#DIV/0!</v>
      </c>
      <c r="AN51" s="172"/>
      <c r="AO51" s="172"/>
      <c r="AP51" s="172">
        <v>0</v>
      </c>
      <c r="AQ51" s="99">
        <f>'【国内】问卷调研-数据源（P3单独执行） '!AQ51*1.5</f>
        <v>0</v>
      </c>
      <c r="AR51" s="99">
        <v>0</v>
      </c>
      <c r="AS51" s="99" t="e">
        <f>(AU51*AP51-$AR$49*AP51-AQ51*5900-AR51*3400-AT51*300)/1200</f>
        <v>#DIV/0!</v>
      </c>
      <c r="AT51" s="274">
        <v>0</v>
      </c>
      <c r="AU51" s="275" t="e">
        <f>'【国内】问卷调研-数据源（P3单独执行） '!AU51</f>
        <v>#DIV/0!</v>
      </c>
      <c r="AV51" s="172"/>
      <c r="AW51" s="172"/>
      <c r="AX51" s="172">
        <v>0</v>
      </c>
      <c r="AY51" s="99">
        <f>'【国内】问卷调研-数据源（P3单独执行） '!AY51*1.5</f>
        <v>0</v>
      </c>
      <c r="AZ51" s="99">
        <v>0</v>
      </c>
      <c r="BA51" s="99" t="e">
        <f>(BC51*AX51-$AZ$49*AX51-AY51*5900-AZ51*3400-BB51*300)/1200</f>
        <v>#DIV/0!</v>
      </c>
      <c r="BB51" s="274">
        <f>'【国内】问卷调研-数据源（P3单独执行） '!BB51*1.8</f>
        <v>0.72</v>
      </c>
      <c r="BC51" s="275" t="e">
        <f>'【国内】问卷调研-数据源（P3单独执行） '!BC51</f>
        <v>#DIV/0!</v>
      </c>
    </row>
    <row r="52" s="266" customFormat="1" spans="1:55">
      <c r="A52" s="172" t="s">
        <v>106</v>
      </c>
      <c r="B52" s="172">
        <v>1</v>
      </c>
      <c r="C52" s="99">
        <f>'【国内】问卷调研-数据源（P3单独执行） '!C52*1.5</f>
        <v>0</v>
      </c>
      <c r="D52" s="99">
        <v>0</v>
      </c>
      <c r="E52" s="99">
        <f t="shared" ref="E52:E68" si="28">(G52*B52-$D$49*B52-C52*5900-D52*3400-F52*300)/1200</f>
        <v>1.29666666666667</v>
      </c>
      <c r="F52" s="274">
        <f>'【国内】问卷调研-数据源（P3单独执行） '!F52*1.8</f>
        <v>1.08</v>
      </c>
      <c r="G52" s="275">
        <f>'【国内】问卷调研-数据源（P3单独执行） '!G52</f>
        <v>1885</v>
      </c>
      <c r="H52" s="172"/>
      <c r="I52" s="275"/>
      <c r="J52" s="172">
        <v>1</v>
      </c>
      <c r="K52" s="99">
        <f>'【国内】问卷调研-数据源（混合执行）  (2)'!K52*1.8</f>
        <v>0</v>
      </c>
      <c r="L52" s="99">
        <v>0</v>
      </c>
      <c r="M52" s="99">
        <f t="shared" ref="M52:M68" si="29">(O52*J52-$L$49*J52-K52*5900-L52*3400-N52*300)/1200</f>
        <v>1.875</v>
      </c>
      <c r="N52" s="274">
        <v>0</v>
      </c>
      <c r="O52" s="275">
        <f>'【国内】问卷调研-数据源（P3单独执行） '!O52</f>
        <v>2256</v>
      </c>
      <c r="P52" s="172"/>
      <c r="Q52" s="275"/>
      <c r="R52" s="172">
        <v>1</v>
      </c>
      <c r="S52" s="99">
        <v>0</v>
      </c>
      <c r="T52" s="99">
        <v>0</v>
      </c>
      <c r="U52" s="99">
        <f t="shared" ref="U52:U68" si="30">(W52*R52-$T$49*R52-S52*5900-T52*3400-V52*300)/1200</f>
        <v>1.82333333333333</v>
      </c>
      <c r="V52" s="274">
        <f>'【国内】问卷调研-数据源（P3单独执行） '!V52*1.8</f>
        <v>1.44</v>
      </c>
      <c r="W52" s="275">
        <f>'【国内】问卷调研-数据源（P3单独执行） '!W52</f>
        <v>2627</v>
      </c>
      <c r="X52" s="172"/>
      <c r="Y52" s="275"/>
      <c r="Z52" s="172">
        <v>1</v>
      </c>
      <c r="AA52" s="99">
        <f>'【国内】问卷调研-数据源（P3单独执行） '!AA52*1.5</f>
        <v>0</v>
      </c>
      <c r="AB52" s="99">
        <v>0</v>
      </c>
      <c r="AC52" s="99">
        <f t="shared" ref="AC52:AC68" si="31">(AE52*Z52-$AB$49*Z52-AA52*5900-AB52*3400-AD52*300)/1200</f>
        <v>2.08666666666667</v>
      </c>
      <c r="AD52" s="274">
        <f>'【国内】问卷调研-数据源（P3单独执行） '!AD52*1.8</f>
        <v>1.62</v>
      </c>
      <c r="AE52" s="275">
        <f>'【国内】问卷调研-数据源（P3单独执行） '!AE52</f>
        <v>2998</v>
      </c>
      <c r="AF52" s="172"/>
      <c r="AG52" s="275"/>
      <c r="AH52" s="172">
        <v>1</v>
      </c>
      <c r="AI52" s="99">
        <f>'【国内】问卷调研-数据源（P3单独执行） '!AI52*1.5</f>
        <v>0</v>
      </c>
      <c r="AJ52" s="99">
        <v>0</v>
      </c>
      <c r="AK52" s="99">
        <f t="shared" ref="AK52:AK68" si="32">(AM52*AH52-$AJ$49*AH52-AI52*5900-AJ52*3400-AL52*300)/1200</f>
        <v>2.35</v>
      </c>
      <c r="AL52" s="274">
        <f>'【国内】问卷调研-数据源（P3单独执行） '!AL52*1.8</f>
        <v>1.8</v>
      </c>
      <c r="AM52" s="275">
        <f>'【国内】问卷调研-数据源（P3单独执行） '!AM52</f>
        <v>3369</v>
      </c>
      <c r="AN52" s="172"/>
      <c r="AO52" s="275"/>
      <c r="AP52" s="172">
        <v>1</v>
      </c>
      <c r="AQ52" s="99">
        <f>'【国内】问卷调研-数据源（P3单独执行） '!AQ52*1.5</f>
        <v>0</v>
      </c>
      <c r="AR52" s="99">
        <v>0</v>
      </c>
      <c r="AS52" s="99">
        <f t="shared" ref="AS52:AS68" si="33">(AU52*AP52-$AR$49*AP52-AQ52*5900-AR52*3400-AT52*300)/1200</f>
        <v>2.61333333333333</v>
      </c>
      <c r="AT52" s="274">
        <f>'【国内】问卷调研-数据源（P3单独执行） '!AT52*1.8</f>
        <v>1.98</v>
      </c>
      <c r="AU52" s="275">
        <f>'【国内】问卷调研-数据源（P3单独执行） '!AU52</f>
        <v>3740</v>
      </c>
      <c r="AV52" s="172"/>
      <c r="AW52" s="275"/>
      <c r="AX52" s="172">
        <v>1</v>
      </c>
      <c r="AY52" s="99">
        <f>'【国内】问卷调研-数据源（P3单独执行） '!AY52*1.5</f>
        <v>0</v>
      </c>
      <c r="AZ52" s="99">
        <v>0</v>
      </c>
      <c r="BA52" s="99">
        <f t="shared" ref="BA52:BA68" si="34">(BC52*AX52-$AZ$49*AX52-AY52*5900-AZ52*3400-BB52*300)/1200</f>
        <v>2.87666666666667</v>
      </c>
      <c r="BB52" s="274">
        <f>'【国内】问卷调研-数据源（P3单独执行） '!BB52*1.8</f>
        <v>2.16</v>
      </c>
      <c r="BC52" s="275">
        <f>'【国内】问卷调研-数据源（P3单独执行） '!BC52</f>
        <v>4111</v>
      </c>
    </row>
    <row r="53" s="266" customFormat="1" spans="1:55">
      <c r="A53" s="172" t="s">
        <v>107</v>
      </c>
      <c r="B53" s="172">
        <v>101</v>
      </c>
      <c r="C53" s="99">
        <f>'【国内】问卷调研-数据源（P3单独执行） '!C53*1.5</f>
        <v>0</v>
      </c>
      <c r="D53" s="99">
        <v>0</v>
      </c>
      <c r="E53" s="99">
        <f t="shared" si="28"/>
        <v>1.11666666666667</v>
      </c>
      <c r="F53" s="274">
        <f>N53-0.1</f>
        <v>1.8</v>
      </c>
      <c r="G53" s="275">
        <f>'【国内】问卷调研-数据源（P3单独执行） '!G53</f>
        <v>23.6138613861386</v>
      </c>
      <c r="H53" s="172"/>
      <c r="I53" s="275"/>
      <c r="J53" s="172">
        <v>101</v>
      </c>
      <c r="K53" s="99">
        <f>'【国内】问卷调研-数据源（混合执行）  (2)'!K53*1.8</f>
        <v>0</v>
      </c>
      <c r="L53" s="99">
        <v>0</v>
      </c>
      <c r="M53" s="99">
        <f t="shared" si="29"/>
        <v>1.4</v>
      </c>
      <c r="N53" s="274">
        <f>V53-0.1</f>
        <v>1.9</v>
      </c>
      <c r="O53" s="275">
        <f>'【国内】问卷调研-数据源（P3单独执行） '!O53</f>
        <v>28.2772277227723</v>
      </c>
      <c r="P53" s="172"/>
      <c r="Q53" s="275"/>
      <c r="R53" s="172">
        <v>101</v>
      </c>
      <c r="S53" s="99">
        <v>0</v>
      </c>
      <c r="T53" s="99">
        <v>0</v>
      </c>
      <c r="U53" s="99">
        <f t="shared" si="30"/>
        <v>1.68333333333333</v>
      </c>
      <c r="V53" s="274">
        <v>2</v>
      </c>
      <c r="W53" s="275">
        <f>'【国内】问卷调研-数据源（P3单独执行） '!W53</f>
        <v>32.9405940594059</v>
      </c>
      <c r="X53" s="172"/>
      <c r="Y53" s="275"/>
      <c r="Z53" s="172">
        <v>101</v>
      </c>
      <c r="AA53" s="99">
        <f>'【国内】问卷调研-数据源（P3单独执行） '!AA53*1.5</f>
        <v>0</v>
      </c>
      <c r="AB53" s="99">
        <v>0</v>
      </c>
      <c r="AC53" s="99">
        <f t="shared" si="31"/>
        <v>1.96666666666667</v>
      </c>
      <c r="AD53" s="274">
        <f>V53+0.1</f>
        <v>2.1</v>
      </c>
      <c r="AE53" s="275">
        <f>'【国内】问卷调研-数据源（P3单独执行） '!AE53</f>
        <v>37.6039603960396</v>
      </c>
      <c r="AF53" s="172"/>
      <c r="AG53" s="275"/>
      <c r="AH53" s="172">
        <v>101</v>
      </c>
      <c r="AI53" s="99">
        <f>'【国内】问卷调研-数据源（P3单独执行） '!AI53*1.5</f>
        <v>0</v>
      </c>
      <c r="AJ53" s="99">
        <v>0</v>
      </c>
      <c r="AK53" s="99">
        <f t="shared" si="32"/>
        <v>2.25</v>
      </c>
      <c r="AL53" s="274">
        <f>AD53+0.1</f>
        <v>2.2</v>
      </c>
      <c r="AM53" s="275">
        <f>'【国内】问卷调研-数据源（P3单独执行） '!AM53</f>
        <v>42.2673267326733</v>
      </c>
      <c r="AN53" s="172"/>
      <c r="AO53" s="275"/>
      <c r="AP53" s="172">
        <v>101</v>
      </c>
      <c r="AQ53" s="99">
        <f>'【国内】问卷调研-数据源（P3单独执行） '!AQ53*1.5</f>
        <v>0</v>
      </c>
      <c r="AR53" s="99">
        <v>0</v>
      </c>
      <c r="AS53" s="99">
        <f t="shared" si="33"/>
        <v>2.53333333333333</v>
      </c>
      <c r="AT53" s="274">
        <f>AL53+0.1</f>
        <v>2.3</v>
      </c>
      <c r="AU53" s="275">
        <f>'【国内】问卷调研-数据源（P3单独执行） '!AU53</f>
        <v>46.9306930693069</v>
      </c>
      <c r="AV53" s="172"/>
      <c r="AW53" s="275"/>
      <c r="AX53" s="172">
        <v>101</v>
      </c>
      <c r="AY53" s="99">
        <f>'【国内】问卷调研-数据源（P3单独执行） '!AY53*1.5</f>
        <v>0</v>
      </c>
      <c r="AZ53" s="99">
        <v>0</v>
      </c>
      <c r="BA53" s="99">
        <f t="shared" si="34"/>
        <v>2.81666666666667</v>
      </c>
      <c r="BB53" s="274">
        <f>AT53+0.1</f>
        <v>2.4</v>
      </c>
      <c r="BC53" s="275">
        <f>'【国内】问卷调研-数据源（P3单独执行） '!BC53</f>
        <v>51.5940594059406</v>
      </c>
    </row>
    <row r="54" s="266" customFormat="1" spans="1:55">
      <c r="A54" s="172" t="s">
        <v>108</v>
      </c>
      <c r="B54" s="172">
        <v>201</v>
      </c>
      <c r="C54" s="99">
        <f>'【国内】问卷调研-数据源（P3单独执行） '!C54*1.5</f>
        <v>0</v>
      </c>
      <c r="D54" s="99">
        <v>0</v>
      </c>
      <c r="E54" s="99">
        <f t="shared" si="28"/>
        <v>1.94166666666667</v>
      </c>
      <c r="F54" s="274">
        <f t="shared" ref="F54:F68" si="35">N54-0.1</f>
        <v>2.3</v>
      </c>
      <c r="G54" s="275">
        <f>'【国内】问卷调研-数据源（P3单独执行） '!G54</f>
        <v>20.0248756218905</v>
      </c>
      <c r="H54" s="172"/>
      <c r="I54" s="275"/>
      <c r="J54" s="172">
        <v>201</v>
      </c>
      <c r="K54" s="99">
        <f>'【国内】问卷调研-数据源（混合执行）  (2)'!K54*1.8</f>
        <v>0.18</v>
      </c>
      <c r="L54" s="99">
        <v>0</v>
      </c>
      <c r="M54" s="99">
        <f t="shared" si="29"/>
        <v>1.34</v>
      </c>
      <c r="N54" s="274">
        <f t="shared" ref="N54:N68" si="36">V54-0.1</f>
        <v>2.4</v>
      </c>
      <c r="O54" s="275">
        <f>'【国内】问卷调研-数据源（P3单独执行） '!O54</f>
        <v>22.865671641791</v>
      </c>
      <c r="P54" s="172"/>
      <c r="Q54" s="275"/>
      <c r="R54" s="172">
        <v>201</v>
      </c>
      <c r="S54" s="99">
        <v>0.1</v>
      </c>
      <c r="T54" s="99">
        <v>0</v>
      </c>
      <c r="U54" s="99">
        <f t="shared" si="30"/>
        <v>2.01666666666667</v>
      </c>
      <c r="V54" s="274">
        <v>2.5</v>
      </c>
      <c r="W54" s="275">
        <f>'【国内】问卷调研-数据源（P3单独执行） '!W54</f>
        <v>25.7064676616915</v>
      </c>
      <c r="X54" s="172"/>
      <c r="Y54" s="275"/>
      <c r="Z54" s="172">
        <v>201</v>
      </c>
      <c r="AA54" s="99">
        <f>'【国内】问卷调研-数据源（P3单独执行） '!AA54*1.5</f>
        <v>0</v>
      </c>
      <c r="AB54" s="99">
        <v>0</v>
      </c>
      <c r="AC54" s="99">
        <f t="shared" si="31"/>
        <v>2.79166666666667</v>
      </c>
      <c r="AD54" s="274">
        <f t="shared" ref="AD54:AD68" si="37">V54+0.1</f>
        <v>2.6</v>
      </c>
      <c r="AE54" s="275">
        <f>'【国内】问卷调研-数据源（P3单独执行） '!AE54</f>
        <v>28.547263681592</v>
      </c>
      <c r="AF54" s="172"/>
      <c r="AG54" s="275"/>
      <c r="AH54" s="172">
        <v>201</v>
      </c>
      <c r="AI54" s="99">
        <f>'【国内】问卷调研-数据源（P3单独执行） '!AI54*1.5</f>
        <v>0</v>
      </c>
      <c r="AJ54" s="99">
        <v>0</v>
      </c>
      <c r="AK54" s="99">
        <f t="shared" si="32"/>
        <v>3.075</v>
      </c>
      <c r="AL54" s="274">
        <f t="shared" ref="AL54:AL68" si="38">AD54+0.1</f>
        <v>2.7</v>
      </c>
      <c r="AM54" s="275">
        <f>'【国内】问卷调研-数据源（P3单独执行） '!AM54</f>
        <v>31.3880597014925</v>
      </c>
      <c r="AN54" s="172"/>
      <c r="AO54" s="275"/>
      <c r="AP54" s="172">
        <v>201</v>
      </c>
      <c r="AQ54" s="99">
        <f>'【国内】问卷调研-数据源（P3单独执行） '!AQ54*1.5</f>
        <v>0</v>
      </c>
      <c r="AR54" s="99">
        <v>0</v>
      </c>
      <c r="AS54" s="99">
        <f t="shared" si="33"/>
        <v>3.35833333333333</v>
      </c>
      <c r="AT54" s="274">
        <f t="shared" ref="AT54:AT68" si="39">AL54+0.1</f>
        <v>2.8</v>
      </c>
      <c r="AU54" s="275">
        <f>'【国内】问卷调研-数据源（P3单独执行） '!AU54</f>
        <v>34.228855721393</v>
      </c>
      <c r="AV54" s="172"/>
      <c r="AW54" s="275"/>
      <c r="AX54" s="172">
        <v>201</v>
      </c>
      <c r="AY54" s="99">
        <f>'【国内】问卷调研-数据源（P3单独执行） '!AY54*1.5</f>
        <v>0</v>
      </c>
      <c r="AZ54" s="99">
        <v>0</v>
      </c>
      <c r="BA54" s="99">
        <f t="shared" si="34"/>
        <v>3.64166666666667</v>
      </c>
      <c r="BB54" s="274">
        <f t="shared" ref="BB54:BB68" si="40">AT54+0.1</f>
        <v>2.9</v>
      </c>
      <c r="BC54" s="275">
        <f>'【国内】问卷调研-数据源（P3单独执行） '!BC54</f>
        <v>37.0696517412935</v>
      </c>
    </row>
    <row r="55" s="266" customFormat="1" spans="1:55">
      <c r="A55" s="172" t="s">
        <v>109</v>
      </c>
      <c r="B55" s="172">
        <v>301</v>
      </c>
      <c r="C55" s="99">
        <f>'【国内】问卷调研-数据源（P3单独执行） '!C55*1.5</f>
        <v>0</v>
      </c>
      <c r="D55" s="99">
        <v>0</v>
      </c>
      <c r="E55" s="99">
        <f t="shared" si="28"/>
        <v>2.45833333333333</v>
      </c>
      <c r="F55" s="274">
        <f t="shared" si="35"/>
        <v>2.6</v>
      </c>
      <c r="G55" s="275">
        <f>'【国内】问卷调研-数据源（P3单独执行） '!G55</f>
        <v>17.3920265780731</v>
      </c>
      <c r="H55" s="172"/>
      <c r="I55" s="275"/>
      <c r="J55" s="172">
        <v>301</v>
      </c>
      <c r="K55" s="99">
        <f>'【国内】问卷调研-数据源（混合执行）  (2)'!K55*1.8</f>
        <v>0.18</v>
      </c>
      <c r="L55" s="99">
        <v>0</v>
      </c>
      <c r="M55" s="99">
        <f t="shared" si="29"/>
        <v>1.85666666666667</v>
      </c>
      <c r="N55" s="274">
        <f t="shared" si="36"/>
        <v>2.7</v>
      </c>
      <c r="O55" s="275">
        <f>'【国内】问卷调研-数据源（P3单独执行） '!O55</f>
        <v>19.6212624584718</v>
      </c>
      <c r="P55" s="172"/>
      <c r="Q55" s="275"/>
      <c r="R55" s="172">
        <v>301</v>
      </c>
      <c r="S55" s="99">
        <f>'【国内】问卷调研-数据源（混合执行）  (2)'!S55*1.8</f>
        <v>0.18</v>
      </c>
      <c r="T55" s="99">
        <v>0</v>
      </c>
      <c r="U55" s="99">
        <f t="shared" si="30"/>
        <v>2.14</v>
      </c>
      <c r="V55" s="274">
        <v>2.8</v>
      </c>
      <c r="W55" s="275">
        <f>'【国内】问卷调研-数据源（P3单独执行） '!W55</f>
        <v>21.8504983388704</v>
      </c>
      <c r="X55" s="172"/>
      <c r="Y55" s="275"/>
      <c r="Z55" s="172">
        <v>301</v>
      </c>
      <c r="AA55" s="99">
        <f>'【国内】问卷调研-数据源（混合执行）  (2)'!AA55*1.8</f>
        <v>0.18</v>
      </c>
      <c r="AB55" s="99">
        <v>0</v>
      </c>
      <c r="AC55" s="99">
        <f t="shared" si="31"/>
        <v>2.42333333333333</v>
      </c>
      <c r="AD55" s="274">
        <f t="shared" si="37"/>
        <v>2.9</v>
      </c>
      <c r="AE55" s="275">
        <f>'【国内】问卷调研-数据源（P3单独执行） '!AE55</f>
        <v>24.0797342192691</v>
      </c>
      <c r="AF55" s="172"/>
      <c r="AG55" s="275"/>
      <c r="AH55" s="172">
        <v>301</v>
      </c>
      <c r="AI55" s="99">
        <f>'【国内】问卷调研-数据源（混合执行）  (2)'!AI55*1.8</f>
        <v>0.18</v>
      </c>
      <c r="AJ55" s="99">
        <v>0</v>
      </c>
      <c r="AK55" s="99">
        <f t="shared" si="32"/>
        <v>2.70666666666667</v>
      </c>
      <c r="AL55" s="274">
        <f t="shared" si="38"/>
        <v>3</v>
      </c>
      <c r="AM55" s="275">
        <f>'【国内】问卷调研-数据源（P3单独执行） '!AM55</f>
        <v>26.3089700996678</v>
      </c>
      <c r="AN55" s="172"/>
      <c r="AO55" s="275"/>
      <c r="AP55" s="172">
        <v>301</v>
      </c>
      <c r="AQ55" s="99">
        <f>'【国内】问卷调研-数据源（混合执行）  (2)'!AQ55*1.8</f>
        <v>0.18</v>
      </c>
      <c r="AR55" s="99">
        <v>0</v>
      </c>
      <c r="AS55" s="99">
        <f t="shared" si="33"/>
        <v>2.99</v>
      </c>
      <c r="AT55" s="274">
        <f t="shared" si="39"/>
        <v>3.1</v>
      </c>
      <c r="AU55" s="275">
        <f>'【国内】问卷调研-数据源（P3单独执行） '!AU55</f>
        <v>28.5382059800664</v>
      </c>
      <c r="AV55" s="172"/>
      <c r="AW55" s="275"/>
      <c r="AX55" s="172">
        <v>301</v>
      </c>
      <c r="AY55" s="99">
        <f>'【国内】问卷调研-数据源（混合执行）  (2)'!AY55*1.8</f>
        <v>0.18</v>
      </c>
      <c r="AZ55" s="99">
        <v>0</v>
      </c>
      <c r="BA55" s="99">
        <f t="shared" si="34"/>
        <v>3.27333333333333</v>
      </c>
      <c r="BB55" s="274">
        <f t="shared" si="40"/>
        <v>3.2</v>
      </c>
      <c r="BC55" s="275">
        <f>'【国内】问卷调研-数据源（P3单独执行） '!BC55</f>
        <v>30.7674418604651</v>
      </c>
    </row>
    <row r="56" s="266" customFormat="1" spans="1:55">
      <c r="A56" s="172" t="s">
        <v>110</v>
      </c>
      <c r="B56" s="172">
        <v>501</v>
      </c>
      <c r="C56" s="99">
        <f>'【国内】问卷调研-数据源（P3单独执行） '!C56*1.5</f>
        <v>0.15</v>
      </c>
      <c r="D56" s="99">
        <v>0</v>
      </c>
      <c r="E56" s="99">
        <f t="shared" si="28"/>
        <v>3.0375</v>
      </c>
      <c r="F56" s="274">
        <f t="shared" si="35"/>
        <v>2.8</v>
      </c>
      <c r="G56" s="275">
        <f>'【国内】问卷调研-数据源（P3单独执行） '!G56</f>
        <v>15.7185628742515</v>
      </c>
      <c r="H56" s="172"/>
      <c r="I56" s="275"/>
      <c r="J56" s="172">
        <v>501</v>
      </c>
      <c r="K56" s="99">
        <f>'【国内】问卷调研-数据源（混合执行）  (2)'!K56*1.8</f>
        <v>0.36</v>
      </c>
      <c r="L56" s="99">
        <v>0</v>
      </c>
      <c r="M56" s="99">
        <f t="shared" si="29"/>
        <v>2.28833333333333</v>
      </c>
      <c r="N56" s="274">
        <f t="shared" si="36"/>
        <v>2.9</v>
      </c>
      <c r="O56" s="275">
        <f>'【国内】问卷调研-数据源（P3单独执行） '!O56</f>
        <v>17.4570858283433</v>
      </c>
      <c r="P56" s="172"/>
      <c r="Q56" s="275"/>
      <c r="R56" s="172">
        <v>501</v>
      </c>
      <c r="S56" s="99">
        <f>'【国内】问卷调研-数据源（混合执行）  (2)'!S56*1.8</f>
        <v>0.36</v>
      </c>
      <c r="T56" s="99">
        <v>0</v>
      </c>
      <c r="U56" s="99">
        <f t="shared" si="30"/>
        <v>2.57166666666667</v>
      </c>
      <c r="V56" s="274">
        <v>3</v>
      </c>
      <c r="W56" s="275">
        <f>'【国内】问卷调研-数据源（P3单独执行） '!W56</f>
        <v>19.1956087824351</v>
      </c>
      <c r="X56" s="172"/>
      <c r="Y56" s="275"/>
      <c r="Z56" s="172">
        <v>501</v>
      </c>
      <c r="AA56" s="99">
        <f>'【国内】问卷调研-数据源（混合执行）  (2)'!AA56*1.8</f>
        <v>0.36</v>
      </c>
      <c r="AB56" s="99">
        <v>0</v>
      </c>
      <c r="AC56" s="99">
        <f t="shared" si="31"/>
        <v>2.855</v>
      </c>
      <c r="AD56" s="274">
        <f t="shared" si="37"/>
        <v>3.1</v>
      </c>
      <c r="AE56" s="275">
        <f>'【国内】问卷调研-数据源（P3单独执行） '!AE56</f>
        <v>20.9341317365269</v>
      </c>
      <c r="AF56" s="172"/>
      <c r="AG56" s="275"/>
      <c r="AH56" s="172">
        <v>501</v>
      </c>
      <c r="AI56" s="99">
        <f>'【国内】问卷调研-数据源（混合执行）  (2)'!AI56*1.8</f>
        <v>0.36</v>
      </c>
      <c r="AJ56" s="99">
        <v>0</v>
      </c>
      <c r="AK56" s="99">
        <f t="shared" si="32"/>
        <v>3.13833333333333</v>
      </c>
      <c r="AL56" s="274">
        <f t="shared" si="38"/>
        <v>3.2</v>
      </c>
      <c r="AM56" s="275">
        <f>'【国内】问卷调研-数据源（P3单独执行） '!AM56</f>
        <v>22.6726546906188</v>
      </c>
      <c r="AN56" s="172"/>
      <c r="AO56" s="275"/>
      <c r="AP56" s="172">
        <v>501</v>
      </c>
      <c r="AQ56" s="99">
        <f>'【国内】问卷调研-数据源（混合执行）  (2)'!AQ56*1.8</f>
        <v>0.36</v>
      </c>
      <c r="AR56" s="99">
        <v>0</v>
      </c>
      <c r="AS56" s="99">
        <f t="shared" si="33"/>
        <v>3.42166666666667</v>
      </c>
      <c r="AT56" s="274">
        <f t="shared" si="39"/>
        <v>3.3</v>
      </c>
      <c r="AU56" s="275">
        <f>'【国内】问卷调研-数据源（P3单独执行） '!AU56</f>
        <v>24.4111776447106</v>
      </c>
      <c r="AV56" s="172"/>
      <c r="AW56" s="275"/>
      <c r="AX56" s="172">
        <v>501</v>
      </c>
      <c r="AY56" s="99">
        <f>'【国内】问卷调研-数据源（混合执行）  (2)'!AY56*1.8</f>
        <v>0.36</v>
      </c>
      <c r="AZ56" s="99">
        <v>0</v>
      </c>
      <c r="BA56" s="99">
        <f t="shared" si="34"/>
        <v>3.705</v>
      </c>
      <c r="BB56" s="274">
        <f t="shared" si="40"/>
        <v>3.4</v>
      </c>
      <c r="BC56" s="275">
        <f>'【国内】问卷调研-数据源（P3单独执行） '!BC56</f>
        <v>26.1497005988024</v>
      </c>
    </row>
    <row r="57" s="266" customFormat="1" spans="1:55">
      <c r="A57" s="172" t="s">
        <v>111</v>
      </c>
      <c r="B57" s="172">
        <v>701</v>
      </c>
      <c r="C57" s="99">
        <f>'【国内】问卷调研-数据源（P3单独执行） '!C57*1.5</f>
        <v>0.15</v>
      </c>
      <c r="D57" s="99">
        <v>0</v>
      </c>
      <c r="E57" s="99">
        <f t="shared" si="28"/>
        <v>3.50416666666667</v>
      </c>
      <c r="F57" s="274">
        <f t="shared" si="35"/>
        <v>3.3</v>
      </c>
      <c r="G57" s="275">
        <f>'【国内】问卷调研-数据源（P3单独执行） '!G57</f>
        <v>13.6733238231098</v>
      </c>
      <c r="H57" s="172"/>
      <c r="I57" s="275"/>
      <c r="J57" s="172">
        <v>701</v>
      </c>
      <c r="K57" s="99">
        <f>'【国内】问卷调研-数据源（混合执行）  (2)'!K57*1.8</f>
        <v>0.54</v>
      </c>
      <c r="L57" s="99">
        <v>0</v>
      </c>
      <c r="M57" s="99">
        <f t="shared" si="29"/>
        <v>1.87</v>
      </c>
      <c r="N57" s="274">
        <f t="shared" si="36"/>
        <v>3.4</v>
      </c>
      <c r="O57" s="275">
        <f>'【国内】问卷调研-数据源（P3单独执行） '!O57</f>
        <v>15.2011412268188</v>
      </c>
      <c r="P57" s="172"/>
      <c r="Q57" s="275"/>
      <c r="R57" s="172">
        <v>701</v>
      </c>
      <c r="S57" s="99">
        <f>'【国内】问卷调研-数据源（混合执行）  (2)'!S57*1.8</f>
        <v>0.54</v>
      </c>
      <c r="T57" s="99">
        <v>0</v>
      </c>
      <c r="U57" s="99">
        <f t="shared" si="30"/>
        <v>2.15333333333333</v>
      </c>
      <c r="V57" s="274">
        <v>3.5</v>
      </c>
      <c r="W57" s="275">
        <f>'【国内】问卷调研-数据源（P3单独执行） '!W57</f>
        <v>16.7289586305278</v>
      </c>
      <c r="X57" s="172"/>
      <c r="Y57" s="275"/>
      <c r="Z57" s="172">
        <v>701</v>
      </c>
      <c r="AA57" s="99">
        <f>'【国内】问卷调研-数据源（混合执行）  (2)'!AA57*1.8</f>
        <v>0.54</v>
      </c>
      <c r="AB57" s="99">
        <v>0</v>
      </c>
      <c r="AC57" s="99">
        <f t="shared" si="31"/>
        <v>2.43666666666667</v>
      </c>
      <c r="AD57" s="274">
        <f t="shared" si="37"/>
        <v>3.6</v>
      </c>
      <c r="AE57" s="275">
        <f>'【国内】问卷调研-数据源（P3单独执行） '!AE57</f>
        <v>18.2567760342368</v>
      </c>
      <c r="AF57" s="172"/>
      <c r="AG57" s="275"/>
      <c r="AH57" s="172">
        <v>701</v>
      </c>
      <c r="AI57" s="99">
        <f>'【国内】问卷调研-数据源（混合执行）  (2)'!AI57*1.8</f>
        <v>0.54</v>
      </c>
      <c r="AJ57" s="99">
        <v>0</v>
      </c>
      <c r="AK57" s="99">
        <f t="shared" si="32"/>
        <v>2.72</v>
      </c>
      <c r="AL57" s="274">
        <f t="shared" si="38"/>
        <v>3.7</v>
      </c>
      <c r="AM57" s="275">
        <f>'【国内】问卷调研-数据源（P3单独执行） '!AM57</f>
        <v>19.7845934379458</v>
      </c>
      <c r="AN57" s="172"/>
      <c r="AO57" s="275"/>
      <c r="AP57" s="172">
        <v>701</v>
      </c>
      <c r="AQ57" s="99">
        <f>'【国内】问卷调研-数据源（混合执行）  (2)'!AQ57*1.8</f>
        <v>0.54</v>
      </c>
      <c r="AR57" s="99">
        <v>0</v>
      </c>
      <c r="AS57" s="99">
        <f t="shared" si="33"/>
        <v>3.00333333333333</v>
      </c>
      <c r="AT57" s="274">
        <f t="shared" si="39"/>
        <v>3.8</v>
      </c>
      <c r="AU57" s="275">
        <f>'【国内】问卷调研-数据源（P3单独执行） '!AU57</f>
        <v>21.3124108416548</v>
      </c>
      <c r="AV57" s="172"/>
      <c r="AW57" s="275"/>
      <c r="AX57" s="172">
        <v>701</v>
      </c>
      <c r="AY57" s="99">
        <f>'【国内】问卷调研-数据源（混合执行）  (2)'!AY57*1.8</f>
        <v>0.54</v>
      </c>
      <c r="AZ57" s="99">
        <v>0</v>
      </c>
      <c r="BA57" s="99">
        <f t="shared" si="34"/>
        <v>3.28666666666666</v>
      </c>
      <c r="BB57" s="274">
        <f t="shared" si="40"/>
        <v>3.9</v>
      </c>
      <c r="BC57" s="275">
        <f>'【国内】问卷调研-数据源（P3单独执行） '!BC57</f>
        <v>22.8402282453638</v>
      </c>
    </row>
    <row r="58" s="266" customFormat="1" spans="1:55">
      <c r="A58" s="172" t="s">
        <v>112</v>
      </c>
      <c r="B58" s="172">
        <v>901</v>
      </c>
      <c r="C58" s="99">
        <f>'【国内】问卷调研-数据源（P3单独执行） '!C58*1.5</f>
        <v>0.15</v>
      </c>
      <c r="D58" s="99">
        <v>0</v>
      </c>
      <c r="E58" s="99">
        <f t="shared" si="28"/>
        <v>4.22916666666667</v>
      </c>
      <c r="F58" s="274">
        <f t="shared" si="35"/>
        <v>3.8</v>
      </c>
      <c r="G58" s="275">
        <f>'【国内】问卷调研-数据源（P3单独执行） '!G58</f>
        <v>12.8801331853496</v>
      </c>
      <c r="H58" s="172"/>
      <c r="I58" s="275"/>
      <c r="J58" s="172">
        <v>901</v>
      </c>
      <c r="K58" s="99">
        <f>'【国内】问卷调研-数据源（混合执行）  (2)'!K58*1.8</f>
        <v>0.54</v>
      </c>
      <c r="L58" s="99">
        <v>0</v>
      </c>
      <c r="M58" s="99">
        <f t="shared" si="29"/>
        <v>3.16166666666667</v>
      </c>
      <c r="N58" s="274">
        <f t="shared" si="36"/>
        <v>3.9</v>
      </c>
      <c r="O58" s="275">
        <f>'【国内】问卷调研-数据源（P3单独执行） '!O58</f>
        <v>15.0455049944506</v>
      </c>
      <c r="P58" s="172"/>
      <c r="Q58" s="275"/>
      <c r="R58" s="172">
        <v>901</v>
      </c>
      <c r="S58" s="99">
        <f>'【国内】问卷调研-数据源（混合执行）  (2)'!S58*1.8</f>
        <v>0.54</v>
      </c>
      <c r="T58" s="99">
        <v>0</v>
      </c>
      <c r="U58" s="99">
        <f t="shared" si="30"/>
        <v>3.445</v>
      </c>
      <c r="V58" s="274">
        <v>4</v>
      </c>
      <c r="W58" s="275">
        <f>'【国内】问卷调研-数据源（P3单独执行） '!W58</f>
        <v>16.4561598224195</v>
      </c>
      <c r="X58" s="172"/>
      <c r="Y58" s="275"/>
      <c r="Z58" s="172">
        <v>901</v>
      </c>
      <c r="AA58" s="99">
        <f>'【国内】问卷调研-数据源（混合执行）  (2)'!AA58*1.8</f>
        <v>0.54</v>
      </c>
      <c r="AB58" s="99">
        <v>0</v>
      </c>
      <c r="AC58" s="99">
        <f t="shared" si="31"/>
        <v>3.72833333333333</v>
      </c>
      <c r="AD58" s="274">
        <f t="shared" si="37"/>
        <v>4.1</v>
      </c>
      <c r="AE58" s="275">
        <f>'【国内】问卷调研-数据源（P3单独执行） '!AE58</f>
        <v>17.8668146503885</v>
      </c>
      <c r="AF58" s="172"/>
      <c r="AG58" s="275"/>
      <c r="AH58" s="172">
        <v>901</v>
      </c>
      <c r="AI58" s="99">
        <f>'【国内】问卷调研-数据源（混合执行）  (2)'!AI58*1.8</f>
        <v>0.54</v>
      </c>
      <c r="AJ58" s="99">
        <v>0</v>
      </c>
      <c r="AK58" s="99">
        <f t="shared" si="32"/>
        <v>4.01166666666667</v>
      </c>
      <c r="AL58" s="274">
        <f t="shared" si="38"/>
        <v>4.2</v>
      </c>
      <c r="AM58" s="275">
        <f>'【国内】问卷调研-数据源（P3单独执行） '!AM58</f>
        <v>19.2774694783574</v>
      </c>
      <c r="AN58" s="172"/>
      <c r="AO58" s="275"/>
      <c r="AP58" s="172">
        <v>901</v>
      </c>
      <c r="AQ58" s="99">
        <f>'【国内】问卷调研-数据源（混合执行）  (2)'!AQ58*1.8</f>
        <v>0.54</v>
      </c>
      <c r="AR58" s="99">
        <v>0</v>
      </c>
      <c r="AS58" s="99">
        <f t="shared" si="33"/>
        <v>4.295</v>
      </c>
      <c r="AT58" s="274">
        <f t="shared" si="39"/>
        <v>4.3</v>
      </c>
      <c r="AU58" s="275">
        <f>'【国内】问卷调研-数据源（P3单独执行） '!AU58</f>
        <v>20.6881243063263</v>
      </c>
      <c r="AV58" s="172"/>
      <c r="AW58" s="275"/>
      <c r="AX58" s="172">
        <v>901</v>
      </c>
      <c r="AY58" s="99">
        <f>'【国内】问卷调研-数据源（混合执行）  (2)'!AY58*1.8</f>
        <v>0.54</v>
      </c>
      <c r="AZ58" s="99">
        <v>0</v>
      </c>
      <c r="BA58" s="99">
        <f t="shared" si="34"/>
        <v>4.57833333333333</v>
      </c>
      <c r="BB58" s="274">
        <f t="shared" si="40"/>
        <v>4.4</v>
      </c>
      <c r="BC58" s="275">
        <f>'【国内】问卷调研-数据源（P3单独执行） '!BC58</f>
        <v>22.0987791342952</v>
      </c>
    </row>
    <row r="59" s="266" customFormat="1" spans="1:55">
      <c r="A59" s="172" t="s">
        <v>113</v>
      </c>
      <c r="B59" s="172">
        <v>1001</v>
      </c>
      <c r="C59" s="99">
        <f>'【国内】问卷调研-数据源（P3单独执行） '!C59*1.5</f>
        <v>0.3</v>
      </c>
      <c r="D59" s="99">
        <v>0</v>
      </c>
      <c r="E59" s="99">
        <f t="shared" si="28"/>
        <v>4.475</v>
      </c>
      <c r="F59" s="274">
        <f t="shared" si="35"/>
        <v>4.3</v>
      </c>
      <c r="G59" s="275">
        <f>'【国内】问卷调研-数据源（P3单独执行） '!G59</f>
        <v>13.4215784215784</v>
      </c>
      <c r="H59" s="172"/>
      <c r="I59" s="275"/>
      <c r="J59" s="172">
        <v>1001</v>
      </c>
      <c r="K59" s="99">
        <f>'【国内】问卷调研-数据源（混合执行）  (2)'!K59*1.8</f>
        <v>0.72</v>
      </c>
      <c r="L59" s="99">
        <v>0</v>
      </c>
      <c r="M59" s="99">
        <f t="shared" si="29"/>
        <v>2.69333333333333</v>
      </c>
      <c r="N59" s="274">
        <f t="shared" si="36"/>
        <v>4.4</v>
      </c>
      <c r="O59" s="275">
        <f>'【国内】问卷调研-数据源（P3单独执行） '!O59</f>
        <v>14.7912087912088</v>
      </c>
      <c r="P59" s="172"/>
      <c r="Q59" s="275"/>
      <c r="R59" s="172">
        <v>1001</v>
      </c>
      <c r="S59" s="99">
        <f>'【国内】问卷调研-数据源（混合执行）  (2)'!S59*1.8</f>
        <v>0.72</v>
      </c>
      <c r="T59" s="99">
        <v>0</v>
      </c>
      <c r="U59" s="99">
        <f t="shared" si="30"/>
        <v>2.97666666666667</v>
      </c>
      <c r="V59" s="274">
        <v>4.5</v>
      </c>
      <c r="W59" s="275">
        <f>'【国内】问卷调研-数据源（P3单独执行） '!W59</f>
        <v>16.1608391608392</v>
      </c>
      <c r="X59" s="172"/>
      <c r="Y59" s="275"/>
      <c r="Z59" s="172">
        <v>1001</v>
      </c>
      <c r="AA59" s="99">
        <f>'【国内】问卷调研-数据源（混合执行）  (2)'!AA59*1.8</f>
        <v>0.72</v>
      </c>
      <c r="AB59" s="99">
        <v>0</v>
      </c>
      <c r="AC59" s="99">
        <f t="shared" si="31"/>
        <v>3.26</v>
      </c>
      <c r="AD59" s="274">
        <f t="shared" si="37"/>
        <v>4.6</v>
      </c>
      <c r="AE59" s="275">
        <f>'【国内】问卷调研-数据源（P3单独执行） '!AE59</f>
        <v>17.5304695304695</v>
      </c>
      <c r="AF59" s="172"/>
      <c r="AG59" s="275"/>
      <c r="AH59" s="172">
        <v>1001</v>
      </c>
      <c r="AI59" s="99">
        <f>'【国内】问卷调研-数据源（混合执行）  (2)'!AI59*1.8</f>
        <v>0.72</v>
      </c>
      <c r="AJ59" s="99">
        <v>0</v>
      </c>
      <c r="AK59" s="99">
        <f t="shared" si="32"/>
        <v>3.54333333333333</v>
      </c>
      <c r="AL59" s="274">
        <f t="shared" si="38"/>
        <v>4.7</v>
      </c>
      <c r="AM59" s="275">
        <f>'【国内】问卷调研-数据源（P3单独执行） '!AM59</f>
        <v>18.9000999000999</v>
      </c>
      <c r="AN59" s="172"/>
      <c r="AO59" s="275"/>
      <c r="AP59" s="172">
        <v>1001</v>
      </c>
      <c r="AQ59" s="99">
        <f>'【国内】问卷调研-数据源（混合执行）  (2)'!AQ59*1.8</f>
        <v>0.72</v>
      </c>
      <c r="AR59" s="99">
        <v>0</v>
      </c>
      <c r="AS59" s="99">
        <f t="shared" si="33"/>
        <v>3.82666666666667</v>
      </c>
      <c r="AT59" s="274">
        <f t="shared" si="39"/>
        <v>4.8</v>
      </c>
      <c r="AU59" s="275">
        <f>'【国内】问卷调研-数据源（P3单独执行） '!AU59</f>
        <v>20.2697302697303</v>
      </c>
      <c r="AV59" s="172"/>
      <c r="AW59" s="275"/>
      <c r="AX59" s="172">
        <v>1001</v>
      </c>
      <c r="AY59" s="99">
        <f>'【国内】问卷调研-数据源（混合执行）  (2)'!AY59*1.8</f>
        <v>0.72</v>
      </c>
      <c r="AZ59" s="99">
        <v>0</v>
      </c>
      <c r="BA59" s="99">
        <f t="shared" si="34"/>
        <v>4.11</v>
      </c>
      <c r="BB59" s="274">
        <f t="shared" si="40"/>
        <v>4.9</v>
      </c>
      <c r="BC59" s="275">
        <f>'【国内】问卷调研-数据源（P3单独执行） '!BC59</f>
        <v>21.6393606393606</v>
      </c>
    </row>
    <row r="60" s="266" customFormat="1" spans="1:55">
      <c r="A60" s="172" t="s">
        <v>114</v>
      </c>
      <c r="B60" s="172">
        <v>1201</v>
      </c>
      <c r="C60" s="99">
        <f>'【国内】问卷调研-数据源（P3单独执行） '!C60*1.5</f>
        <v>0.3</v>
      </c>
      <c r="D60" s="99">
        <v>0</v>
      </c>
      <c r="E60" s="99">
        <f t="shared" si="28"/>
        <v>4.68333333333333</v>
      </c>
      <c r="F60" s="274">
        <f t="shared" si="35"/>
        <v>4.8</v>
      </c>
      <c r="G60" s="275">
        <f>'【国内】问卷调研-数据源（P3单独执行） '!G60</f>
        <v>12.3522064945878</v>
      </c>
      <c r="H60" s="172"/>
      <c r="I60" s="275"/>
      <c r="J60" s="172">
        <v>1201</v>
      </c>
      <c r="K60" s="99">
        <f>'【国内】问卷调研-数据源（混合执行）  (2)'!K60*1.8</f>
        <v>0.72</v>
      </c>
      <c r="L60" s="99">
        <v>0</v>
      </c>
      <c r="M60" s="99">
        <f t="shared" si="29"/>
        <v>2.90166666666667</v>
      </c>
      <c r="N60" s="274">
        <f t="shared" si="36"/>
        <v>4.9</v>
      </c>
      <c r="O60" s="275">
        <f>'【国内】问卷调研-数据源（P3单独执行） '!O60</f>
        <v>13.6602830974188</v>
      </c>
      <c r="P60" s="172"/>
      <c r="Q60" s="275"/>
      <c r="R60" s="172">
        <v>1201</v>
      </c>
      <c r="S60" s="99">
        <f>'【国内】问卷调研-数据源（混合执行）  (2)'!S60*1.8</f>
        <v>0.72</v>
      </c>
      <c r="T60" s="99">
        <v>0</v>
      </c>
      <c r="U60" s="99">
        <f t="shared" si="30"/>
        <v>3.185</v>
      </c>
      <c r="V60" s="274">
        <v>5</v>
      </c>
      <c r="W60" s="275">
        <f>'【国内】问卷调研-数据源（P3单独执行） '!W60</f>
        <v>14.9683597002498</v>
      </c>
      <c r="X60" s="172"/>
      <c r="Y60" s="275"/>
      <c r="Z60" s="172">
        <v>1201</v>
      </c>
      <c r="AA60" s="99">
        <f>'【国内】问卷调研-数据源（混合执行）  (2)'!AA60*1.8</f>
        <v>0.72</v>
      </c>
      <c r="AB60" s="99">
        <v>0</v>
      </c>
      <c r="AC60" s="99">
        <f t="shared" si="31"/>
        <v>3.46833333333333</v>
      </c>
      <c r="AD60" s="274">
        <f t="shared" si="37"/>
        <v>5.1</v>
      </c>
      <c r="AE60" s="275">
        <f>'【国内】问卷调研-数据源（P3单独执行） '!AE60</f>
        <v>16.2764363030808</v>
      </c>
      <c r="AF60" s="172"/>
      <c r="AG60" s="275"/>
      <c r="AH60" s="172">
        <v>1201</v>
      </c>
      <c r="AI60" s="99">
        <f>'【国内】问卷调研-数据源（混合执行）  (2)'!AI60*1.8</f>
        <v>0.72</v>
      </c>
      <c r="AJ60" s="99">
        <v>0</v>
      </c>
      <c r="AK60" s="99">
        <f t="shared" si="32"/>
        <v>3.75166666666667</v>
      </c>
      <c r="AL60" s="274">
        <f t="shared" si="38"/>
        <v>5.2</v>
      </c>
      <c r="AM60" s="275">
        <f>'【国内】问卷调研-数据源（P3单独执行） '!AM60</f>
        <v>17.5845129059117</v>
      </c>
      <c r="AN60" s="172"/>
      <c r="AO60" s="275"/>
      <c r="AP60" s="172">
        <v>1201</v>
      </c>
      <c r="AQ60" s="99">
        <f>'【国内】问卷调研-数据源（混合执行）  (2)'!AQ60*1.8</f>
        <v>0.72</v>
      </c>
      <c r="AR60" s="99">
        <v>0</v>
      </c>
      <c r="AS60" s="99">
        <f t="shared" si="33"/>
        <v>4.035</v>
      </c>
      <c r="AT60" s="274">
        <f t="shared" si="39"/>
        <v>5.3</v>
      </c>
      <c r="AU60" s="275">
        <f>'【国内】问卷调研-数据源（P3单独执行） '!AU60</f>
        <v>18.8925895087427</v>
      </c>
      <c r="AV60" s="172"/>
      <c r="AW60" s="275"/>
      <c r="AX60" s="172">
        <v>1201</v>
      </c>
      <c r="AY60" s="99">
        <f>'【国内】问卷调研-数据源（混合执行）  (2)'!AY60*1.8</f>
        <v>0.72</v>
      </c>
      <c r="AZ60" s="99">
        <v>0</v>
      </c>
      <c r="BA60" s="99">
        <f t="shared" si="34"/>
        <v>4.31833333333333</v>
      </c>
      <c r="BB60" s="274">
        <f t="shared" si="40"/>
        <v>5.4</v>
      </c>
      <c r="BC60" s="275">
        <f>'【国内】问卷调研-数据源（P3单独执行） '!BC60</f>
        <v>20.2006661115737</v>
      </c>
    </row>
    <row r="61" s="266" customFormat="1" spans="1:55">
      <c r="A61" s="172" t="s">
        <v>115</v>
      </c>
      <c r="B61" s="172">
        <v>1401</v>
      </c>
      <c r="C61" s="99">
        <f>'【国内】问卷调研-数据源（P3单独执行） '!C61*1.5</f>
        <v>0.3</v>
      </c>
      <c r="D61" s="99">
        <v>0</v>
      </c>
      <c r="E61" s="99">
        <f t="shared" si="28"/>
        <v>4.86666666666667</v>
      </c>
      <c r="F61" s="274">
        <f t="shared" si="35"/>
        <v>5.3</v>
      </c>
      <c r="G61" s="275">
        <f>'【国内】问卷调研-数据源（P3单独执行） '!G61</f>
        <v>11.5667380442541</v>
      </c>
      <c r="H61" s="172"/>
      <c r="I61" s="275"/>
      <c r="J61" s="280">
        <v>1401</v>
      </c>
      <c r="K61" s="99">
        <f>'【国内】问卷调研-数据源（混合执行）  (2)'!K61*1.8</f>
        <v>0.72</v>
      </c>
      <c r="L61" s="99">
        <v>0</v>
      </c>
      <c r="M61" s="99">
        <f t="shared" si="29"/>
        <v>3.085</v>
      </c>
      <c r="N61" s="274">
        <f t="shared" si="36"/>
        <v>5.4</v>
      </c>
      <c r="O61" s="275">
        <f>'【国内】问卷调研-数据源（P3单独执行） '!O61</f>
        <v>12.830835117773</v>
      </c>
      <c r="P61" s="172"/>
      <c r="Q61" s="275"/>
      <c r="R61" s="280">
        <v>1401</v>
      </c>
      <c r="S61" s="99">
        <f>'【国内】问卷调研-数据源（混合执行）  (2)'!S61*1.8</f>
        <v>0.72</v>
      </c>
      <c r="T61" s="99">
        <v>0</v>
      </c>
      <c r="U61" s="99">
        <f t="shared" si="30"/>
        <v>3.36833333333333</v>
      </c>
      <c r="V61" s="274">
        <v>5.5</v>
      </c>
      <c r="W61" s="275">
        <f>'【国内】问卷调研-数据源（P3单独执行） '!W61</f>
        <v>14.0949321912919</v>
      </c>
      <c r="X61" s="172"/>
      <c r="Y61" s="275"/>
      <c r="Z61" s="280">
        <v>1401</v>
      </c>
      <c r="AA61" s="99">
        <f>'【国内】问卷调研-数据源（混合执行）  (2)'!AA61*1.8</f>
        <v>0.72</v>
      </c>
      <c r="AB61" s="99">
        <v>0</v>
      </c>
      <c r="AC61" s="99">
        <f t="shared" si="31"/>
        <v>3.65166666666667</v>
      </c>
      <c r="AD61" s="274">
        <f t="shared" si="37"/>
        <v>5.6</v>
      </c>
      <c r="AE61" s="275">
        <f>'【国内】问卷调研-数据源（P3单独执行） '!AE61</f>
        <v>15.3590292648109</v>
      </c>
      <c r="AF61" s="172"/>
      <c r="AG61" s="275"/>
      <c r="AH61" s="280">
        <v>1401</v>
      </c>
      <c r="AI61" s="99">
        <f>'【国内】问卷调研-数据源（混合执行）  (2)'!AI61*1.8</f>
        <v>0.72</v>
      </c>
      <c r="AJ61" s="99">
        <v>0</v>
      </c>
      <c r="AK61" s="99">
        <f t="shared" si="32"/>
        <v>3.935</v>
      </c>
      <c r="AL61" s="274">
        <f t="shared" si="38"/>
        <v>5.7</v>
      </c>
      <c r="AM61" s="275">
        <f>'【国内】问卷调研-数据源（P3单独执行） '!AM61</f>
        <v>16.6231263383298</v>
      </c>
      <c r="AN61" s="172"/>
      <c r="AO61" s="275"/>
      <c r="AP61" s="280">
        <v>1401</v>
      </c>
      <c r="AQ61" s="99">
        <f>'【国内】问卷调研-数据源（混合执行）  (2)'!AQ61*1.8</f>
        <v>0.72</v>
      </c>
      <c r="AR61" s="99">
        <v>0</v>
      </c>
      <c r="AS61" s="99">
        <f t="shared" si="33"/>
        <v>4.21833333333333</v>
      </c>
      <c r="AT61" s="274">
        <f t="shared" si="39"/>
        <v>5.8</v>
      </c>
      <c r="AU61" s="275">
        <f>'【国内】问卷调研-数据源（P3单独执行） '!AU61</f>
        <v>17.8872234118487</v>
      </c>
      <c r="AV61" s="172"/>
      <c r="AW61" s="275"/>
      <c r="AX61" s="280">
        <v>1401</v>
      </c>
      <c r="AY61" s="99">
        <f>'【国内】问卷调研-数据源（混合执行）  (2)'!AY61*1.8</f>
        <v>0.72</v>
      </c>
      <c r="AZ61" s="99">
        <v>0</v>
      </c>
      <c r="BA61" s="99">
        <f t="shared" si="34"/>
        <v>4.50166666666667</v>
      </c>
      <c r="BB61" s="274">
        <f t="shared" si="40"/>
        <v>5.9</v>
      </c>
      <c r="BC61" s="275">
        <f>'【国内】问卷调研-数据源（P3单独执行） '!BC61</f>
        <v>19.1513204853676</v>
      </c>
    </row>
    <row r="62" s="266" customFormat="1" spans="1:55">
      <c r="A62" s="172" t="s">
        <v>116</v>
      </c>
      <c r="B62" s="172">
        <v>1601</v>
      </c>
      <c r="C62" s="99">
        <f>'【国内】问卷调研-数据源（P3单独执行） '!C62*1.5</f>
        <v>0.3</v>
      </c>
      <c r="D62" s="99">
        <v>0</v>
      </c>
      <c r="E62" s="99">
        <f t="shared" si="28"/>
        <v>5.35833333333333</v>
      </c>
      <c r="F62" s="274">
        <f t="shared" si="35"/>
        <v>5.6</v>
      </c>
      <c r="G62" s="275">
        <f>'【国内】问卷调研-数据源（P3单独执行） '!G62</f>
        <v>11.1711430356027</v>
      </c>
      <c r="H62" s="172"/>
      <c r="I62" s="275"/>
      <c r="J62" s="172">
        <v>1601</v>
      </c>
      <c r="K62" s="99">
        <f>'【国内】问卷调研-数据源（混合执行）  (2)'!K62*1.8</f>
        <v>0.72</v>
      </c>
      <c r="L62" s="99">
        <v>0</v>
      </c>
      <c r="M62" s="99">
        <f t="shared" si="29"/>
        <v>3.57666666666667</v>
      </c>
      <c r="N62" s="274">
        <f t="shared" si="36"/>
        <v>5.7</v>
      </c>
      <c r="O62" s="275">
        <f>'【国内】问卷调研-数据源（P3单独执行） '!O62</f>
        <v>12.4022485946284</v>
      </c>
      <c r="P62" s="172"/>
      <c r="Q62" s="275"/>
      <c r="R62" s="172">
        <v>1601</v>
      </c>
      <c r="S62" s="99">
        <f>'【国内】问卷调研-数据源（混合执行）  (2)'!S62*1.8</f>
        <v>0.72</v>
      </c>
      <c r="T62" s="99">
        <v>0</v>
      </c>
      <c r="U62" s="99">
        <f t="shared" si="30"/>
        <v>3.86</v>
      </c>
      <c r="V62" s="274">
        <v>5.8</v>
      </c>
      <c r="W62" s="275">
        <f>'【国内】问卷调研-数据源（P3单独执行） '!W62</f>
        <v>13.633354153654</v>
      </c>
      <c r="X62" s="172"/>
      <c r="Y62" s="275"/>
      <c r="Z62" s="172">
        <v>1601</v>
      </c>
      <c r="AA62" s="99">
        <f>'【国内】问卷调研-数据源（混合执行）  (2)'!AA62*1.8</f>
        <v>0.72</v>
      </c>
      <c r="AB62" s="99">
        <v>0</v>
      </c>
      <c r="AC62" s="99">
        <f t="shared" si="31"/>
        <v>4.14333333333333</v>
      </c>
      <c r="AD62" s="274">
        <f t="shared" si="37"/>
        <v>5.9</v>
      </c>
      <c r="AE62" s="275">
        <f>'【国内】问卷调研-数据源（P3单独执行） '!AE62</f>
        <v>14.8644597126796</v>
      </c>
      <c r="AF62" s="172"/>
      <c r="AG62" s="275"/>
      <c r="AH62" s="172">
        <v>1601</v>
      </c>
      <c r="AI62" s="99">
        <f>'【国内】问卷调研-数据源（混合执行）  (2)'!AI62*1.8</f>
        <v>0.72</v>
      </c>
      <c r="AJ62" s="99">
        <v>0</v>
      </c>
      <c r="AK62" s="99">
        <f t="shared" si="32"/>
        <v>4.42666666666667</v>
      </c>
      <c r="AL62" s="274">
        <f t="shared" si="38"/>
        <v>6</v>
      </c>
      <c r="AM62" s="275">
        <f>'【国内】问卷调研-数据源（P3单独执行） '!AM62</f>
        <v>16.0955652717052</v>
      </c>
      <c r="AN62" s="172"/>
      <c r="AO62" s="275"/>
      <c r="AP62" s="172">
        <v>1601</v>
      </c>
      <c r="AQ62" s="99">
        <f>'【国内】问卷调研-数据源（混合执行）  (2)'!AQ62*1.8</f>
        <v>0.72</v>
      </c>
      <c r="AR62" s="99">
        <v>0</v>
      </c>
      <c r="AS62" s="99">
        <f t="shared" si="33"/>
        <v>4.71</v>
      </c>
      <c r="AT62" s="274">
        <f t="shared" si="39"/>
        <v>6.1</v>
      </c>
      <c r="AU62" s="275">
        <f>'【国内】问卷调研-数据源（P3单独执行） '!AU62</f>
        <v>17.3266708307308</v>
      </c>
      <c r="AV62" s="172"/>
      <c r="AW62" s="275"/>
      <c r="AX62" s="172">
        <v>1601</v>
      </c>
      <c r="AY62" s="99">
        <f>'【国内】问卷调研-数据源（混合执行）  (2)'!AY62*1.8</f>
        <v>0.72</v>
      </c>
      <c r="AZ62" s="99">
        <v>0</v>
      </c>
      <c r="BA62" s="99">
        <f t="shared" si="34"/>
        <v>4.99333333333333</v>
      </c>
      <c r="BB62" s="274">
        <f t="shared" si="40"/>
        <v>6.2</v>
      </c>
      <c r="BC62" s="275">
        <f>'【国内】问卷调研-数据源（P3单独执行） '!BC62</f>
        <v>18.5577763897564</v>
      </c>
    </row>
    <row r="63" s="266" customFormat="1" spans="1:55">
      <c r="A63" s="172" t="s">
        <v>117</v>
      </c>
      <c r="B63" s="172">
        <v>1801</v>
      </c>
      <c r="C63" s="99">
        <f>'【国内】问卷调研-数据源（P3单独执行） '!C63*1.5</f>
        <v>0.3</v>
      </c>
      <c r="D63" s="99">
        <v>0</v>
      </c>
      <c r="E63" s="99">
        <f t="shared" si="28"/>
        <v>5.925</v>
      </c>
      <c r="F63" s="274">
        <f t="shared" si="35"/>
        <v>5.6</v>
      </c>
      <c r="G63" s="275">
        <f>'【国内】问卷调研-数据源（P3单独执行） '!G63</f>
        <v>10.8634092171016</v>
      </c>
      <c r="H63" s="172"/>
      <c r="I63" s="275"/>
      <c r="J63" s="172">
        <v>1801</v>
      </c>
      <c r="K63" s="99">
        <f>'【国内】问卷调研-数据源（混合执行）  (2)'!K63*1.8</f>
        <v>0.72</v>
      </c>
      <c r="L63" s="99">
        <v>0</v>
      </c>
      <c r="M63" s="99">
        <f t="shared" si="29"/>
        <v>4.14333333333333</v>
      </c>
      <c r="N63" s="274">
        <f t="shared" si="36"/>
        <v>5.7</v>
      </c>
      <c r="O63" s="275">
        <f>'【国内】问卷调研-数据源（P3单独执行） '!O63</f>
        <v>12.0688506385341</v>
      </c>
      <c r="P63" s="172"/>
      <c r="Q63" s="275"/>
      <c r="R63" s="172">
        <v>1801</v>
      </c>
      <c r="S63" s="99">
        <f>'【国内】问卷调研-数据源（混合执行）  (2)'!S63*1.8</f>
        <v>0.72</v>
      </c>
      <c r="T63" s="99">
        <v>0</v>
      </c>
      <c r="U63" s="99">
        <f t="shared" si="30"/>
        <v>4.42666666666667</v>
      </c>
      <c r="V63" s="274">
        <v>5.8</v>
      </c>
      <c r="W63" s="275">
        <f>'【国内】问卷调研-数据源（P3单独执行） '!W63</f>
        <v>13.2742920599667</v>
      </c>
      <c r="X63" s="172"/>
      <c r="Y63" s="275"/>
      <c r="Z63" s="172">
        <v>1801</v>
      </c>
      <c r="AA63" s="99">
        <f>'【国内】问卷调研-数据源（混合执行）  (2)'!AA63*1.8</f>
        <v>0.72</v>
      </c>
      <c r="AB63" s="99">
        <v>0</v>
      </c>
      <c r="AC63" s="99">
        <f t="shared" si="31"/>
        <v>4.71</v>
      </c>
      <c r="AD63" s="274">
        <f t="shared" si="37"/>
        <v>5.9</v>
      </c>
      <c r="AE63" s="275">
        <f>'【国内】问卷调研-数据源（P3单独执行） '!AE63</f>
        <v>14.4797334813992</v>
      </c>
      <c r="AF63" s="172"/>
      <c r="AG63" s="275"/>
      <c r="AH63" s="172">
        <v>1801</v>
      </c>
      <c r="AI63" s="99">
        <f>'【国内】问卷调研-数据源（混合执行）  (2)'!AI63*1.8</f>
        <v>0.72</v>
      </c>
      <c r="AJ63" s="99">
        <v>0</v>
      </c>
      <c r="AK63" s="99">
        <f t="shared" si="32"/>
        <v>4.99333333333333</v>
      </c>
      <c r="AL63" s="274">
        <f t="shared" si="38"/>
        <v>6</v>
      </c>
      <c r="AM63" s="275">
        <f>'【国内】问卷调研-数据源（P3单独执行） '!AM63</f>
        <v>15.6851749028318</v>
      </c>
      <c r="AN63" s="172"/>
      <c r="AO63" s="275"/>
      <c r="AP63" s="172">
        <v>1801</v>
      </c>
      <c r="AQ63" s="99">
        <f>'【国内】问卷调研-数据源（混合执行）  (2)'!AQ63*1.8</f>
        <v>0.72</v>
      </c>
      <c r="AR63" s="99">
        <v>0</v>
      </c>
      <c r="AS63" s="99">
        <f t="shared" si="33"/>
        <v>5.27666666666667</v>
      </c>
      <c r="AT63" s="274">
        <f t="shared" si="39"/>
        <v>6.1</v>
      </c>
      <c r="AU63" s="275">
        <f>'【国内】问卷调研-数据源（P3单独执行） '!AU63</f>
        <v>16.8906163242643</v>
      </c>
      <c r="AV63" s="172"/>
      <c r="AW63" s="275"/>
      <c r="AX63" s="172">
        <v>1801</v>
      </c>
      <c r="AY63" s="99">
        <f>'【国内】问卷调研-数据源（混合执行）  (2)'!AY63*1.8</f>
        <v>0.72</v>
      </c>
      <c r="AZ63" s="99">
        <v>0</v>
      </c>
      <c r="BA63" s="99">
        <f t="shared" si="34"/>
        <v>5.56</v>
      </c>
      <c r="BB63" s="274">
        <f t="shared" si="40"/>
        <v>6.2</v>
      </c>
      <c r="BC63" s="275">
        <f>'【国内】问卷调研-数据源（P3单独执行） '!BC63</f>
        <v>18.0960577456968</v>
      </c>
    </row>
    <row r="64" s="266" customFormat="1" spans="1:55">
      <c r="A64" s="172" t="s">
        <v>118</v>
      </c>
      <c r="B64" s="172">
        <v>2001</v>
      </c>
      <c r="C64" s="99">
        <f>'【国内】问卷调研-数据源（P3单独执行） '!C64*1.5</f>
        <v>0.45</v>
      </c>
      <c r="D64" s="99">
        <v>0</v>
      </c>
      <c r="E64" s="99">
        <f t="shared" si="28"/>
        <v>6.24583333333333</v>
      </c>
      <c r="F64" s="274">
        <f t="shared" si="35"/>
        <v>5.8</v>
      </c>
      <c r="G64" s="275">
        <f>'【国内】问卷调研-数据源（P3单独执行） '!G64</f>
        <v>10.9420289855072</v>
      </c>
      <c r="H64" s="172"/>
      <c r="I64" s="275"/>
      <c r="J64" s="172">
        <v>2001</v>
      </c>
      <c r="K64" s="99">
        <f>'【国内】问卷调研-数据源（混合执行）  (2)'!K64*1.8</f>
        <v>0.9</v>
      </c>
      <c r="L64" s="99">
        <v>0</v>
      </c>
      <c r="M64" s="99">
        <f t="shared" si="29"/>
        <v>4.31666666666667</v>
      </c>
      <c r="N64" s="274">
        <f t="shared" si="36"/>
        <v>5.9</v>
      </c>
      <c r="O64" s="275">
        <f>'【国内】问卷调研-数据源（P3单独执行） '!O64</f>
        <v>12.1269365317341</v>
      </c>
      <c r="P64" s="172"/>
      <c r="Q64" s="275"/>
      <c r="R64" s="172">
        <v>2001</v>
      </c>
      <c r="S64" s="99">
        <f>'【国内】问卷调研-数据源（混合执行）  (2)'!S64*1.8</f>
        <v>0.9</v>
      </c>
      <c r="T64" s="99">
        <v>0</v>
      </c>
      <c r="U64" s="99">
        <f t="shared" si="30"/>
        <v>4.6</v>
      </c>
      <c r="V64" s="274">
        <v>6</v>
      </c>
      <c r="W64" s="275">
        <f>'【国内】问卷调研-数据源（P3单独执行） '!W64</f>
        <v>13.311844077961</v>
      </c>
      <c r="X64" s="172"/>
      <c r="Y64" s="275"/>
      <c r="Z64" s="172">
        <v>2001</v>
      </c>
      <c r="AA64" s="99">
        <f>'【国内】问卷调研-数据源（混合执行）  (2)'!AA64*1.8</f>
        <v>0.9</v>
      </c>
      <c r="AB64" s="99">
        <v>0</v>
      </c>
      <c r="AC64" s="99">
        <f t="shared" si="31"/>
        <v>4.88333333333333</v>
      </c>
      <c r="AD64" s="274">
        <f t="shared" si="37"/>
        <v>6.1</v>
      </c>
      <c r="AE64" s="275">
        <f>'【国内】问卷调研-数据源（P3单独执行） '!AE64</f>
        <v>14.4967516241879</v>
      </c>
      <c r="AF64" s="172"/>
      <c r="AG64" s="275"/>
      <c r="AH64" s="172">
        <v>2001</v>
      </c>
      <c r="AI64" s="99">
        <f>'【国内】问卷调研-数据源（混合执行）  (2)'!AI64*1.8</f>
        <v>0.9</v>
      </c>
      <c r="AJ64" s="99">
        <v>0</v>
      </c>
      <c r="AK64" s="99">
        <f t="shared" si="32"/>
        <v>5.16666666666667</v>
      </c>
      <c r="AL64" s="274">
        <f t="shared" si="38"/>
        <v>6.2</v>
      </c>
      <c r="AM64" s="275">
        <f>'【国内】问卷调研-数据源（P3单独执行） '!AM64</f>
        <v>15.6816591704148</v>
      </c>
      <c r="AN64" s="172"/>
      <c r="AO64" s="275"/>
      <c r="AP64" s="172">
        <v>2001</v>
      </c>
      <c r="AQ64" s="99">
        <f>'【国内】问卷调研-数据源（混合执行）  (2)'!AQ64*1.8</f>
        <v>0.9</v>
      </c>
      <c r="AR64" s="99">
        <v>0</v>
      </c>
      <c r="AS64" s="99">
        <f t="shared" si="33"/>
        <v>5.45</v>
      </c>
      <c r="AT64" s="274">
        <f t="shared" si="39"/>
        <v>6.3</v>
      </c>
      <c r="AU64" s="275">
        <f>'【国内】问卷调研-数据源（P3单独执行） '!AU64</f>
        <v>16.8665667166417</v>
      </c>
      <c r="AV64" s="172"/>
      <c r="AW64" s="275"/>
      <c r="AX64" s="172">
        <v>2001</v>
      </c>
      <c r="AY64" s="99">
        <f>'【国内】问卷调研-数据源（混合执行）  (2)'!AY64*1.8</f>
        <v>0.9</v>
      </c>
      <c r="AZ64" s="99">
        <v>0</v>
      </c>
      <c r="BA64" s="99">
        <f t="shared" si="34"/>
        <v>5.73333333333333</v>
      </c>
      <c r="BB64" s="274">
        <f t="shared" si="40"/>
        <v>6.4</v>
      </c>
      <c r="BC64" s="275">
        <f>'【国内】问卷调研-数据源（P3单独执行） '!BC64</f>
        <v>18.0514742628686</v>
      </c>
    </row>
    <row r="65" s="266" customFormat="1" spans="1:55">
      <c r="A65" s="172" t="s">
        <v>119</v>
      </c>
      <c r="B65" s="172">
        <v>2201</v>
      </c>
      <c r="C65" s="99">
        <f>'【国内】问卷调研-数据源（P3单独执行） '!C65*1.5</f>
        <v>0.45</v>
      </c>
      <c r="D65" s="99">
        <v>0</v>
      </c>
      <c r="E65" s="99">
        <f t="shared" si="28"/>
        <v>6.7625</v>
      </c>
      <c r="F65" s="274">
        <f t="shared" si="35"/>
        <v>6</v>
      </c>
      <c r="G65" s="275">
        <f>'【国内】问卷调研-数据源（P3单独执行） '!G65</f>
        <v>10.7110404361654</v>
      </c>
      <c r="H65" s="172"/>
      <c r="I65" s="275"/>
      <c r="J65" s="172">
        <v>2201</v>
      </c>
      <c r="K65" s="99">
        <f>'【国内】问卷调研-数据源（混合执行）  (2)'!K65*1.8</f>
        <v>0.9</v>
      </c>
      <c r="L65" s="99">
        <v>0</v>
      </c>
      <c r="M65" s="99">
        <f t="shared" si="29"/>
        <v>4.83333333333333</v>
      </c>
      <c r="N65" s="274">
        <f t="shared" si="36"/>
        <v>6.1</v>
      </c>
      <c r="O65" s="275">
        <f>'【国内】问卷调研-数据源（P3单独执行） '!O65</f>
        <v>11.8791458427987</v>
      </c>
      <c r="P65" s="172"/>
      <c r="Q65" s="275"/>
      <c r="R65" s="172">
        <v>2201</v>
      </c>
      <c r="S65" s="99">
        <f>'【国内】问卷调研-数据源（混合执行）  (2)'!S65*1.8</f>
        <v>0.9</v>
      </c>
      <c r="T65" s="99">
        <v>0</v>
      </c>
      <c r="U65" s="99">
        <f t="shared" si="30"/>
        <v>5.11666666666667</v>
      </c>
      <c r="V65" s="274">
        <v>6.2</v>
      </c>
      <c r="W65" s="275">
        <f>'【国内】问卷调研-数据源（P3单独执行） '!W65</f>
        <v>13.0472512494321</v>
      </c>
      <c r="X65" s="172"/>
      <c r="Y65" s="275"/>
      <c r="Z65" s="172">
        <v>2201</v>
      </c>
      <c r="AA65" s="99">
        <f>'【国内】问卷调研-数据源（混合执行）  (2)'!AA65*1.8</f>
        <v>0.9</v>
      </c>
      <c r="AB65" s="99">
        <v>0</v>
      </c>
      <c r="AC65" s="99">
        <f t="shared" si="31"/>
        <v>5.4</v>
      </c>
      <c r="AD65" s="274">
        <f t="shared" si="37"/>
        <v>6.3</v>
      </c>
      <c r="AE65" s="275">
        <f>'【国内】问卷调研-数据源（P3单独执行） '!AE65</f>
        <v>14.2153566560654</v>
      </c>
      <c r="AF65" s="172"/>
      <c r="AG65" s="275"/>
      <c r="AH65" s="172">
        <v>2201</v>
      </c>
      <c r="AI65" s="99">
        <f>'【国内】问卷调研-数据源（混合执行）  (2)'!AI65*1.8</f>
        <v>0.9</v>
      </c>
      <c r="AJ65" s="99">
        <v>0</v>
      </c>
      <c r="AK65" s="99">
        <f t="shared" si="32"/>
        <v>5.68333333333333</v>
      </c>
      <c r="AL65" s="274">
        <f t="shared" si="38"/>
        <v>6.4</v>
      </c>
      <c r="AM65" s="275">
        <f>'【国内】问卷调研-数据源（P3单独执行） '!AM65</f>
        <v>15.3834620626988</v>
      </c>
      <c r="AN65" s="172"/>
      <c r="AO65" s="275"/>
      <c r="AP65" s="172">
        <v>2201</v>
      </c>
      <c r="AQ65" s="99">
        <f>'【国内】问卷调研-数据源（混合执行）  (2)'!AQ65*1.8</f>
        <v>0.9</v>
      </c>
      <c r="AR65" s="99">
        <v>0</v>
      </c>
      <c r="AS65" s="99">
        <f t="shared" si="33"/>
        <v>5.96666666666667</v>
      </c>
      <c r="AT65" s="274">
        <f t="shared" si="39"/>
        <v>6.5</v>
      </c>
      <c r="AU65" s="275">
        <f>'【国内】问卷调研-数据源（P3单独执行） '!AU65</f>
        <v>16.5515674693321</v>
      </c>
      <c r="AV65" s="172"/>
      <c r="AW65" s="275"/>
      <c r="AX65" s="172">
        <v>2201</v>
      </c>
      <c r="AY65" s="99">
        <f>'【国内】问卷调研-数据源（混合执行）  (2)'!AY65*1.8</f>
        <v>0.9</v>
      </c>
      <c r="AZ65" s="99">
        <v>0</v>
      </c>
      <c r="BA65" s="99">
        <f t="shared" si="34"/>
        <v>6.25</v>
      </c>
      <c r="BB65" s="274">
        <f t="shared" si="40"/>
        <v>6.6</v>
      </c>
      <c r="BC65" s="275">
        <f>'【国内】问卷调研-数据源（P3单独执行） '!BC65</f>
        <v>17.7196728759655</v>
      </c>
    </row>
    <row r="66" s="266" customFormat="1" spans="1:55">
      <c r="A66" s="172" t="s">
        <v>120</v>
      </c>
      <c r="B66" s="172">
        <v>2401</v>
      </c>
      <c r="C66" s="99">
        <f>'【国内】问卷调研-数据源（P3单独执行） '!C66*1.5</f>
        <v>0.45</v>
      </c>
      <c r="D66" s="99">
        <v>0</v>
      </c>
      <c r="E66" s="99">
        <f t="shared" si="28"/>
        <v>7.02083333333333</v>
      </c>
      <c r="F66" s="274">
        <f t="shared" si="35"/>
        <v>6.1</v>
      </c>
      <c r="G66" s="275">
        <f>'【国内】问卷调研-数据源（P3单独执行） '!G66</f>
        <v>10.3769262807164</v>
      </c>
      <c r="H66" s="172"/>
      <c r="I66" s="275"/>
      <c r="J66" s="172">
        <v>2401</v>
      </c>
      <c r="K66" s="99">
        <f>'【国内】问卷调研-数据源（混合执行）  (2)'!K66*1.8</f>
        <v>0.9</v>
      </c>
      <c r="L66" s="99">
        <v>0</v>
      </c>
      <c r="M66" s="99">
        <f t="shared" si="29"/>
        <v>5.09166666666667</v>
      </c>
      <c r="N66" s="274">
        <f t="shared" si="36"/>
        <v>6.2</v>
      </c>
      <c r="O66" s="275">
        <f>'【国内】问卷调研-数据源（P3单独执行） '!O66</f>
        <v>11.5310287380258</v>
      </c>
      <c r="P66" s="172"/>
      <c r="Q66" s="275"/>
      <c r="R66" s="172">
        <v>2401</v>
      </c>
      <c r="S66" s="99">
        <f>'【国内】问卷调研-数据源（混合执行）  (2)'!S66*1.8</f>
        <v>0.9</v>
      </c>
      <c r="T66" s="99">
        <v>0</v>
      </c>
      <c r="U66" s="99">
        <f t="shared" si="30"/>
        <v>5.375</v>
      </c>
      <c r="V66" s="274">
        <v>6.3</v>
      </c>
      <c r="W66" s="275">
        <f>'【国内】问卷调研-数据源（P3单独执行） '!W66</f>
        <v>12.6851311953353</v>
      </c>
      <c r="X66" s="172"/>
      <c r="Y66" s="275"/>
      <c r="Z66" s="172">
        <v>2401</v>
      </c>
      <c r="AA66" s="99">
        <f>'【国内】问卷调研-数据源（混合执行）  (2)'!AA66*1.8</f>
        <v>0.9</v>
      </c>
      <c r="AB66" s="99">
        <v>0</v>
      </c>
      <c r="AC66" s="99">
        <f t="shared" si="31"/>
        <v>5.65833333333333</v>
      </c>
      <c r="AD66" s="274">
        <f t="shared" si="37"/>
        <v>6.4</v>
      </c>
      <c r="AE66" s="275">
        <f>'【国内】问卷调研-数据源（P3单独执行） '!AE66</f>
        <v>13.8392336526447</v>
      </c>
      <c r="AF66" s="172"/>
      <c r="AG66" s="275"/>
      <c r="AH66" s="172">
        <v>2401</v>
      </c>
      <c r="AI66" s="99">
        <f>'【国内】问卷调研-数据源（混合执行）  (2)'!AI66*1.8</f>
        <v>0.9</v>
      </c>
      <c r="AJ66" s="99">
        <v>0</v>
      </c>
      <c r="AK66" s="99">
        <f t="shared" si="32"/>
        <v>5.94166666666667</v>
      </c>
      <c r="AL66" s="274">
        <f t="shared" si="38"/>
        <v>6.5</v>
      </c>
      <c r="AM66" s="275">
        <f>'【国内】问卷调研-数据源（P3单独执行） '!AM66</f>
        <v>14.9933361099542</v>
      </c>
      <c r="AN66" s="172"/>
      <c r="AO66" s="275"/>
      <c r="AP66" s="172">
        <v>2401</v>
      </c>
      <c r="AQ66" s="99">
        <f>'【国内】问卷调研-数据源（混合执行）  (2)'!AQ66*1.8</f>
        <v>0.9</v>
      </c>
      <c r="AR66" s="99">
        <v>0</v>
      </c>
      <c r="AS66" s="99">
        <f t="shared" si="33"/>
        <v>6.225</v>
      </c>
      <c r="AT66" s="274">
        <f t="shared" si="39"/>
        <v>6.6</v>
      </c>
      <c r="AU66" s="275">
        <f>'【国内】问卷调研-数据源（P3单独执行） '!AU66</f>
        <v>16.1474385672636</v>
      </c>
      <c r="AV66" s="172"/>
      <c r="AW66" s="275"/>
      <c r="AX66" s="172">
        <v>2401</v>
      </c>
      <c r="AY66" s="99">
        <f>'【国内】问卷调研-数据源（混合执行）  (2)'!AY66*1.8</f>
        <v>0.9</v>
      </c>
      <c r="AZ66" s="99">
        <v>0</v>
      </c>
      <c r="BA66" s="99">
        <f t="shared" si="34"/>
        <v>6.50833333333333</v>
      </c>
      <c r="BB66" s="274">
        <f t="shared" si="40"/>
        <v>6.7</v>
      </c>
      <c r="BC66" s="275">
        <f>'【国内】问卷调研-数据源（P3单独执行） '!BC66</f>
        <v>17.3015410245731</v>
      </c>
    </row>
    <row r="67" s="266" customFormat="1" spans="1:55">
      <c r="A67" s="172" t="s">
        <v>121</v>
      </c>
      <c r="B67" s="172">
        <v>2601</v>
      </c>
      <c r="C67" s="99">
        <f>'【国内】问卷调研-数据源（P3单独执行） '!C67*1.5</f>
        <v>0.6</v>
      </c>
      <c r="D67" s="99">
        <v>0</v>
      </c>
      <c r="E67" s="99">
        <f t="shared" si="28"/>
        <v>7.03333333333333</v>
      </c>
      <c r="F67" s="274">
        <f t="shared" si="35"/>
        <v>6.2</v>
      </c>
      <c r="G67" s="275">
        <f>'【国内】问卷调研-数据源（P3单独执行） '!G67</f>
        <v>10.3210303729335</v>
      </c>
      <c r="H67" s="172"/>
      <c r="I67" s="275"/>
      <c r="J67" s="172">
        <v>2601</v>
      </c>
      <c r="K67" s="99">
        <f>'【国内】问卷调研-数据源（混合执行）  (2)'!K67*1.8</f>
        <v>1.08</v>
      </c>
      <c r="L67" s="99">
        <v>0</v>
      </c>
      <c r="M67" s="99">
        <f t="shared" si="29"/>
        <v>4.95666666666667</v>
      </c>
      <c r="N67" s="274">
        <f t="shared" si="36"/>
        <v>6.3</v>
      </c>
      <c r="O67" s="275">
        <f>'【国内】问卷调研-数据源（P3单独执行） '!O67</f>
        <v>11.4632833525567</v>
      </c>
      <c r="P67" s="172"/>
      <c r="Q67" s="275"/>
      <c r="R67" s="172">
        <v>2601</v>
      </c>
      <c r="S67" s="99">
        <f>'【国内】问卷调研-数据源（混合执行）  (2)'!S67*1.8</f>
        <v>1.08</v>
      </c>
      <c r="T67" s="99">
        <v>0</v>
      </c>
      <c r="U67" s="99">
        <f t="shared" si="30"/>
        <v>5.24</v>
      </c>
      <c r="V67" s="274">
        <v>6.4</v>
      </c>
      <c r="W67" s="275">
        <f>'【国内】问卷调研-数据源（P3单独执行） '!W67</f>
        <v>12.6055363321799</v>
      </c>
      <c r="X67" s="172"/>
      <c r="Y67" s="275"/>
      <c r="Z67" s="172">
        <v>2601</v>
      </c>
      <c r="AA67" s="99">
        <f>'【国内】问卷调研-数据源（混合执行）  (2)'!AA67*1.8</f>
        <v>1.08</v>
      </c>
      <c r="AB67" s="99">
        <v>0</v>
      </c>
      <c r="AC67" s="99">
        <f t="shared" si="31"/>
        <v>5.52333333333333</v>
      </c>
      <c r="AD67" s="274">
        <f t="shared" si="37"/>
        <v>6.5</v>
      </c>
      <c r="AE67" s="275">
        <f>'【国内】问卷调研-数据源（P3单独执行） '!AE67</f>
        <v>13.7477893118032</v>
      </c>
      <c r="AF67" s="172"/>
      <c r="AG67" s="275"/>
      <c r="AH67" s="172">
        <v>2601</v>
      </c>
      <c r="AI67" s="99">
        <f>'【国内】问卷调研-数据源（混合执行）  (2)'!AI67*1.8</f>
        <v>1.08</v>
      </c>
      <c r="AJ67" s="99">
        <v>0</v>
      </c>
      <c r="AK67" s="99">
        <f t="shared" si="32"/>
        <v>5.80666666666666</v>
      </c>
      <c r="AL67" s="274">
        <f t="shared" si="38"/>
        <v>6.6</v>
      </c>
      <c r="AM67" s="275">
        <f>'【国内】问卷调研-数据源（P3单独执行） '!AM67</f>
        <v>14.8900422914264</v>
      </c>
      <c r="AN67" s="172"/>
      <c r="AO67" s="275"/>
      <c r="AP67" s="172">
        <v>2601</v>
      </c>
      <c r="AQ67" s="99">
        <f>'【国内】问卷调研-数据源（混合执行）  (2)'!AQ67*1.8</f>
        <v>1.08</v>
      </c>
      <c r="AR67" s="99">
        <v>0</v>
      </c>
      <c r="AS67" s="99">
        <f t="shared" si="33"/>
        <v>6.08999999999999</v>
      </c>
      <c r="AT67" s="274">
        <f t="shared" si="39"/>
        <v>6.7</v>
      </c>
      <c r="AU67" s="275">
        <f>'【国内】问卷调研-数据源（P3单独执行） '!AU67</f>
        <v>16.0322952710496</v>
      </c>
      <c r="AV67" s="172"/>
      <c r="AW67" s="275"/>
      <c r="AX67" s="172">
        <v>2601</v>
      </c>
      <c r="AY67" s="99">
        <f>'【国内】问卷调研-数据源（混合执行）  (2)'!AY67*1.8</f>
        <v>1.08</v>
      </c>
      <c r="AZ67" s="99">
        <v>0</v>
      </c>
      <c r="BA67" s="99">
        <f t="shared" si="34"/>
        <v>6.37333333333333</v>
      </c>
      <c r="BB67" s="274">
        <f t="shared" si="40"/>
        <v>6.8</v>
      </c>
      <c r="BC67" s="275">
        <f>'【国内】问卷调研-数据源（P3单独执行） '!BC67</f>
        <v>17.1745482506728</v>
      </c>
    </row>
    <row r="68" s="266" customFormat="1" spans="1:55">
      <c r="A68" s="172" t="s">
        <v>122</v>
      </c>
      <c r="B68" s="172">
        <v>2801</v>
      </c>
      <c r="C68" s="99">
        <f>'【国内】问卷调研-数据源（P3单独执行） '!C68*1.5</f>
        <v>0.6</v>
      </c>
      <c r="D68" s="99">
        <v>0</v>
      </c>
      <c r="E68" s="99">
        <f t="shared" si="28"/>
        <v>8.06666666666667</v>
      </c>
      <c r="F68" s="274">
        <f t="shared" si="35"/>
        <v>6.6</v>
      </c>
      <c r="G68" s="275">
        <f>'【国内】问卷调研-数据源（P3单独执行） '!G68</f>
        <v>10.4266333452338</v>
      </c>
      <c r="H68" s="172"/>
      <c r="I68" s="275"/>
      <c r="J68" s="172">
        <v>2801</v>
      </c>
      <c r="K68" s="99">
        <f>'【国内】问卷调研-数据源（混合执行）  (2)'!K68*1.8</f>
        <v>1.08</v>
      </c>
      <c r="L68" s="99">
        <v>0</v>
      </c>
      <c r="M68" s="99">
        <f t="shared" si="29"/>
        <v>5.99</v>
      </c>
      <c r="N68" s="274">
        <f t="shared" si="36"/>
        <v>6.7</v>
      </c>
      <c r="O68" s="275">
        <f>'【国内】问卷调研-数据源（P3单独执行） '!O68</f>
        <v>11.5587290253481</v>
      </c>
      <c r="P68" s="172"/>
      <c r="Q68" s="275"/>
      <c r="R68" s="172">
        <v>2801</v>
      </c>
      <c r="S68" s="99">
        <f>'【国内】问卷调研-数据源（混合执行）  (2)'!S68*1.8</f>
        <v>1.08</v>
      </c>
      <c r="T68" s="99">
        <v>0</v>
      </c>
      <c r="U68" s="99">
        <f t="shared" si="30"/>
        <v>6.27333333333333</v>
      </c>
      <c r="V68" s="274">
        <v>6.8</v>
      </c>
      <c r="W68" s="275">
        <f>'【国内】问卷调研-数据源（P3单独执行） '!W68</f>
        <v>12.6908247054623</v>
      </c>
      <c r="X68" s="172"/>
      <c r="Y68" s="275"/>
      <c r="Z68" s="172">
        <v>2801</v>
      </c>
      <c r="AA68" s="99">
        <f>'【国内】问卷调研-数据源（混合执行）  (2)'!AA68*1.8</f>
        <v>1.08</v>
      </c>
      <c r="AB68" s="99">
        <v>0</v>
      </c>
      <c r="AC68" s="99">
        <f t="shared" si="31"/>
        <v>6.55666666666666</v>
      </c>
      <c r="AD68" s="274">
        <f t="shared" si="37"/>
        <v>6.9</v>
      </c>
      <c r="AE68" s="275">
        <f>'【国内】问卷调研-数据源（P3单独执行） '!AE68</f>
        <v>13.8229203855766</v>
      </c>
      <c r="AF68" s="172"/>
      <c r="AG68" s="275"/>
      <c r="AH68" s="172">
        <v>2801</v>
      </c>
      <c r="AI68" s="99">
        <f>'【国内】问卷调研-数据源（混合执行）  (2)'!AI68*1.8</f>
        <v>1.08</v>
      </c>
      <c r="AJ68" s="99">
        <v>0</v>
      </c>
      <c r="AK68" s="99">
        <f t="shared" si="32"/>
        <v>6.84</v>
      </c>
      <c r="AL68" s="274">
        <f t="shared" si="38"/>
        <v>7</v>
      </c>
      <c r="AM68" s="275">
        <f>'【国内】问卷调研-数据源（P3单独执行） '!AM68</f>
        <v>14.9550160656908</v>
      </c>
      <c r="AN68" s="172"/>
      <c r="AO68" s="275"/>
      <c r="AP68" s="172">
        <v>2801</v>
      </c>
      <c r="AQ68" s="99">
        <f>'【国内】问卷调研-数据源（混合执行）  (2)'!AQ68*1.8</f>
        <v>1.08</v>
      </c>
      <c r="AR68" s="99">
        <v>0</v>
      </c>
      <c r="AS68" s="99">
        <f t="shared" si="33"/>
        <v>7.12333333333334</v>
      </c>
      <c r="AT68" s="274">
        <f t="shared" si="39"/>
        <v>7.1</v>
      </c>
      <c r="AU68" s="275">
        <f>'【国内】问卷调研-数据源（P3单独执行） '!AU68</f>
        <v>16.0871117458051</v>
      </c>
      <c r="AV68" s="172"/>
      <c r="AW68" s="275"/>
      <c r="AX68" s="172">
        <v>2801</v>
      </c>
      <c r="AY68" s="99">
        <f>'【国内】问卷调研-数据源（混合执行）  (2)'!AY68*1.8</f>
        <v>1.08</v>
      </c>
      <c r="AZ68" s="99">
        <v>0</v>
      </c>
      <c r="BA68" s="99">
        <f t="shared" si="34"/>
        <v>7.40666666666667</v>
      </c>
      <c r="BB68" s="274">
        <f t="shared" si="40"/>
        <v>7.2</v>
      </c>
      <c r="BC68" s="275">
        <f>'【国内】问卷调研-数据源（P3单独执行） '!BC68</f>
        <v>17.2192074259193</v>
      </c>
    </row>
    <row r="69" spans="1:55">
      <c r="I69" s="269"/>
      <c r="Q69" s="269"/>
      <c r="Y69" s="269"/>
      <c r="AG69" s="269"/>
      <c r="AO69" s="269"/>
      <c r="AW69" s="269"/>
    </row>
    <row r="70" spans="1:55">
      <c r="B70" s="268" t="s">
        <v>91</v>
      </c>
      <c r="C70" s="268" t="s">
        <v>5</v>
      </c>
      <c r="I70" s="269"/>
      <c r="J70" s="268" t="s">
        <v>91</v>
      </c>
      <c r="K70" s="268"/>
      <c r="L70" s="268" t="s">
        <v>5</v>
      </c>
      <c r="Q70" s="269"/>
      <c r="R70" s="268" t="s">
        <v>91</v>
      </c>
      <c r="S70" s="268"/>
      <c r="T70" s="268" t="s">
        <v>5</v>
      </c>
      <c r="Y70" s="269"/>
      <c r="Z70" s="268" t="s">
        <v>91</v>
      </c>
      <c r="AA70" s="268"/>
      <c r="AB70" s="268" t="s">
        <v>5</v>
      </c>
      <c r="AG70" s="269"/>
      <c r="AH70" s="268" t="s">
        <v>91</v>
      </c>
      <c r="AI70" s="268"/>
      <c r="AJ70" s="268" t="s">
        <v>5</v>
      </c>
      <c r="AO70" s="269"/>
      <c r="AP70" s="268" t="s">
        <v>91</v>
      </c>
      <c r="AQ70" s="268"/>
      <c r="AR70" s="268" t="s">
        <v>5</v>
      </c>
      <c r="AW70" s="269"/>
      <c r="AX70" s="268" t="s">
        <v>91</v>
      </c>
      <c r="AY70" s="268"/>
      <c r="AZ70" s="268" t="s">
        <v>5</v>
      </c>
    </row>
    <row r="71" spans="1:55">
      <c r="B71" s="270" t="s">
        <v>92</v>
      </c>
      <c r="C71" s="270" t="s">
        <v>93</v>
      </c>
      <c r="I71" s="269"/>
      <c r="J71" s="270" t="s">
        <v>92</v>
      </c>
      <c r="K71" s="270"/>
      <c r="L71" s="270" t="s">
        <v>94</v>
      </c>
      <c r="Q71" s="269"/>
      <c r="R71" s="270" t="s">
        <v>92</v>
      </c>
      <c r="S71" s="270"/>
      <c r="T71" s="270" t="s">
        <v>95</v>
      </c>
      <c r="Y71" s="269"/>
      <c r="Z71" s="270" t="s">
        <v>92</v>
      </c>
      <c r="AA71" s="270"/>
      <c r="AB71" s="270" t="s">
        <v>96</v>
      </c>
      <c r="AG71" s="269"/>
      <c r="AH71" s="270" t="s">
        <v>92</v>
      </c>
      <c r="AI71" s="270"/>
      <c r="AJ71" s="270" t="s">
        <v>97</v>
      </c>
      <c r="AO71" s="269"/>
      <c r="AP71" s="270" t="s">
        <v>92</v>
      </c>
      <c r="AQ71" s="270"/>
      <c r="AR71" s="270" t="s">
        <v>98</v>
      </c>
      <c r="AW71" s="269"/>
      <c r="AX71" s="270" t="s">
        <v>92</v>
      </c>
      <c r="AY71" s="270"/>
      <c r="AZ71" s="270" t="s">
        <v>99</v>
      </c>
    </row>
    <row r="72" spans="1:55">
      <c r="B72" s="271" t="s">
        <v>100</v>
      </c>
      <c r="C72" s="271"/>
      <c r="D72" s="271">
        <v>7</v>
      </c>
      <c r="F72" s="59"/>
      <c r="G72" s="282">
        <f>AVERAGE(G76:G91)</f>
        <v>16.4353522494033</v>
      </c>
      <c r="H72" s="59"/>
      <c r="I72" s="269"/>
      <c r="J72" s="271" t="s">
        <v>100</v>
      </c>
      <c r="K72" s="271"/>
      <c r="L72" s="271">
        <v>8.5</v>
      </c>
      <c r="N72" s="59"/>
      <c r="O72" s="282">
        <f>AVERAGE(O76:O91)</f>
        <v>18.7392247280123</v>
      </c>
      <c r="P72" s="59"/>
      <c r="Q72" s="269"/>
      <c r="R72" s="271" t="s">
        <v>100</v>
      </c>
      <c r="S72" s="271"/>
      <c r="T72" s="271">
        <v>10</v>
      </c>
      <c r="V72" s="59"/>
      <c r="W72" s="283">
        <f>AVERAGE(W76:W91)</f>
        <v>20.8998627604528</v>
      </c>
      <c r="X72" s="59"/>
      <c r="Y72" s="269"/>
      <c r="Z72" s="271" t="s">
        <v>100</v>
      </c>
      <c r="AA72" s="271"/>
      <c r="AB72" s="271">
        <v>11.5</v>
      </c>
      <c r="AD72" s="59"/>
      <c r="AE72" s="283">
        <f>AVERAGE(AE76:AE91)</f>
        <v>23.4343233092136</v>
      </c>
      <c r="AF72" s="59"/>
      <c r="AG72" s="269"/>
      <c r="AH72" s="271" t="s">
        <v>100</v>
      </c>
      <c r="AI72" s="271"/>
      <c r="AJ72" s="271">
        <v>13</v>
      </c>
      <c r="AL72" s="59"/>
      <c r="AM72" s="272">
        <f>AVERAGE(AM76:AM91)</f>
        <v>25.5949613416541</v>
      </c>
      <c r="AN72" s="59"/>
      <c r="AO72" s="269"/>
      <c r="AP72" s="271" t="s">
        <v>100</v>
      </c>
      <c r="AQ72" s="271"/>
      <c r="AR72" s="271">
        <v>14.5</v>
      </c>
      <c r="AT72" s="273"/>
      <c r="AU72" s="272">
        <f>AVERAGE(AU76:AU91)</f>
        <v>27.7555993740947</v>
      </c>
      <c r="AV72" s="273"/>
      <c r="AW72" s="269"/>
      <c r="AX72" s="271" t="s">
        <v>100</v>
      </c>
      <c r="AY72" s="271"/>
      <c r="AZ72" s="271">
        <v>16</v>
      </c>
      <c r="BB72" s="273"/>
      <c r="BC72" s="272">
        <f>AVERAGE(BC76:BC91)</f>
        <v>30.0941795841581</v>
      </c>
    </row>
    <row r="73" spans="1:55">
      <c r="B73" s="1" t="s">
        <v>101</v>
      </c>
      <c r="C73" s="1" t="s">
        <v>8</v>
      </c>
      <c r="D73" s="1" t="s">
        <v>9</v>
      </c>
      <c r="E73" s="1" t="s">
        <v>10</v>
      </c>
      <c r="F73" s="172" t="s">
        <v>103</v>
      </c>
      <c r="G73" s="1" t="s">
        <v>104</v>
      </c>
      <c r="H73" s="269" t="s">
        <v>105</v>
      </c>
      <c r="I73" s="269"/>
      <c r="J73" s="1" t="s">
        <v>101</v>
      </c>
      <c r="K73" s="1" t="s">
        <v>8</v>
      </c>
      <c r="L73" s="1" t="s">
        <v>9</v>
      </c>
      <c r="M73" s="1" t="s">
        <v>10</v>
      </c>
      <c r="N73" s="1" t="s">
        <v>103</v>
      </c>
      <c r="Q73" s="269"/>
      <c r="R73" s="1" t="s">
        <v>101</v>
      </c>
      <c r="S73" s="1" t="s">
        <v>8</v>
      </c>
      <c r="T73" s="1" t="s">
        <v>9</v>
      </c>
      <c r="U73" s="1" t="s">
        <v>10</v>
      </c>
      <c r="V73" s="1" t="s">
        <v>103</v>
      </c>
      <c r="W73" s="1" t="s">
        <v>104</v>
      </c>
      <c r="Y73" s="269"/>
      <c r="Z73" s="1" t="s">
        <v>101</v>
      </c>
      <c r="AA73" s="1" t="s">
        <v>8</v>
      </c>
      <c r="AB73" s="1" t="s">
        <v>9</v>
      </c>
      <c r="AC73" s="1" t="s">
        <v>10</v>
      </c>
      <c r="AD73" s="1" t="s">
        <v>103</v>
      </c>
      <c r="AG73" s="269"/>
      <c r="AH73" s="1" t="s">
        <v>101</v>
      </c>
      <c r="AI73" s="1" t="s">
        <v>8</v>
      </c>
      <c r="AJ73" s="1" t="s">
        <v>9</v>
      </c>
      <c r="AK73" s="1" t="s">
        <v>10</v>
      </c>
      <c r="AL73" s="1" t="s">
        <v>103</v>
      </c>
      <c r="AO73" s="269"/>
      <c r="AP73" s="1" t="s">
        <v>101</v>
      </c>
      <c r="AQ73" s="1" t="s">
        <v>8</v>
      </c>
      <c r="AR73" s="1" t="s">
        <v>9</v>
      </c>
      <c r="AS73" s="1" t="s">
        <v>10</v>
      </c>
      <c r="AT73" s="172" t="s">
        <v>103</v>
      </c>
      <c r="AW73" s="269"/>
      <c r="AX73" s="1" t="s">
        <v>101</v>
      </c>
      <c r="AY73" s="1" t="s">
        <v>8</v>
      </c>
      <c r="AZ73" s="1" t="s">
        <v>9</v>
      </c>
      <c r="BA73" s="1" t="s">
        <v>10</v>
      </c>
      <c r="BB73" s="172" t="s">
        <v>103</v>
      </c>
    </row>
    <row r="74" spans="1:55">
      <c r="B74" s="1">
        <v>0</v>
      </c>
      <c r="C74" s="99">
        <f>'【国内】问卷调研-数据源（P3单独执行） '!C74*2</f>
        <v>0</v>
      </c>
      <c r="D74" s="99">
        <v>0</v>
      </c>
      <c r="E74" s="99" t="e">
        <f>(G74*B74-$D$72*B74-C74*5900-D74*3400-F74*300)/1200</f>
        <v>#DIV/0!</v>
      </c>
      <c r="F74" s="274">
        <f>F51+0.2</f>
        <v>0.2</v>
      </c>
      <c r="G74" s="275" t="e">
        <f>'【国内】问卷调研-数据源（P3单独执行） '!G74</f>
        <v>#DIV/0!</v>
      </c>
      <c r="I74" s="269"/>
      <c r="J74" s="1">
        <v>0</v>
      </c>
      <c r="K74" s="99">
        <f>'【国内】问卷调研-数据源（P3单独执行） '!K74*2</f>
        <v>0</v>
      </c>
      <c r="L74" s="99">
        <v>0</v>
      </c>
      <c r="M74" s="99" t="e">
        <f t="shared" ref="M74:M91" si="41">(O74*J74-$L$72*J74-K74*5900-L74*3400-N74*300)/1200</f>
        <v>#DIV/0!</v>
      </c>
      <c r="N74" s="274">
        <f>F74+0.1</f>
        <v>0.3</v>
      </c>
      <c r="O74" s="275" t="e">
        <f>'【国内】问卷调研-数据源（P3单独执行） '!O74</f>
        <v>#DIV/0!</v>
      </c>
      <c r="Q74" s="269"/>
      <c r="R74" s="1">
        <v>0</v>
      </c>
      <c r="S74" s="99">
        <f>'【国内】问卷调研-数据源（P3单独执行） '!S74*2</f>
        <v>0</v>
      </c>
      <c r="T74" s="99">
        <v>0</v>
      </c>
      <c r="U74" s="99" t="e">
        <f t="shared" ref="U74:U91" si="42">(W74*R74-$T$72*R74-S74*5900-T74*3400-V74*300)/1200</f>
        <v>#DIV/0!</v>
      </c>
      <c r="V74" s="274">
        <f>N74+0.1</f>
        <v>0.4</v>
      </c>
      <c r="W74" s="275" t="e">
        <f>'【国内】问卷调研-数据源（P3单独执行） '!W74</f>
        <v>#DIV/0!</v>
      </c>
      <c r="Y74" s="269"/>
      <c r="Z74" s="1">
        <v>0</v>
      </c>
      <c r="AA74" s="99">
        <f>'【国内】问卷调研-数据源（P3单独执行） '!AA74*2</f>
        <v>0</v>
      </c>
      <c r="AB74" s="99">
        <v>0</v>
      </c>
      <c r="AC74" s="99" t="e">
        <f t="shared" ref="AC74:AC91" si="43">(AE74*Z74-$AB$72*Z74-AA74*5900-AB74*3400-AD74*300)/1200</f>
        <v>#DIV/0!</v>
      </c>
      <c r="AD74" s="274">
        <f>V74+0.1</f>
        <v>0.5</v>
      </c>
      <c r="AE74" s="275" t="e">
        <f>'【国内】问卷调研-数据源（P3单独执行） '!AE74</f>
        <v>#DIV/0!</v>
      </c>
      <c r="AG74" s="269"/>
      <c r="AH74" s="1">
        <v>0</v>
      </c>
      <c r="AI74" s="99">
        <f>'【国内】问卷调研-数据源（P3单独执行） '!AI74*2</f>
        <v>0</v>
      </c>
      <c r="AJ74" s="99">
        <v>0</v>
      </c>
      <c r="AK74" s="99" t="e">
        <f t="shared" ref="AK74:AK91" si="44">(AM74*AH74-$AJ$72*AH74-AI74*5900-AJ74*3400-AL74*300)/1200</f>
        <v>#DIV/0!</v>
      </c>
      <c r="AL74" s="274">
        <f>AD74+0.1</f>
        <v>0.6</v>
      </c>
      <c r="AM74" s="275" t="e">
        <f>'【国内】问卷调研-数据源（P3单独执行） '!AM74</f>
        <v>#DIV/0!</v>
      </c>
      <c r="AO74" s="269"/>
      <c r="AP74" s="1">
        <v>0</v>
      </c>
      <c r="AQ74" s="99">
        <f>'【国内】问卷调研-数据源（P3单独执行） '!AQ74*2</f>
        <v>0</v>
      </c>
      <c r="AR74" s="99">
        <v>0</v>
      </c>
      <c r="AS74" s="99" t="e">
        <f t="shared" ref="AS74:AS91" si="45">(AU74*AP74-$AR$72*AP74-AQ74*5900-AR74*3400-AT74*300)/1200</f>
        <v>#DIV/0!</v>
      </c>
      <c r="AT74" s="274">
        <f>AL74+0.1</f>
        <v>0.7</v>
      </c>
      <c r="AU74" s="275" t="e">
        <f>'【国内】问卷调研-数据源（P3单独执行） '!AU74</f>
        <v>#DIV/0!</v>
      </c>
      <c r="AV74" s="1"/>
      <c r="AW74" s="269"/>
      <c r="AX74" s="1">
        <v>0</v>
      </c>
      <c r="AY74" s="99">
        <f>'【国内】问卷调研-数据源（P3单独执行） '!AY74*2</f>
        <v>0</v>
      </c>
      <c r="AZ74" s="99">
        <v>0</v>
      </c>
      <c r="BA74" s="99" t="e">
        <f>(BC74*AX74-$AZ$72*AX74-AY74*5900-AZ74*3400-BB74*300)/1200</f>
        <v>#DIV/0!</v>
      </c>
      <c r="BB74" s="274">
        <f>AT74+0.1</f>
        <v>0.8</v>
      </c>
      <c r="BC74" s="275" t="e">
        <f>'【国内】问卷调研-数据源（P3单独执行） '!BC74</f>
        <v>#DIV/0!</v>
      </c>
    </row>
    <row r="75" spans="1:55">
      <c r="B75" s="1">
        <v>1</v>
      </c>
      <c r="C75" s="99">
        <f>'【国内】问卷调研-数据源（P3单独执行） '!C75*2</f>
        <v>0</v>
      </c>
      <c r="D75" s="99">
        <v>0</v>
      </c>
      <c r="E75" s="99">
        <f t="shared" ref="E75:E91" si="46">(G75*B75-$D$72*B75-C75*5900-D75*3400-F75*300)/1200</f>
        <v>1.46666666666667</v>
      </c>
      <c r="F75" s="274">
        <f t="shared" ref="F75:F91" si="47">F52+0.2</f>
        <v>1.28</v>
      </c>
      <c r="G75" s="275">
        <f>'【国内】问卷调研-数据源（P3单独执行） '!G75</f>
        <v>2151</v>
      </c>
      <c r="I75" s="276"/>
      <c r="J75" s="1">
        <v>1</v>
      </c>
      <c r="K75" s="99">
        <f>'【国内】问卷调研-数据源（P3单独执行） '!K75*2</f>
        <v>0</v>
      </c>
      <c r="L75" s="99">
        <v>0</v>
      </c>
      <c r="M75" s="99">
        <f t="shared" si="41"/>
        <v>1.70466666666667</v>
      </c>
      <c r="N75" s="274">
        <f t="shared" ref="N75:N91" si="48">F75+0.1</f>
        <v>1.38</v>
      </c>
      <c r="O75" s="275">
        <f>'【国内】问卷调研-数据源（P3单独执行） '!O75</f>
        <v>2468.1</v>
      </c>
      <c r="Q75" s="276"/>
      <c r="R75" s="1">
        <v>1</v>
      </c>
      <c r="S75" s="99">
        <f>'【国内】问卷调研-数据源（P3单独执行） '!S75*2</f>
        <v>0</v>
      </c>
      <c r="T75" s="99">
        <v>0</v>
      </c>
      <c r="U75" s="99">
        <f t="shared" si="42"/>
        <v>1.988</v>
      </c>
      <c r="V75" s="274">
        <f t="shared" ref="V75:V91" si="49">N75+0.1</f>
        <v>1.48</v>
      </c>
      <c r="W75" s="275">
        <f>'【国内】问卷调研-数据源（P3单独执行） '!W75</f>
        <v>2839.6</v>
      </c>
      <c r="Y75" s="276"/>
      <c r="Z75" s="1">
        <v>1</v>
      </c>
      <c r="AA75" s="99">
        <f>'【国内】问卷调研-数据源（P3单独执行） '!AA75*2</f>
        <v>0</v>
      </c>
      <c r="AB75" s="99">
        <v>0</v>
      </c>
      <c r="AC75" s="99">
        <f t="shared" si="43"/>
        <v>2.413</v>
      </c>
      <c r="AD75" s="274">
        <f t="shared" ref="AD75:AD91" si="50">V75+0.1</f>
        <v>1.58</v>
      </c>
      <c r="AE75" s="275">
        <f>'【国内】问卷调研-数据源（P3单独执行） '!AE75</f>
        <v>3381.1</v>
      </c>
      <c r="AG75" s="276"/>
      <c r="AH75" s="1">
        <v>1</v>
      </c>
      <c r="AI75" s="99">
        <f>'【国内】问卷调研-数据源（P3单独执行） '!AI75*2</f>
        <v>0</v>
      </c>
      <c r="AJ75" s="99">
        <v>0</v>
      </c>
      <c r="AK75" s="99">
        <f t="shared" si="44"/>
        <v>2.69633333333333</v>
      </c>
      <c r="AL75" s="274">
        <f t="shared" ref="AL75:AL91" si="51">AD75+0.1</f>
        <v>1.68</v>
      </c>
      <c r="AM75" s="275">
        <f>'【国内】问卷调研-数据源（P3单独执行） '!AM75</f>
        <v>3752.6</v>
      </c>
      <c r="AO75" s="276"/>
      <c r="AP75" s="1">
        <v>1</v>
      </c>
      <c r="AQ75" s="99">
        <f>'【国内】问卷调研-数据源（P3单独执行） '!AQ75*2</f>
        <v>0</v>
      </c>
      <c r="AR75" s="99">
        <v>0</v>
      </c>
      <c r="AS75" s="99">
        <f t="shared" si="45"/>
        <v>2.97966666666667</v>
      </c>
      <c r="AT75" s="274">
        <f t="shared" ref="AT75:AT91" si="52">AL75+0.1</f>
        <v>1.78</v>
      </c>
      <c r="AU75" s="275">
        <f>'【国内】问卷调研-数据源（P3单独执行） '!AU75</f>
        <v>4124.1</v>
      </c>
      <c r="AV75" s="1"/>
      <c r="AW75" s="276"/>
      <c r="AX75" s="1">
        <v>1</v>
      </c>
      <c r="AY75" s="99">
        <f>'【国内】问卷调研-数据源（P3单独执行） '!AY75*2</f>
        <v>0</v>
      </c>
      <c r="AZ75" s="99">
        <v>0</v>
      </c>
      <c r="BA75" s="99">
        <f t="shared" ref="BA75:BA91" si="53">(BC75*AX75-$AZ$72*AX75-AY75*5900-AZ75*3400-BB75*300)/1200</f>
        <v>3.263</v>
      </c>
      <c r="BB75" s="274">
        <f t="shared" ref="BB75:BB91" si="54">AT75+0.1</f>
        <v>1.88</v>
      </c>
      <c r="BC75" s="275">
        <f>'【国内】问卷调研-数据源（P3单独执行） '!BC75</f>
        <v>4495.6</v>
      </c>
    </row>
    <row r="76" spans="1:55">
      <c r="B76" s="1">
        <v>101</v>
      </c>
      <c r="C76" s="99">
        <f>'【国内】问卷调研-数据源（P3单独执行） '!C76*2</f>
        <v>0</v>
      </c>
      <c r="D76" s="99">
        <v>0</v>
      </c>
      <c r="E76" s="99">
        <f t="shared" si="46"/>
        <v>1.28666666666667</v>
      </c>
      <c r="F76" s="274">
        <f t="shared" si="47"/>
        <v>2</v>
      </c>
      <c r="G76" s="275">
        <f>'【国内】问卷调研-数据源（P3单独执行） '!G76</f>
        <v>28.2277227722772</v>
      </c>
      <c r="I76" s="276"/>
      <c r="J76" s="1">
        <v>101</v>
      </c>
      <c r="K76" s="99">
        <f>'【国内】问卷调研-数据源（P3单独执行） '!K76*2</f>
        <v>0</v>
      </c>
      <c r="L76" s="99">
        <v>0</v>
      </c>
      <c r="M76" s="99">
        <f t="shared" si="41"/>
        <v>1.52466666666667</v>
      </c>
      <c r="N76" s="274">
        <f t="shared" si="48"/>
        <v>2.1</v>
      </c>
      <c r="O76" s="275">
        <f>'【国内】问卷调研-数据源（P3单独执行） '!O76</f>
        <v>32.8524752475247</v>
      </c>
      <c r="Q76" s="276"/>
      <c r="R76" s="1">
        <v>101</v>
      </c>
      <c r="S76" s="99">
        <f>'【国内】问卷调研-数据源（P3单独执行） '!S76*2</f>
        <v>0</v>
      </c>
      <c r="T76" s="99">
        <v>0</v>
      </c>
      <c r="U76" s="99">
        <f t="shared" si="42"/>
        <v>1.808</v>
      </c>
      <c r="V76" s="274">
        <f t="shared" si="49"/>
        <v>2.2</v>
      </c>
      <c r="W76" s="275">
        <f>'【国内】问卷调研-数据源（P3单独执行） '!W76</f>
        <v>38.0158415841584</v>
      </c>
      <c r="Y76" s="276"/>
      <c r="Z76" s="1">
        <v>101</v>
      </c>
      <c r="AA76" s="99">
        <f>'【国内】问卷调研-数据源（P3单独执行） '!AA76*2</f>
        <v>0</v>
      </c>
      <c r="AB76" s="99">
        <v>0</v>
      </c>
      <c r="AC76" s="99">
        <f t="shared" si="43"/>
        <v>2.233</v>
      </c>
      <c r="AD76" s="274">
        <f t="shared" si="50"/>
        <v>2.3</v>
      </c>
      <c r="AE76" s="275">
        <f>'【国内】问卷调研-数据源（P3单独执行） '!AE76</f>
        <v>44.8623762376238</v>
      </c>
      <c r="AG76" s="276"/>
      <c r="AH76" s="1">
        <v>101</v>
      </c>
      <c r="AI76" s="99">
        <f>'【国内】问卷调研-数据源（P3单独执行） '!AI76*2</f>
        <v>0</v>
      </c>
      <c r="AJ76" s="99">
        <v>0</v>
      </c>
      <c r="AK76" s="99">
        <f t="shared" si="44"/>
        <v>2.51633333333333</v>
      </c>
      <c r="AL76" s="274">
        <f t="shared" si="51"/>
        <v>2.4</v>
      </c>
      <c r="AM76" s="275">
        <f>'【国内】问卷调研-数据源（P3单独执行） '!AM76</f>
        <v>50.0257425742574</v>
      </c>
      <c r="AO76" s="276"/>
      <c r="AP76" s="1">
        <v>101</v>
      </c>
      <c r="AQ76" s="99">
        <f>'【国内】问卷调研-数据源（P3单独执行） '!AQ76*2</f>
        <v>0</v>
      </c>
      <c r="AR76" s="99">
        <v>0</v>
      </c>
      <c r="AS76" s="99">
        <f t="shared" si="45"/>
        <v>2.79966666666667</v>
      </c>
      <c r="AT76" s="274">
        <f t="shared" si="52"/>
        <v>2.5</v>
      </c>
      <c r="AU76" s="275">
        <f>'【国内】问卷调研-数据源（P3单独执行） '!AU76</f>
        <v>55.1891089108911</v>
      </c>
      <c r="AV76" s="1"/>
      <c r="AW76" s="276"/>
      <c r="AX76" s="1">
        <v>101</v>
      </c>
      <c r="AY76" s="99">
        <f>'【国内】问卷调研-数据源（P3单独执行） '!AY76*2</f>
        <v>0</v>
      </c>
      <c r="AZ76" s="99">
        <v>0</v>
      </c>
      <c r="BA76" s="99">
        <f t="shared" si="53"/>
        <v>3.083</v>
      </c>
      <c r="BB76" s="274">
        <f t="shared" si="54"/>
        <v>2.6</v>
      </c>
      <c r="BC76" s="275">
        <f>'【国内】问卷调研-数据源（P3单独执行） '!BC76</f>
        <v>60.3524752475248</v>
      </c>
    </row>
    <row r="77" spans="1:55">
      <c r="B77" s="1">
        <v>201</v>
      </c>
      <c r="C77" s="99">
        <f>'【国内】问卷调研-数据源（P3单独执行） '!C77*2</f>
        <v>0</v>
      </c>
      <c r="D77" s="99">
        <v>0</v>
      </c>
      <c r="E77" s="99">
        <f t="shared" si="46"/>
        <v>2.21366666666667</v>
      </c>
      <c r="F77" s="274">
        <f t="shared" si="47"/>
        <v>2.5</v>
      </c>
      <c r="G77" s="275">
        <f>'【国内】问卷调研-数据源（P3单独执行） '!G77</f>
        <v>23.947263681592</v>
      </c>
      <c r="I77" s="276"/>
      <c r="J77" s="1">
        <v>201</v>
      </c>
      <c r="K77" s="99">
        <f>'【国内】问卷调研-数据源（P3单独执行） '!K77*2</f>
        <v>0</v>
      </c>
      <c r="L77" s="99">
        <v>0</v>
      </c>
      <c r="M77" s="99">
        <f t="shared" si="41"/>
        <v>2.59446666666667</v>
      </c>
      <c r="N77" s="274">
        <f t="shared" si="48"/>
        <v>2.6</v>
      </c>
      <c r="O77" s="275">
        <f>'【国内】问卷调研-数据源（P3单独执行） '!O77</f>
        <v>27.8699502487562</v>
      </c>
      <c r="Q77" s="276"/>
      <c r="R77" s="1">
        <v>201</v>
      </c>
      <c r="S77" s="99">
        <f>'【国内】问卷调研-数据源（P3单独执行） '!S77*2</f>
        <v>0</v>
      </c>
      <c r="T77" s="99">
        <v>0</v>
      </c>
      <c r="U77" s="99">
        <f t="shared" si="42"/>
        <v>2.8778</v>
      </c>
      <c r="V77" s="274">
        <f t="shared" si="49"/>
        <v>2.7</v>
      </c>
      <c r="W77" s="275">
        <f>'【国内】问卷调研-数据源（P3单独执行） '!W77</f>
        <v>31.2107462686567</v>
      </c>
      <c r="Y77" s="276"/>
      <c r="Z77" s="1">
        <v>201</v>
      </c>
      <c r="AA77" s="99">
        <f>'【国内】问卷调研-数据源（P3单独执行） '!AA77*2</f>
        <v>0</v>
      </c>
      <c r="AB77" s="99">
        <v>0</v>
      </c>
      <c r="AC77" s="99">
        <f t="shared" si="43"/>
        <v>3.3028</v>
      </c>
      <c r="AD77" s="274">
        <f t="shared" si="50"/>
        <v>2.8</v>
      </c>
      <c r="AE77" s="275">
        <f>'【国内】问卷调研-数据源（P3单独执行） '!AE77</f>
        <v>35.3973134328358</v>
      </c>
      <c r="AG77" s="276"/>
      <c r="AH77" s="1">
        <v>201</v>
      </c>
      <c r="AI77" s="99">
        <f>'【国内】问卷调研-数据源（P3单独执行） '!AI77*2</f>
        <v>0</v>
      </c>
      <c r="AJ77" s="99">
        <v>0</v>
      </c>
      <c r="AK77" s="99">
        <f t="shared" si="44"/>
        <v>3.58613333333333</v>
      </c>
      <c r="AL77" s="274">
        <f t="shared" si="51"/>
        <v>2.9</v>
      </c>
      <c r="AM77" s="275">
        <f>'【国内】问卷调研-数据源（P3单独执行） '!AM77</f>
        <v>38.7381094527363</v>
      </c>
      <c r="AO77" s="276"/>
      <c r="AP77" s="1">
        <v>201</v>
      </c>
      <c r="AQ77" s="99">
        <f>'【国内】问卷调研-数据源（P3单独执行） '!AQ77*2</f>
        <v>0</v>
      </c>
      <c r="AR77" s="99">
        <v>0</v>
      </c>
      <c r="AS77" s="99">
        <f t="shared" si="45"/>
        <v>3.86946666666667</v>
      </c>
      <c r="AT77" s="274">
        <f t="shared" si="52"/>
        <v>3</v>
      </c>
      <c r="AU77" s="275">
        <f>'【国内】问卷调研-数据源（P3单独执行） '!AU77</f>
        <v>42.0789054726368</v>
      </c>
      <c r="AV77" s="1"/>
      <c r="AW77" s="276"/>
      <c r="AX77" s="1">
        <v>201</v>
      </c>
      <c r="AY77" s="99">
        <f>'【国内】问卷调研-数据源（P3单独执行） '!AY77*2</f>
        <v>0</v>
      </c>
      <c r="AZ77" s="99">
        <v>0</v>
      </c>
      <c r="BA77" s="99">
        <f t="shared" si="53"/>
        <v>4.1528</v>
      </c>
      <c r="BB77" s="274">
        <f t="shared" si="54"/>
        <v>3.1</v>
      </c>
      <c r="BC77" s="275">
        <f>'【国内】问卷调研-数据源（P3单独执行） '!BC77</f>
        <v>45.4197014925373</v>
      </c>
    </row>
    <row r="78" spans="1:55">
      <c r="B78" s="1">
        <v>301</v>
      </c>
      <c r="C78" s="99">
        <f>'【国内】问卷调研-数据源（混合执行）  (2)'!C78*1.8</f>
        <v>0.18</v>
      </c>
      <c r="D78" s="99">
        <v>0</v>
      </c>
      <c r="E78" s="99">
        <f t="shared" si="46"/>
        <v>1.91333333333333</v>
      </c>
      <c r="F78" s="274">
        <f t="shared" si="47"/>
        <v>2.8</v>
      </c>
      <c r="G78" s="275">
        <f>'【国内】问卷调研-数据源（P3单独执行） '!G78</f>
        <v>20.9468438538206</v>
      </c>
      <c r="I78" s="276"/>
      <c r="J78" s="1">
        <v>301</v>
      </c>
      <c r="K78" s="99">
        <f>'【国内】问卷调研-数据源（混合执行）  (2)'!K78*1.8</f>
        <v>0.18</v>
      </c>
      <c r="L78" s="99">
        <v>0</v>
      </c>
      <c r="M78" s="99">
        <f t="shared" si="41"/>
        <v>2.38933333333333</v>
      </c>
      <c r="N78" s="274">
        <f t="shared" si="48"/>
        <v>2.9</v>
      </c>
      <c r="O78" s="275">
        <f>'【国内】问卷调研-数据源（P3单独执行） '!O78</f>
        <v>24.4441860465116</v>
      </c>
      <c r="Q78" s="276"/>
      <c r="R78" s="1">
        <v>301</v>
      </c>
      <c r="S78" s="99">
        <f>'【国内】问卷调研-数据源（混合执行）  (2)'!S78*1.8</f>
        <v>0.18</v>
      </c>
      <c r="T78" s="99">
        <v>0</v>
      </c>
      <c r="U78" s="99">
        <f t="shared" si="42"/>
        <v>2.67266666666667</v>
      </c>
      <c r="V78" s="274">
        <f t="shared" si="49"/>
        <v>3</v>
      </c>
      <c r="W78" s="275">
        <f>'【国内】问卷调研-数据源（P3单独执行） '!W78</f>
        <v>27.1734219269103</v>
      </c>
      <c r="Y78" s="276"/>
      <c r="Z78" s="1">
        <v>301</v>
      </c>
      <c r="AA78" s="99">
        <f>'【国内】问卷调研-数据源（混合执行）  (2)'!AA78*1.8</f>
        <v>0.18</v>
      </c>
      <c r="AB78" s="99">
        <v>0</v>
      </c>
      <c r="AC78" s="99">
        <f t="shared" si="43"/>
        <v>3.09766666666667</v>
      </c>
      <c r="AD78" s="274">
        <f t="shared" si="50"/>
        <v>3.1</v>
      </c>
      <c r="AE78" s="275">
        <f>'【国内】问卷调研-数据源（P3单独执行） '!AE78</f>
        <v>30.4674418604651</v>
      </c>
      <c r="AG78" s="276"/>
      <c r="AH78" s="1">
        <v>301</v>
      </c>
      <c r="AI78" s="99">
        <f>'【国内】问卷调研-数据源（混合执行）  (2)'!AI78*1.8</f>
        <v>0.18</v>
      </c>
      <c r="AJ78" s="99">
        <v>0</v>
      </c>
      <c r="AK78" s="99">
        <f t="shared" si="44"/>
        <v>3.381</v>
      </c>
      <c r="AL78" s="274">
        <f t="shared" si="51"/>
        <v>3.2</v>
      </c>
      <c r="AM78" s="275">
        <f>'【国内】问卷调研-数据源（P3单独执行） '!AM78</f>
        <v>33.1966777408638</v>
      </c>
      <c r="AO78" s="276"/>
      <c r="AP78" s="1">
        <v>301</v>
      </c>
      <c r="AQ78" s="99">
        <f>'【国内】问卷调研-数据源（混合执行）  (2)'!AQ78*1.8</f>
        <v>0.18</v>
      </c>
      <c r="AR78" s="99">
        <v>0</v>
      </c>
      <c r="AS78" s="99">
        <f t="shared" si="45"/>
        <v>3.66433333333333</v>
      </c>
      <c r="AT78" s="274">
        <f t="shared" si="52"/>
        <v>3.3</v>
      </c>
      <c r="AU78" s="275">
        <f>'【国内】问卷调研-数据源（P3单独执行） '!AU78</f>
        <v>35.9259136212625</v>
      </c>
      <c r="AV78" s="1"/>
      <c r="AW78" s="276"/>
      <c r="AX78" s="1">
        <v>301</v>
      </c>
      <c r="AY78" s="99">
        <f>'【国内】问卷调研-数据源（混合执行）  (2)'!AY78*1.8</f>
        <v>0.18</v>
      </c>
      <c r="AZ78" s="99">
        <v>0</v>
      </c>
      <c r="BA78" s="99">
        <f t="shared" si="53"/>
        <v>3.94766666666667</v>
      </c>
      <c r="BB78" s="274">
        <f t="shared" si="54"/>
        <v>3.4</v>
      </c>
      <c r="BC78" s="275">
        <f>'【国内】问卷调研-数据源（P3单独执行） '!BC78</f>
        <v>38.6551495016611</v>
      </c>
    </row>
    <row r="79" spans="1:55">
      <c r="B79" s="1">
        <v>501</v>
      </c>
      <c r="C79" s="99">
        <f>'【国内】问卷调研-数据源（混合执行）  (2)'!C79*1.8</f>
        <v>0.36</v>
      </c>
      <c r="D79" s="99">
        <v>0</v>
      </c>
      <c r="E79" s="99">
        <f t="shared" si="46"/>
        <v>2.447</v>
      </c>
      <c r="F79" s="274">
        <f t="shared" si="47"/>
        <v>3</v>
      </c>
      <c r="G79" s="275">
        <f>'【国内】问卷调研-数据源（P3单独执行） '!G79</f>
        <v>18.897005988024</v>
      </c>
      <c r="I79" s="276"/>
      <c r="J79" s="1">
        <v>501</v>
      </c>
      <c r="K79" s="99">
        <f>'【国内】问卷调研-数据源（混合执行）  (2)'!K79*1.8</f>
        <v>0.36</v>
      </c>
      <c r="L79" s="99">
        <v>0</v>
      </c>
      <c r="M79" s="99">
        <f t="shared" si="41"/>
        <v>3.0658</v>
      </c>
      <c r="N79" s="274">
        <f t="shared" si="48"/>
        <v>3.1</v>
      </c>
      <c r="O79" s="275">
        <f>'【国内】问卷调研-数据源（P3单独执行） '!O79</f>
        <v>21.9390419161677</v>
      </c>
      <c r="Q79" s="276"/>
      <c r="R79" s="1">
        <v>501</v>
      </c>
      <c r="S79" s="99">
        <f>'【国内】问卷调研-数据源（混合执行）  (2)'!S79*1.8</f>
        <v>0.36</v>
      </c>
      <c r="T79" s="99">
        <v>0</v>
      </c>
      <c r="U79" s="99">
        <f t="shared" si="42"/>
        <v>3.34913333333333</v>
      </c>
      <c r="V79" s="274">
        <f t="shared" si="49"/>
        <v>3.2</v>
      </c>
      <c r="W79" s="275">
        <f>'【国内】问卷调研-数据源（P3单独执行） '!W79</f>
        <v>24.1775648702595</v>
      </c>
      <c r="Y79" s="276"/>
      <c r="Z79" s="1">
        <v>501</v>
      </c>
      <c r="AA79" s="99">
        <f>'【国内】问卷调研-数据源（混合执行）  (2)'!AA79*1.8</f>
        <v>0.378</v>
      </c>
      <c r="AB79" s="99">
        <v>0</v>
      </c>
      <c r="AC79" s="99">
        <f t="shared" si="43"/>
        <v>3.7348</v>
      </c>
      <c r="AD79" s="274">
        <f t="shared" si="50"/>
        <v>3.3</v>
      </c>
      <c r="AE79" s="275">
        <f>'【国内】问卷调研-数据源（P3单独执行） '!AE79</f>
        <v>26.8731736526946</v>
      </c>
      <c r="AG79" s="276"/>
      <c r="AH79" s="1">
        <v>501</v>
      </c>
      <c r="AI79" s="99">
        <f>'【国内】问卷调研-数据源（混合执行）  (2)'!AI79*1.8</f>
        <v>0.378</v>
      </c>
      <c r="AJ79" s="99">
        <v>0</v>
      </c>
      <c r="AK79" s="99">
        <f t="shared" si="44"/>
        <v>4.01813333333333</v>
      </c>
      <c r="AL79" s="274">
        <f t="shared" si="51"/>
        <v>3.4</v>
      </c>
      <c r="AM79" s="275">
        <f>'【国内】问卷调研-数据源（P3单独执行） '!AM79</f>
        <v>29.1116966067864</v>
      </c>
      <c r="AO79" s="276"/>
      <c r="AP79" s="1">
        <v>501</v>
      </c>
      <c r="AQ79" s="99">
        <f>'【国内】问卷调研-数据源（混合执行）  (2)'!AQ79*1.8</f>
        <v>0.378</v>
      </c>
      <c r="AR79" s="99">
        <v>0</v>
      </c>
      <c r="AS79" s="99">
        <f t="shared" si="45"/>
        <v>4.30146666666667</v>
      </c>
      <c r="AT79" s="274">
        <f t="shared" si="52"/>
        <v>3.5</v>
      </c>
      <c r="AU79" s="275">
        <f>'【国内】问卷调研-数据源（P3单独执行） '!AU79</f>
        <v>31.3502195608782</v>
      </c>
      <c r="AV79" s="1"/>
      <c r="AW79" s="276"/>
      <c r="AX79" s="1">
        <v>501</v>
      </c>
      <c r="AY79" s="99">
        <f>'【国内】问卷调研-数据源（混合执行）  (2)'!AY79*1.8</f>
        <v>0.378</v>
      </c>
      <c r="AZ79" s="99">
        <v>0</v>
      </c>
      <c r="BA79" s="99">
        <f t="shared" si="53"/>
        <v>4.5848</v>
      </c>
      <c r="BB79" s="274">
        <f t="shared" si="54"/>
        <v>3.6</v>
      </c>
      <c r="BC79" s="275">
        <f>'【国内】问卷调研-数据源（P3单独执行） '!BC79</f>
        <v>33.5887425149701</v>
      </c>
    </row>
    <row r="80" spans="1:55">
      <c r="B80" s="1">
        <v>701</v>
      </c>
      <c r="C80" s="99">
        <f>'【国内】问卷调研-数据源（混合执行）  (2)'!C80*1.8</f>
        <v>0.54</v>
      </c>
      <c r="D80" s="99">
        <v>0</v>
      </c>
      <c r="E80" s="99">
        <f t="shared" si="46"/>
        <v>2.09666666666667</v>
      </c>
      <c r="F80" s="274">
        <f t="shared" si="47"/>
        <v>3.5</v>
      </c>
      <c r="G80" s="275">
        <f>'【国内】问卷调研-数据源（P3单独执行） '!G80</f>
        <v>16.6319543509272</v>
      </c>
      <c r="I80" s="276"/>
      <c r="J80" s="1">
        <v>701</v>
      </c>
      <c r="K80" s="99">
        <f>'【国内】问卷调研-数据源（混合执行）  (2)'!K80*1.8</f>
        <v>0.54</v>
      </c>
      <c r="L80" s="99">
        <v>0</v>
      </c>
      <c r="M80" s="99">
        <f t="shared" si="41"/>
        <v>2.81066666666667</v>
      </c>
      <c r="N80" s="274">
        <f t="shared" si="48"/>
        <v>3.6</v>
      </c>
      <c r="O80" s="275">
        <f>'【国内】问卷调研-数据源（P3单独执行） '!O80</f>
        <v>19.3970042796006</v>
      </c>
      <c r="Q80" s="276"/>
      <c r="R80" s="1">
        <v>701</v>
      </c>
      <c r="S80" s="99">
        <f>'【国内】问卷调研-数据源（混合执行）  (2)'!S80*1.8</f>
        <v>0.54</v>
      </c>
      <c r="T80" s="99">
        <v>0</v>
      </c>
      <c r="U80" s="99">
        <f t="shared" si="42"/>
        <v>3.094</v>
      </c>
      <c r="V80" s="274">
        <f t="shared" si="49"/>
        <v>3.7</v>
      </c>
      <c r="W80" s="275">
        <f>'【国内】问卷调研-数据源（P3单独执行） '!W80</f>
        <v>21.4248216833096</v>
      </c>
      <c r="Y80" s="276"/>
      <c r="Z80" s="1">
        <v>701</v>
      </c>
      <c r="AA80" s="99">
        <f>'【国内】问卷调研-数据源（混合执行）  (2)'!AA80*1.8</f>
        <v>0.558</v>
      </c>
      <c r="AB80" s="99">
        <v>0</v>
      </c>
      <c r="AC80" s="99">
        <f t="shared" si="43"/>
        <v>3.47966666666667</v>
      </c>
      <c r="AD80" s="274">
        <f t="shared" si="50"/>
        <v>3.8</v>
      </c>
      <c r="AE80" s="275">
        <f>'【国内】问卷调研-数据源（P3单独执行） '!AE80</f>
        <v>23.7793152639087</v>
      </c>
      <c r="AG80" s="276"/>
      <c r="AH80" s="1">
        <v>701</v>
      </c>
      <c r="AI80" s="99">
        <f>'【国内】问卷调研-数据源（混合执行）  (2)'!AI80*1.8</f>
        <v>0.558</v>
      </c>
      <c r="AJ80" s="99">
        <v>0</v>
      </c>
      <c r="AK80" s="99">
        <f t="shared" si="44"/>
        <v>3.763</v>
      </c>
      <c r="AL80" s="274">
        <f t="shared" si="51"/>
        <v>3.9</v>
      </c>
      <c r="AM80" s="275">
        <f>'【国内】问卷调研-数据源（P3单独执行） '!AM80</f>
        <v>25.8071326676177</v>
      </c>
      <c r="AO80" s="276"/>
      <c r="AP80" s="1">
        <v>701</v>
      </c>
      <c r="AQ80" s="99">
        <f>'【国内】问卷调研-数据源（混合执行）  (2)'!AQ80*1.8</f>
        <v>0.558</v>
      </c>
      <c r="AR80" s="99">
        <v>0</v>
      </c>
      <c r="AS80" s="99">
        <f t="shared" si="45"/>
        <v>4.04633333333333</v>
      </c>
      <c r="AT80" s="274">
        <f t="shared" si="52"/>
        <v>4</v>
      </c>
      <c r="AU80" s="275">
        <f>'【国内】问卷调研-数据源（P3单独执行） '!AU80</f>
        <v>27.8349500713267</v>
      </c>
      <c r="AV80" s="1"/>
      <c r="AW80" s="276"/>
      <c r="AX80" s="1">
        <v>701</v>
      </c>
      <c r="AY80" s="99">
        <f>'【国内】问卷调研-数据源（混合执行）  (2)'!AY80*1.8</f>
        <v>0.558</v>
      </c>
      <c r="AZ80" s="99">
        <v>0</v>
      </c>
      <c r="BA80" s="99">
        <f t="shared" si="53"/>
        <v>4.613</v>
      </c>
      <c r="BB80" s="274">
        <f t="shared" si="54"/>
        <v>4.1</v>
      </c>
      <c r="BC80" s="275">
        <f>'【国内】问卷调研-数据源（P3单独执行） '!BC80</f>
        <v>30.3477888730385</v>
      </c>
    </row>
    <row r="81" spans="2:55">
      <c r="B81" s="1">
        <v>901</v>
      </c>
      <c r="C81" s="99">
        <f>'【国内】问卷调研-数据源（混合执行）  (2)'!C81*1.8</f>
        <v>0.54</v>
      </c>
      <c r="D81" s="99">
        <v>0</v>
      </c>
      <c r="E81" s="99">
        <f t="shared" si="46"/>
        <v>2.92366666666667</v>
      </c>
      <c r="F81" s="274">
        <f t="shared" si="47"/>
        <v>4</v>
      </c>
      <c r="G81" s="275">
        <f>'【国内】问卷调研-数据源（P3单独执行） '!G81</f>
        <v>15.761820199778</v>
      </c>
      <c r="I81" s="276"/>
      <c r="J81" s="1">
        <v>901</v>
      </c>
      <c r="K81" s="99">
        <f>'【国内】问卷调研-数据源（混合执行）  (2)'!K81*1.8</f>
        <v>0.54</v>
      </c>
      <c r="L81" s="99">
        <v>0</v>
      </c>
      <c r="M81" s="99">
        <f t="shared" si="41"/>
        <v>3.16166666666667</v>
      </c>
      <c r="N81" s="274">
        <f t="shared" si="48"/>
        <v>4.1</v>
      </c>
      <c r="O81" s="275">
        <f>'【国内】问卷调研-数据源（P3单独执行） '!O81</f>
        <v>17.6120976692564</v>
      </c>
      <c r="Q81" s="276"/>
      <c r="R81" s="1">
        <v>901</v>
      </c>
      <c r="S81" s="99">
        <f>'【国内】问卷调研-数据源（混合执行）  (2)'!S81*1.8</f>
        <v>0.54</v>
      </c>
      <c r="T81" s="99">
        <v>0</v>
      </c>
      <c r="U81" s="99">
        <f t="shared" si="42"/>
        <v>3.445</v>
      </c>
      <c r="V81" s="274">
        <f t="shared" si="49"/>
        <v>4.2</v>
      </c>
      <c r="W81" s="275">
        <f>'【国内】问卷调研-数据源（P3单独执行） '!W81</f>
        <v>19.5227524972253</v>
      </c>
      <c r="Y81" s="276"/>
      <c r="Z81" s="1">
        <v>901</v>
      </c>
      <c r="AA81" s="99">
        <f>'【国内】问卷调研-数据源（混合执行）  (2)'!AA81*1.8</f>
        <v>0.558</v>
      </c>
      <c r="AB81" s="99">
        <v>0</v>
      </c>
      <c r="AC81" s="99">
        <f t="shared" si="43"/>
        <v>3.83066666666667</v>
      </c>
      <c r="AD81" s="274">
        <f t="shared" si="50"/>
        <v>4.3</v>
      </c>
      <c r="AE81" s="275">
        <f>'【国内】问卷调研-数据源（P3单独执行） '!AE81</f>
        <v>21.6875693673696</v>
      </c>
      <c r="AG81" s="276"/>
      <c r="AH81" s="1">
        <v>901</v>
      </c>
      <c r="AI81" s="99">
        <f>'【国内】问卷调研-数据源（混合执行）  (2)'!AI81*1.8</f>
        <v>0.558</v>
      </c>
      <c r="AJ81" s="99">
        <v>0</v>
      </c>
      <c r="AK81" s="99">
        <f t="shared" si="44"/>
        <v>4.114</v>
      </c>
      <c r="AL81" s="274">
        <f t="shared" si="51"/>
        <v>4.4</v>
      </c>
      <c r="AM81" s="275">
        <f>'【国内】问卷调研-数据源（P3单独执行） '!AM81</f>
        <v>23.5982241953385</v>
      </c>
      <c r="AO81" s="276"/>
      <c r="AP81" s="1">
        <v>901</v>
      </c>
      <c r="AQ81" s="99">
        <f>'【国内】问卷调研-数据源（混合执行）  (2)'!AQ81*1.8</f>
        <v>0.558</v>
      </c>
      <c r="AR81" s="99">
        <v>0</v>
      </c>
      <c r="AS81" s="99">
        <f t="shared" si="45"/>
        <v>4.39733333333333</v>
      </c>
      <c r="AT81" s="274">
        <f t="shared" si="52"/>
        <v>4.5</v>
      </c>
      <c r="AU81" s="275">
        <f>'【国内】问卷调研-数据源（P3单独执行） '!AU81</f>
        <v>25.5088790233074</v>
      </c>
      <c r="AV81" s="1"/>
      <c r="AW81" s="276"/>
      <c r="AX81" s="1">
        <v>901</v>
      </c>
      <c r="AY81" s="99">
        <f>'【国内】问卷调研-数据源（混合执行）  (2)'!AY81*1.8</f>
        <v>0.558</v>
      </c>
      <c r="AZ81" s="99">
        <v>0</v>
      </c>
      <c r="BA81" s="99">
        <f t="shared" si="53"/>
        <v>4.964</v>
      </c>
      <c r="BB81" s="274">
        <f t="shared" si="54"/>
        <v>4.6</v>
      </c>
      <c r="BC81" s="275">
        <f>'【国内】问卷调研-数据源（P3单独执行） '!BC81</f>
        <v>27.7968923418424</v>
      </c>
    </row>
    <row r="82" spans="2:55">
      <c r="B82" s="1">
        <v>1001</v>
      </c>
      <c r="C82" s="99">
        <f>'【国内】问卷调研-数据源（混合执行）  (2)'!C82*1.8</f>
        <v>0.72</v>
      </c>
      <c r="D82" s="99">
        <v>0</v>
      </c>
      <c r="E82" s="99">
        <f t="shared" si="46"/>
        <v>3.09</v>
      </c>
      <c r="F82" s="274">
        <f t="shared" si="47"/>
        <v>4.5</v>
      </c>
      <c r="G82" s="275">
        <f>'【国内】问卷调研-数据源（P3单独执行） '!G82</f>
        <v>16.2967032967033</v>
      </c>
      <c r="I82" s="276"/>
      <c r="J82" s="1">
        <v>1001</v>
      </c>
      <c r="K82" s="99">
        <f>'【国内】问卷调研-数据源（混合执行）  (2)'!K82*1.8</f>
        <v>0.72</v>
      </c>
      <c r="L82" s="99">
        <v>0</v>
      </c>
      <c r="M82" s="99">
        <f t="shared" si="41"/>
        <v>3.37333333333333</v>
      </c>
      <c r="N82" s="274">
        <f t="shared" si="48"/>
        <v>4.6</v>
      </c>
      <c r="O82" s="275">
        <f>'【国内】问卷调研-数据源（P3单独执行） '!O82</f>
        <v>18.1663336663337</v>
      </c>
      <c r="Q82" s="276"/>
      <c r="R82" s="1">
        <v>1001</v>
      </c>
      <c r="S82" s="99">
        <f>'【国内】问卷调研-数据源（混合执行）  (2)'!S82*1.8</f>
        <v>0.72</v>
      </c>
      <c r="T82" s="99">
        <v>0</v>
      </c>
      <c r="U82" s="99">
        <f t="shared" si="42"/>
        <v>3.65666666666667</v>
      </c>
      <c r="V82" s="274">
        <f t="shared" si="49"/>
        <v>4.7</v>
      </c>
      <c r="W82" s="275">
        <f>'【国内】问卷调研-数据源（P3单独执行） '!W82</f>
        <v>20.035964035964</v>
      </c>
      <c r="Y82" s="276"/>
      <c r="Z82" s="1">
        <v>1001</v>
      </c>
      <c r="AA82" s="99">
        <f>'【国内】问卷调研-数据源（混合执行）  (2)'!AA82*1.8</f>
        <v>0.756</v>
      </c>
      <c r="AB82" s="99">
        <v>0</v>
      </c>
      <c r="AC82" s="99">
        <f t="shared" si="43"/>
        <v>4.003</v>
      </c>
      <c r="AD82" s="274">
        <f t="shared" si="50"/>
        <v>4.8</v>
      </c>
      <c r="AE82" s="275">
        <f>'【国内】问卷调研-数据源（P3单独执行） '!AE82</f>
        <v>22.1933066933067</v>
      </c>
      <c r="AG82" s="276"/>
      <c r="AH82" s="1">
        <v>1001</v>
      </c>
      <c r="AI82" s="99">
        <f>'【国内】问卷调研-数据源（混合执行）  (2)'!AI82*1.8</f>
        <v>0.756</v>
      </c>
      <c r="AJ82" s="99">
        <v>0</v>
      </c>
      <c r="AK82" s="99">
        <f t="shared" si="44"/>
        <v>4.28633333333333</v>
      </c>
      <c r="AL82" s="274">
        <f t="shared" si="51"/>
        <v>4.9</v>
      </c>
      <c r="AM82" s="275">
        <f>'【国内】问卷调研-数据源（P3单独执行） '!AM82</f>
        <v>24.0629370629371</v>
      </c>
      <c r="AO82" s="276"/>
      <c r="AP82" s="1">
        <v>1001</v>
      </c>
      <c r="AQ82" s="99">
        <f>'【国内】问卷调研-数据源（混合执行）  (2)'!AQ82*1.8</f>
        <v>0.756</v>
      </c>
      <c r="AR82" s="99">
        <v>0</v>
      </c>
      <c r="AS82" s="99">
        <f t="shared" si="45"/>
        <v>4.56966666666667</v>
      </c>
      <c r="AT82" s="274">
        <f t="shared" si="52"/>
        <v>5</v>
      </c>
      <c r="AU82" s="275">
        <f>'【国内】问卷调研-数据源（P3单独执行） '!AU82</f>
        <v>25.9325674325674</v>
      </c>
      <c r="AV82" s="1"/>
      <c r="AW82" s="276"/>
      <c r="AX82" s="1">
        <v>1001</v>
      </c>
      <c r="AY82" s="99">
        <f>'【国内】问卷调研-数据源（混合执行）  (2)'!AY82*1.8</f>
        <v>0.756</v>
      </c>
      <c r="AZ82" s="99">
        <v>0</v>
      </c>
      <c r="BA82" s="99">
        <f t="shared" si="53"/>
        <v>5.13633333333333</v>
      </c>
      <c r="BB82" s="274">
        <f t="shared" si="54"/>
        <v>5.1</v>
      </c>
      <c r="BC82" s="275">
        <f>'【国内】问卷调研-数据源（P3单独执行） '!BC82</f>
        <v>28.1418581418581</v>
      </c>
    </row>
    <row r="83" spans="2:55">
      <c r="B83" s="1">
        <v>1201</v>
      </c>
      <c r="C83" s="99">
        <f>'【国内】问卷调研-数据源（混合执行）  (2)'!C83*1.8</f>
        <v>0.72</v>
      </c>
      <c r="D83" s="99">
        <v>0</v>
      </c>
      <c r="E83" s="99">
        <f t="shared" si="46"/>
        <v>3.33233333333333</v>
      </c>
      <c r="F83" s="274">
        <f t="shared" si="47"/>
        <v>5</v>
      </c>
      <c r="G83" s="275">
        <f>'【国内】问卷调研-数据源（P3单独执行） '!G83</f>
        <v>15.115570358035</v>
      </c>
      <c r="I83" s="276"/>
      <c r="J83" s="1">
        <v>1201</v>
      </c>
      <c r="K83" s="99">
        <f>'【国内】问卷调研-数据源（混合执行）  (2)'!K83*1.8</f>
        <v>0.72</v>
      </c>
      <c r="L83" s="99">
        <v>0</v>
      </c>
      <c r="M83" s="99">
        <f t="shared" si="41"/>
        <v>3.61566666666667</v>
      </c>
      <c r="N83" s="274">
        <f t="shared" si="48"/>
        <v>5.1</v>
      </c>
      <c r="O83" s="275">
        <f>'【国内】问卷调研-数据源（P3单独执行） '!O83</f>
        <v>16.9236469608659</v>
      </c>
      <c r="Q83" s="276"/>
      <c r="R83" s="1">
        <v>1201</v>
      </c>
      <c r="S83" s="99">
        <f>'【国内】问卷调研-数据源（混合执行）  (2)'!S83*1.8</f>
        <v>0.72</v>
      </c>
      <c r="T83" s="99">
        <v>0</v>
      </c>
      <c r="U83" s="99">
        <f t="shared" si="42"/>
        <v>3.899</v>
      </c>
      <c r="V83" s="274">
        <f t="shared" si="49"/>
        <v>5.2</v>
      </c>
      <c r="W83" s="275">
        <f>'【国内】问卷调研-数据源（P3单独执行） '!W83</f>
        <v>18.7317235636969</v>
      </c>
      <c r="Y83" s="276"/>
      <c r="Z83" s="1">
        <v>1201</v>
      </c>
      <c r="AA83" s="99">
        <f>'【国内】问卷调研-数据源（混合执行）  (2)'!AA83*1.8</f>
        <v>0.756</v>
      </c>
      <c r="AB83" s="99">
        <v>0</v>
      </c>
      <c r="AC83" s="99">
        <f t="shared" si="43"/>
        <v>4.24533333333333</v>
      </c>
      <c r="AD83" s="274">
        <f t="shared" si="50"/>
        <v>5.3</v>
      </c>
      <c r="AE83" s="275">
        <f>'【国内】问卷调研-数据源（P3单独执行） '!AE83</f>
        <v>20.7796003330558</v>
      </c>
      <c r="AG83" s="276"/>
      <c r="AH83" s="1">
        <v>1201</v>
      </c>
      <c r="AI83" s="99">
        <f>'【国内】问卷调研-数据源（混合执行）  (2)'!AI83*1.8</f>
        <v>0.756</v>
      </c>
      <c r="AJ83" s="99">
        <v>0</v>
      </c>
      <c r="AK83" s="99">
        <f t="shared" si="44"/>
        <v>4.52866666666667</v>
      </c>
      <c r="AL83" s="274">
        <f t="shared" si="51"/>
        <v>5.4</v>
      </c>
      <c r="AM83" s="275">
        <f>'【国内】问卷调研-数据源（P3单独执行） '!AM83</f>
        <v>22.5876769358868</v>
      </c>
      <c r="AO83" s="276"/>
      <c r="AP83" s="1">
        <v>1201</v>
      </c>
      <c r="AQ83" s="99">
        <f>'【国内】问卷调研-数据源（混合执行）  (2)'!AQ83*1.8</f>
        <v>0.756</v>
      </c>
      <c r="AR83" s="99">
        <v>0</v>
      </c>
      <c r="AS83" s="99">
        <f t="shared" si="45"/>
        <v>4.812</v>
      </c>
      <c r="AT83" s="274">
        <f t="shared" si="52"/>
        <v>5.5</v>
      </c>
      <c r="AU83" s="275">
        <f>'【国内】问卷调研-数据源（P3单独执行） '!AU83</f>
        <v>24.3957535387177</v>
      </c>
      <c r="AV83" s="1"/>
      <c r="AW83" s="276"/>
      <c r="AX83" s="1">
        <v>1201</v>
      </c>
      <c r="AY83" s="99">
        <f>'【国内】问卷调研-数据源（混合执行）  (2)'!AY83*1.8</f>
        <v>0.756</v>
      </c>
      <c r="AZ83" s="99">
        <v>0</v>
      </c>
      <c r="BA83" s="99">
        <f t="shared" si="53"/>
        <v>5.37866666666667</v>
      </c>
      <c r="BB83" s="274">
        <f t="shared" si="54"/>
        <v>5.6</v>
      </c>
      <c r="BC83" s="275">
        <f>'【国内】问卷调研-数据源（P3单独执行） '!BC83</f>
        <v>26.4869275603664</v>
      </c>
    </row>
    <row r="84" spans="2:55">
      <c r="B84" s="1">
        <v>1401</v>
      </c>
      <c r="C84" s="99">
        <f>'【国内】问卷调研-数据源（混合执行）  (2)'!C84*1.8</f>
        <v>0.72</v>
      </c>
      <c r="D84" s="99">
        <v>0</v>
      </c>
      <c r="E84" s="99">
        <f t="shared" si="46"/>
        <v>3.54966666666666</v>
      </c>
      <c r="F84" s="274">
        <f t="shared" si="47"/>
        <v>5.5</v>
      </c>
      <c r="G84" s="275">
        <f>'【国内】问卷调研-数据源（P3单独执行） '!G84</f>
        <v>14.250249821556</v>
      </c>
      <c r="I84" s="276"/>
      <c r="J84" s="1">
        <v>1401</v>
      </c>
      <c r="K84" s="99">
        <f>'【国内】问卷调研-数据源（混合执行）  (2)'!K84*1.8</f>
        <v>0.72</v>
      </c>
      <c r="L84" s="99">
        <v>0</v>
      </c>
      <c r="M84" s="99">
        <f t="shared" si="41"/>
        <v>3.83299999999999</v>
      </c>
      <c r="N84" s="274">
        <f t="shared" si="48"/>
        <v>5.6</v>
      </c>
      <c r="O84" s="275">
        <f>'【国内】问卷调研-数据源（P3单独执行） '!O84</f>
        <v>16.0143468950749</v>
      </c>
      <c r="Q84" s="276"/>
      <c r="R84" s="1">
        <v>1401</v>
      </c>
      <c r="S84" s="99">
        <f>'【国内】问卷调研-数据源（混合执行）  (2)'!S84*1.8</f>
        <v>0.72</v>
      </c>
      <c r="T84" s="99">
        <v>0</v>
      </c>
      <c r="U84" s="99">
        <f t="shared" si="42"/>
        <v>4.11633333333333</v>
      </c>
      <c r="V84" s="274">
        <f t="shared" si="49"/>
        <v>5.7</v>
      </c>
      <c r="W84" s="275">
        <f>'【国内】问卷调研-数据源（P3单独执行） '!W84</f>
        <v>17.7784439685939</v>
      </c>
      <c r="Y84" s="276"/>
      <c r="Z84" s="1">
        <v>1401</v>
      </c>
      <c r="AA84" s="99">
        <f>'【国内】问卷调研-数据源（混合执行）  (2)'!AA84*1.8</f>
        <v>0.756</v>
      </c>
      <c r="AB84" s="99">
        <v>0</v>
      </c>
      <c r="AC84" s="99">
        <f t="shared" si="43"/>
        <v>4.46266666666666</v>
      </c>
      <c r="AD84" s="274">
        <f t="shared" si="50"/>
        <v>5.8</v>
      </c>
      <c r="AE84" s="275">
        <f>'【国内】问卷调研-数据源（P3单独执行） '!AE84</f>
        <v>19.7481084939329</v>
      </c>
      <c r="AG84" s="276"/>
      <c r="AH84" s="1">
        <v>1401</v>
      </c>
      <c r="AI84" s="99">
        <f>'【国内】问卷调研-数据源（混合执行）  (2)'!AI84*1.8</f>
        <v>0.756</v>
      </c>
      <c r="AJ84" s="99">
        <v>0</v>
      </c>
      <c r="AK84" s="99">
        <f t="shared" si="44"/>
        <v>4.746</v>
      </c>
      <c r="AL84" s="274">
        <f t="shared" si="51"/>
        <v>5.9</v>
      </c>
      <c r="AM84" s="275">
        <f>'【国内】问卷调研-数据源（P3单独执行） '!AM84</f>
        <v>21.5122055674518</v>
      </c>
      <c r="AO84" s="276"/>
      <c r="AP84" s="1">
        <v>1401</v>
      </c>
      <c r="AQ84" s="99">
        <f>'【国内】问卷调研-数据源（混合执行）  (2)'!AQ84*1.8</f>
        <v>0.756</v>
      </c>
      <c r="AR84" s="99">
        <v>0</v>
      </c>
      <c r="AS84" s="99">
        <f t="shared" si="45"/>
        <v>5.02933333333333</v>
      </c>
      <c r="AT84" s="274">
        <f t="shared" si="52"/>
        <v>6</v>
      </c>
      <c r="AU84" s="275">
        <f>'【国内】问卷调研-数据源（P3单独执行） '!AU84</f>
        <v>23.2763026409707</v>
      </c>
      <c r="AV84" s="1"/>
      <c r="AW84" s="276"/>
      <c r="AX84" s="1">
        <v>1401</v>
      </c>
      <c r="AY84" s="99">
        <f>'【国内】问卷调研-数据源（混合执行）  (2)'!AY84*1.8</f>
        <v>0.756</v>
      </c>
      <c r="AZ84" s="99">
        <v>0</v>
      </c>
      <c r="BA84" s="99">
        <f t="shared" si="53"/>
        <v>5.596</v>
      </c>
      <c r="BB84" s="274">
        <f t="shared" si="54"/>
        <v>6.1</v>
      </c>
      <c r="BC84" s="275">
        <f>'【国内】问卷调研-数据源（P3单独执行） '!BC84</f>
        <v>25.2830835117773</v>
      </c>
    </row>
    <row r="85" spans="2:55">
      <c r="B85" s="1">
        <v>1601</v>
      </c>
      <c r="C85" s="99">
        <f>'【国内】问卷调研-数据源（混合执行）  (2)'!C85*1.8</f>
        <v>0.72</v>
      </c>
      <c r="D85" s="99">
        <v>0</v>
      </c>
      <c r="E85" s="99">
        <f t="shared" si="46"/>
        <v>4.10933333333333</v>
      </c>
      <c r="F85" s="274">
        <f t="shared" si="47"/>
        <v>5.8</v>
      </c>
      <c r="G85" s="275">
        <f>'【国内】问卷调研-数据源（P3单独执行） '!G85</f>
        <v>13.8202373516552</v>
      </c>
      <c r="I85" s="276"/>
      <c r="J85" s="1">
        <v>1601</v>
      </c>
      <c r="K85" s="99">
        <f>'【国内】问卷调研-数据源（混合执行）  (2)'!K85*1.8</f>
        <v>0.72</v>
      </c>
      <c r="L85" s="99">
        <v>0</v>
      </c>
      <c r="M85" s="99">
        <f t="shared" si="41"/>
        <v>4.39266666666667</v>
      </c>
      <c r="N85" s="274">
        <f t="shared" si="48"/>
        <v>5.9</v>
      </c>
      <c r="O85" s="275">
        <f>'【国内】问卷调研-数据源（P3单独执行） '!O85</f>
        <v>15.5513429106808</v>
      </c>
      <c r="Q85" s="276"/>
      <c r="R85" s="1">
        <v>1601</v>
      </c>
      <c r="S85" s="99">
        <f>'【国内】问卷调研-数据源（混合执行）  (2)'!S85*1.8</f>
        <v>0.72</v>
      </c>
      <c r="T85" s="99">
        <v>0</v>
      </c>
      <c r="U85" s="99">
        <f t="shared" si="42"/>
        <v>4.676</v>
      </c>
      <c r="V85" s="274">
        <f t="shared" si="49"/>
        <v>6</v>
      </c>
      <c r="W85" s="275">
        <f>'【国内】问卷调研-数据源（P3单独执行） '!W85</f>
        <v>17.2824484697064</v>
      </c>
      <c r="Y85" s="276"/>
      <c r="Z85" s="1">
        <v>1601</v>
      </c>
      <c r="AA85" s="99">
        <f>'【国内】问卷调研-数据源（混合执行）  (2)'!AA85*1.8</f>
        <v>0.756</v>
      </c>
      <c r="AB85" s="99">
        <v>0</v>
      </c>
      <c r="AC85" s="99">
        <f t="shared" si="43"/>
        <v>5.02233333333333</v>
      </c>
      <c r="AD85" s="274">
        <f t="shared" si="50"/>
        <v>6.1</v>
      </c>
      <c r="AE85" s="275">
        <f>'【国内】问卷调研-数据源（P3单独执行） '!AE85</f>
        <v>19.1934415990006</v>
      </c>
      <c r="AG85" s="276"/>
      <c r="AH85" s="1">
        <v>1601</v>
      </c>
      <c r="AI85" s="99">
        <f>'【国内】问卷调研-数据源（混合执行）  (2)'!AI85*1.8</f>
        <v>0.756</v>
      </c>
      <c r="AJ85" s="99">
        <v>0</v>
      </c>
      <c r="AK85" s="99">
        <f t="shared" si="44"/>
        <v>5.30566666666666</v>
      </c>
      <c r="AL85" s="274">
        <f t="shared" si="51"/>
        <v>6.2</v>
      </c>
      <c r="AM85" s="275">
        <f>'【国内】问卷调研-数据源（P3单独执行） '!AM85</f>
        <v>20.9245471580262</v>
      </c>
      <c r="AO85" s="276"/>
      <c r="AP85" s="1">
        <v>1601</v>
      </c>
      <c r="AQ85" s="99">
        <f>'【国内】问卷调研-数据源（混合执行）  (2)'!AQ85*1.8</f>
        <v>0.756</v>
      </c>
      <c r="AR85" s="99">
        <v>0</v>
      </c>
      <c r="AS85" s="99">
        <f t="shared" si="45"/>
        <v>5.589</v>
      </c>
      <c r="AT85" s="274">
        <f t="shared" si="52"/>
        <v>6.3</v>
      </c>
      <c r="AU85" s="275">
        <f>'【国内】问卷调研-数据源（P3单独执行） '!AU85</f>
        <v>22.6556527170518</v>
      </c>
      <c r="AV85" s="1"/>
      <c r="AW85" s="276"/>
      <c r="AX85" s="1">
        <v>1601</v>
      </c>
      <c r="AY85" s="99">
        <f>'【国内】问卷调研-数据源（混合执行）  (2)'!AY85*1.8</f>
        <v>0.756</v>
      </c>
      <c r="AZ85" s="99">
        <v>0</v>
      </c>
      <c r="BA85" s="99">
        <f t="shared" si="53"/>
        <v>6.15566666666667</v>
      </c>
      <c r="BB85" s="274">
        <f t="shared" si="54"/>
        <v>6.4</v>
      </c>
      <c r="BC85" s="275">
        <f>'【国内】问卷调研-数据源（P3单独执行） '!BC85</f>
        <v>24.5991255465334</v>
      </c>
    </row>
    <row r="86" spans="2:55">
      <c r="B86" s="1">
        <v>1801</v>
      </c>
      <c r="C86" s="99">
        <f>'【国内】问卷调研-数据源（混合执行）  (2)'!C86*1.8</f>
        <v>0.72</v>
      </c>
      <c r="D86" s="99">
        <v>0</v>
      </c>
      <c r="E86" s="99">
        <f t="shared" si="46"/>
        <v>4.744</v>
      </c>
      <c r="F86" s="274">
        <f t="shared" si="47"/>
        <v>5.8</v>
      </c>
      <c r="G86" s="275">
        <f>'【国内】问卷调研-数据源（P3单独执行） '!G86</f>
        <v>13.4857301499167</v>
      </c>
      <c r="I86" s="276"/>
      <c r="J86" s="1">
        <v>1801</v>
      </c>
      <c r="K86" s="99">
        <f>'【国内】问卷调研-数据源（混合执行）  (2)'!K86*1.8</f>
        <v>0.72</v>
      </c>
      <c r="L86" s="99">
        <v>0</v>
      </c>
      <c r="M86" s="99">
        <f t="shared" si="41"/>
        <v>5.02733333333333</v>
      </c>
      <c r="N86" s="274">
        <f t="shared" si="48"/>
        <v>5.9</v>
      </c>
      <c r="O86" s="275">
        <f>'【国内】问卷调研-数据源（P3单独执行） '!O86</f>
        <v>15.1911715713492</v>
      </c>
      <c r="Q86" s="276"/>
      <c r="R86" s="1">
        <v>1801</v>
      </c>
      <c r="S86" s="99">
        <f>'【国内】问卷调研-数据源（混合执行）  (2)'!S86*1.8</f>
        <v>0.72</v>
      </c>
      <c r="T86" s="99">
        <v>0</v>
      </c>
      <c r="U86" s="99">
        <f t="shared" si="42"/>
        <v>5.31066666666667</v>
      </c>
      <c r="V86" s="274">
        <f t="shared" si="49"/>
        <v>6</v>
      </c>
      <c r="W86" s="275">
        <f>'【国内】问卷调研-数据源（P3单独执行） '!W86</f>
        <v>16.8966129927818</v>
      </c>
      <c r="Y86" s="276"/>
      <c r="Z86" s="1">
        <v>1801</v>
      </c>
      <c r="AA86" s="99">
        <f>'【国内】问卷调研-数据源（混合执行）  (2)'!AA86*1.8</f>
        <v>0.756</v>
      </c>
      <c r="AB86" s="99">
        <v>0</v>
      </c>
      <c r="AC86" s="99">
        <f t="shared" si="43"/>
        <v>5.657</v>
      </c>
      <c r="AD86" s="274">
        <f t="shared" si="50"/>
        <v>6.1</v>
      </c>
      <c r="AE86" s="275">
        <f>'【国内】问卷调研-数据源（P3单独执行） '!AE86</f>
        <v>18.7619655746807</v>
      </c>
      <c r="AG86" s="276"/>
      <c r="AH86" s="1">
        <v>1801</v>
      </c>
      <c r="AI86" s="99">
        <f>'【国内】问卷调研-数据源（混合执行）  (2)'!AI86*1.8</f>
        <v>0.756</v>
      </c>
      <c r="AJ86" s="99">
        <v>0</v>
      </c>
      <c r="AK86" s="99">
        <f t="shared" si="44"/>
        <v>5.94033333333333</v>
      </c>
      <c r="AL86" s="274">
        <f t="shared" si="51"/>
        <v>6.2</v>
      </c>
      <c r="AM86" s="275">
        <f>'【国内】问卷调研-数据源（P3单独执行） '!AM86</f>
        <v>20.4674069961133</v>
      </c>
      <c r="AO86" s="276"/>
      <c r="AP86" s="1">
        <v>1801</v>
      </c>
      <c r="AQ86" s="99">
        <f>'【国内】问卷调研-数据源（混合执行）  (2)'!AQ86*1.8</f>
        <v>0.756</v>
      </c>
      <c r="AR86" s="99">
        <v>0</v>
      </c>
      <c r="AS86" s="99">
        <f t="shared" si="45"/>
        <v>6.22366666666667</v>
      </c>
      <c r="AT86" s="274">
        <f t="shared" si="52"/>
        <v>6.3</v>
      </c>
      <c r="AU86" s="275">
        <f>'【国内】问卷调研-数据源（P3单独执行） '!AU86</f>
        <v>22.1728484175458</v>
      </c>
      <c r="AV86" s="1"/>
      <c r="AW86" s="276"/>
      <c r="AX86" s="1">
        <v>1801</v>
      </c>
      <c r="AY86" s="99">
        <f>'【国内】问卷调研-数据源（混合执行）  (2)'!AY86*1.8</f>
        <v>0.756</v>
      </c>
      <c r="AZ86" s="99">
        <v>0</v>
      </c>
      <c r="BA86" s="99">
        <f t="shared" si="53"/>
        <v>6.79033333333333</v>
      </c>
      <c r="BB86" s="274">
        <f t="shared" si="54"/>
        <v>6.4</v>
      </c>
      <c r="BC86" s="275">
        <f>'【国内】问卷调研-数据源（P3单独执行） '!BC86</f>
        <v>24.0670738478623</v>
      </c>
    </row>
    <row r="87" spans="2:55">
      <c r="B87" s="1">
        <v>2001</v>
      </c>
      <c r="C87" s="99">
        <f>'【国内】问卷调研-数据源（混合执行）  (2)'!C87*1.8</f>
        <v>0.9</v>
      </c>
      <c r="D87" s="99">
        <v>0</v>
      </c>
      <c r="E87" s="99">
        <f t="shared" si="46"/>
        <v>4.98533333333333</v>
      </c>
      <c r="F87" s="274">
        <f t="shared" si="47"/>
        <v>6</v>
      </c>
      <c r="G87" s="275">
        <f>'【国内】问卷调研-数据源（P3单独执行） '!G87</f>
        <v>13.5429285357321</v>
      </c>
      <c r="I87" s="276"/>
      <c r="J87" s="1">
        <v>2001</v>
      </c>
      <c r="K87" s="99">
        <f>'【国内】问卷调研-数据源（混合执行）  (2)'!K87*1.8</f>
        <v>0.9</v>
      </c>
      <c r="L87" s="99">
        <v>0</v>
      </c>
      <c r="M87" s="99">
        <f t="shared" si="41"/>
        <v>5.26866666666667</v>
      </c>
      <c r="N87" s="274">
        <f t="shared" si="48"/>
        <v>6.1</v>
      </c>
      <c r="O87" s="275">
        <f>'【国内】问卷调研-数据源（P3单独执行） '!O87</f>
        <v>15.227836081959</v>
      </c>
      <c r="Q87" s="276"/>
      <c r="R87" s="1">
        <v>2001</v>
      </c>
      <c r="S87" s="99">
        <f>'【国内】问卷调研-数据源（混合执行）  (2)'!S87*1.8</f>
        <v>0.9</v>
      </c>
      <c r="T87" s="99">
        <v>0</v>
      </c>
      <c r="U87" s="99">
        <f t="shared" si="42"/>
        <v>5.552</v>
      </c>
      <c r="V87" s="274">
        <f t="shared" si="49"/>
        <v>6.2</v>
      </c>
      <c r="W87" s="275">
        <f>'【国内】问卷调研-数据源（P3单独执行） '!W87</f>
        <v>16.9127436281859</v>
      </c>
      <c r="Y87" s="276"/>
      <c r="Z87" s="1">
        <v>2001</v>
      </c>
      <c r="AA87" s="99">
        <f>'【国内】问卷调研-数据源（混合执行）  (2)'!AA87*1.8</f>
        <v>0.954</v>
      </c>
      <c r="AB87" s="99">
        <v>0</v>
      </c>
      <c r="AC87" s="99">
        <f t="shared" si="43"/>
        <v>5.859</v>
      </c>
      <c r="AD87" s="274">
        <f t="shared" si="50"/>
        <v>6.3</v>
      </c>
      <c r="AE87" s="275">
        <f>'【国内】问卷调研-数据源（P3单独执行） '!AE87</f>
        <v>18.7710644677661</v>
      </c>
      <c r="AG87" s="276"/>
      <c r="AH87" s="1">
        <v>2001</v>
      </c>
      <c r="AI87" s="99">
        <f>'【国内】问卷调研-数据源（混合执行）  (2)'!AI87*1.8</f>
        <v>0.954</v>
      </c>
      <c r="AJ87" s="99">
        <v>0</v>
      </c>
      <c r="AK87" s="99">
        <f t="shared" si="44"/>
        <v>6.14233333333333</v>
      </c>
      <c r="AL87" s="274">
        <f t="shared" si="51"/>
        <v>6.4</v>
      </c>
      <c r="AM87" s="275">
        <f>'【国内】问卷调研-数据源（P3单独执行） '!AM87</f>
        <v>20.455972013993</v>
      </c>
      <c r="AO87" s="276"/>
      <c r="AP87" s="1">
        <v>2001</v>
      </c>
      <c r="AQ87" s="99">
        <f>'【国内】问卷调研-数据源（混合执行）  (2)'!AQ87*1.8</f>
        <v>0.954</v>
      </c>
      <c r="AR87" s="99">
        <v>0</v>
      </c>
      <c r="AS87" s="99">
        <f t="shared" si="45"/>
        <v>6.42566666666667</v>
      </c>
      <c r="AT87" s="274">
        <f t="shared" si="52"/>
        <v>6.5</v>
      </c>
      <c r="AU87" s="275">
        <f>'【国内】问卷调研-数据源（P3单独执行） '!AU87</f>
        <v>22.1408795602199</v>
      </c>
      <c r="AV87" s="1"/>
      <c r="AW87" s="276"/>
      <c r="AX87" s="1">
        <v>2001</v>
      </c>
      <c r="AY87" s="99">
        <f>'【国内】问卷调研-数据源（混合执行）  (2)'!AY87*1.8</f>
        <v>0.954</v>
      </c>
      <c r="AZ87" s="99">
        <v>0</v>
      </c>
      <c r="BA87" s="99">
        <f t="shared" si="53"/>
        <v>6.99233333333333</v>
      </c>
      <c r="BB87" s="274">
        <f t="shared" si="54"/>
        <v>6.6</v>
      </c>
      <c r="BC87" s="275">
        <f>'【国内】问卷调研-数据源（P3单独执行） '!BC87</f>
        <v>23.9957021489255</v>
      </c>
    </row>
    <row r="88" spans="2:55">
      <c r="B88" s="1">
        <v>2201</v>
      </c>
      <c r="C88" s="99">
        <f>'【国内】问卷调研-数据源（混合执行）  (2)'!C88*1.8</f>
        <v>0.9</v>
      </c>
      <c r="D88" s="99">
        <v>0</v>
      </c>
      <c r="E88" s="99">
        <f t="shared" si="46"/>
        <v>5.57</v>
      </c>
      <c r="F88" s="274">
        <f t="shared" si="47"/>
        <v>6.2</v>
      </c>
      <c r="G88" s="275">
        <f>'【国内】问卷调研-数据源（P3单独执行） '!G88</f>
        <v>13.2944116310768</v>
      </c>
      <c r="I88" s="276"/>
      <c r="J88" s="1">
        <v>2201</v>
      </c>
      <c r="K88" s="99">
        <f>'【国内】问卷调研-数据源（混合执行）  (2)'!K88*1.8</f>
        <v>0.9</v>
      </c>
      <c r="L88" s="99">
        <v>0</v>
      </c>
      <c r="M88" s="99">
        <f t="shared" si="41"/>
        <v>5.85333333333333</v>
      </c>
      <c r="N88" s="274">
        <f t="shared" si="48"/>
        <v>6.3</v>
      </c>
      <c r="O88" s="275">
        <f>'【国内】问卷调研-数据源（P3单独执行） '!O88</f>
        <v>14.9625170377101</v>
      </c>
      <c r="Q88" s="276"/>
      <c r="R88" s="1">
        <v>2201</v>
      </c>
      <c r="S88" s="99">
        <f>'【国内】问卷调研-数据源（混合执行）  (2)'!S88*1.8</f>
        <v>0.9</v>
      </c>
      <c r="T88" s="99">
        <v>0</v>
      </c>
      <c r="U88" s="99">
        <f t="shared" si="42"/>
        <v>6.13666666666667</v>
      </c>
      <c r="V88" s="274">
        <f t="shared" si="49"/>
        <v>6.4</v>
      </c>
      <c r="W88" s="275">
        <f>'【国内】问卷调研-数据源（P3单独执行） '!W88</f>
        <v>16.6306224443435</v>
      </c>
      <c r="Y88" s="276"/>
      <c r="Z88" s="1">
        <v>2201</v>
      </c>
      <c r="AA88" s="99">
        <f>'【国内】问卷调研-数据源（混合执行）  (2)'!AA88*1.8</f>
        <v>0.954</v>
      </c>
      <c r="AB88" s="99">
        <v>0</v>
      </c>
      <c r="AC88" s="99">
        <f t="shared" si="43"/>
        <v>6.44366666666667</v>
      </c>
      <c r="AD88" s="274">
        <f t="shared" si="50"/>
        <v>6.5</v>
      </c>
      <c r="AE88" s="275">
        <f>'【国内】问卷调研-数据源（P3单独执行） '!AE88</f>
        <v>18.4563834620627</v>
      </c>
      <c r="AG88" s="276"/>
      <c r="AH88" s="1">
        <v>2201</v>
      </c>
      <c r="AI88" s="99">
        <f>'【国内】问卷调研-数据源（混合执行）  (2)'!AI88*1.8</f>
        <v>0.954</v>
      </c>
      <c r="AJ88" s="99">
        <v>0</v>
      </c>
      <c r="AK88" s="99">
        <f t="shared" si="44"/>
        <v>6.727</v>
      </c>
      <c r="AL88" s="274">
        <f t="shared" si="51"/>
        <v>6.6</v>
      </c>
      <c r="AM88" s="275">
        <f>'【国内】问卷调研-数据源（P3单独执行） '!AM88</f>
        <v>20.124488868696</v>
      </c>
      <c r="AO88" s="276"/>
      <c r="AP88" s="1">
        <v>2201</v>
      </c>
      <c r="AQ88" s="99">
        <f>'【国内】问卷调研-数据源（混合执行）  (2)'!AQ88*1.8</f>
        <v>0.954</v>
      </c>
      <c r="AR88" s="99">
        <v>0</v>
      </c>
      <c r="AS88" s="99">
        <f t="shared" si="45"/>
        <v>7.01033333333333</v>
      </c>
      <c r="AT88" s="274">
        <f t="shared" si="52"/>
        <v>6.7</v>
      </c>
      <c r="AU88" s="275">
        <f>'【国内】问卷调研-数据源（P3单独执行） '!AU88</f>
        <v>21.7925942753294</v>
      </c>
      <c r="AV88" s="1"/>
      <c r="AW88" s="276"/>
      <c r="AX88" s="1">
        <v>2201</v>
      </c>
      <c r="AY88" s="99">
        <f>'【国内】问卷调研-数据源（混合执行）  (2)'!AY88*1.8</f>
        <v>0.954</v>
      </c>
      <c r="AZ88" s="99">
        <v>0</v>
      </c>
      <c r="BA88" s="99">
        <f t="shared" si="53"/>
        <v>7.57700000000001</v>
      </c>
      <c r="BB88" s="274">
        <f t="shared" si="54"/>
        <v>6.8</v>
      </c>
      <c r="BC88" s="275">
        <f>'【国内】问卷调研-数据源（P3单独执行） '!BC88</f>
        <v>23.6151749204907</v>
      </c>
    </row>
    <row r="89" spans="2:55">
      <c r="B89" s="1">
        <v>2401</v>
      </c>
      <c r="C89" s="99">
        <f>'【国内】问卷调研-数据源（混合执行）  (2)'!C89*1.8</f>
        <v>0.9</v>
      </c>
      <c r="D89" s="99">
        <v>0</v>
      </c>
      <c r="E89" s="99">
        <f t="shared" si="46"/>
        <v>5.86233333333333</v>
      </c>
      <c r="F89" s="274">
        <f t="shared" si="47"/>
        <v>6.3</v>
      </c>
      <c r="G89" s="275">
        <f>'【国内】问卷调研-数据源（P3单独执行） '!G89</f>
        <v>12.9286963765098</v>
      </c>
      <c r="I89" s="276"/>
      <c r="J89" s="1">
        <v>2401</v>
      </c>
      <c r="K89" s="99">
        <f>'【国内】问卷调研-数据源（混合执行）  (2)'!K89*1.8</f>
        <v>0.9</v>
      </c>
      <c r="L89" s="99">
        <v>0</v>
      </c>
      <c r="M89" s="99">
        <f t="shared" si="41"/>
        <v>6.14566666666667</v>
      </c>
      <c r="N89" s="274">
        <f t="shared" si="48"/>
        <v>6.4</v>
      </c>
      <c r="O89" s="275">
        <f>'【国内】问卷调研-数据源（P3单独执行） '!O89</f>
        <v>14.5827988338192</v>
      </c>
      <c r="Q89" s="276"/>
      <c r="R89" s="1">
        <v>2401</v>
      </c>
      <c r="S89" s="99">
        <f>'【国内】问卷调研-数据源（混合执行）  (2)'!S89*1.8</f>
        <v>0.9</v>
      </c>
      <c r="T89" s="99">
        <v>0</v>
      </c>
      <c r="U89" s="99">
        <f t="shared" si="42"/>
        <v>6.429</v>
      </c>
      <c r="V89" s="274">
        <f t="shared" si="49"/>
        <v>6.5</v>
      </c>
      <c r="W89" s="275">
        <f>'【国内】问卷调研-数据源（P3单独执行） '!W89</f>
        <v>16.2369012911287</v>
      </c>
      <c r="Y89" s="276"/>
      <c r="Z89" s="1">
        <v>2401</v>
      </c>
      <c r="AA89" s="99">
        <f>'【国内】问卷调研-数据源（混合执行）  (2)'!AA89*1.8</f>
        <v>0.954</v>
      </c>
      <c r="AB89" s="99">
        <v>0</v>
      </c>
      <c r="AC89" s="99">
        <f t="shared" si="43"/>
        <v>6.736</v>
      </c>
      <c r="AD89" s="274">
        <f t="shared" si="50"/>
        <v>6.6</v>
      </c>
      <c r="AE89" s="275">
        <f>'【国内】问卷调研-数据源（P3单独执行） '!AE89</f>
        <v>18.0355268638067</v>
      </c>
      <c r="AG89" s="276"/>
      <c r="AH89" s="1">
        <v>2401</v>
      </c>
      <c r="AI89" s="99">
        <f>'【国内】问卷调研-数据源（混合执行）  (2)'!AI89*1.8</f>
        <v>0.954</v>
      </c>
      <c r="AJ89" s="99">
        <v>0</v>
      </c>
      <c r="AK89" s="99">
        <f t="shared" si="44"/>
        <v>7.01933333333334</v>
      </c>
      <c r="AL89" s="274">
        <f t="shared" si="51"/>
        <v>6.7</v>
      </c>
      <c r="AM89" s="275">
        <f>'【国内】问卷调研-数据源（P3单独执行） '!AM89</f>
        <v>19.6896293211162</v>
      </c>
      <c r="AO89" s="276"/>
      <c r="AP89" s="1">
        <v>2401</v>
      </c>
      <c r="AQ89" s="99">
        <f>'【国内】问卷调研-数据源（混合执行）  (2)'!AQ89*1.8</f>
        <v>0.954</v>
      </c>
      <c r="AR89" s="99">
        <v>0</v>
      </c>
      <c r="AS89" s="99">
        <f t="shared" si="45"/>
        <v>7.30266666666667</v>
      </c>
      <c r="AT89" s="274">
        <f t="shared" si="52"/>
        <v>6.8</v>
      </c>
      <c r="AU89" s="275">
        <f>'【国内】问卷调研-数据源（P3单独执行） '!AU89</f>
        <v>21.3437317784257</v>
      </c>
      <c r="AV89" s="1"/>
      <c r="AW89" s="276"/>
      <c r="AX89" s="1">
        <v>2401</v>
      </c>
      <c r="AY89" s="99">
        <f>'【国内】问卷调研-数据源（混合执行）  (2)'!AY89*1.8</f>
        <v>0.954</v>
      </c>
      <c r="AZ89" s="99">
        <v>0</v>
      </c>
      <c r="BA89" s="99">
        <f t="shared" si="53"/>
        <v>7.86933333333334</v>
      </c>
      <c r="BB89" s="274">
        <f t="shared" si="54"/>
        <v>6.9</v>
      </c>
      <c r="BC89" s="275">
        <f>'【国内】问卷调研-数据源（P3单独执行） '!BC89</f>
        <v>23.1394418992087</v>
      </c>
    </row>
    <row r="90" spans="2:55">
      <c r="B90" s="1">
        <v>2601</v>
      </c>
      <c r="C90" s="99">
        <f>'【国内】问卷调研-数据源（混合执行）  (2)'!C90*1.8</f>
        <v>1.08</v>
      </c>
      <c r="D90" s="99">
        <v>0</v>
      </c>
      <c r="E90" s="99">
        <f t="shared" si="46"/>
        <v>5.76133333333333</v>
      </c>
      <c r="F90" s="274">
        <f t="shared" si="47"/>
        <v>6.4</v>
      </c>
      <c r="G90" s="275">
        <f>'【国内】问卷调研-数据源（P3单独执行） '!G90</f>
        <v>12.8460592079969</v>
      </c>
      <c r="I90" s="276"/>
      <c r="J90" s="1">
        <v>2601</v>
      </c>
      <c r="K90" s="99">
        <f>'【国内】问卷调研-数据源（混合执行）  (2)'!K90*1.8</f>
        <v>1.08</v>
      </c>
      <c r="L90" s="99">
        <v>0</v>
      </c>
      <c r="M90" s="99">
        <f t="shared" si="41"/>
        <v>6.04466666666666</v>
      </c>
      <c r="N90" s="274">
        <f t="shared" si="48"/>
        <v>6.5</v>
      </c>
      <c r="O90" s="275">
        <f>'【国内】问卷调研-数据源（P3单独执行） '!O90</f>
        <v>14.4883121876201</v>
      </c>
      <c r="Q90" s="276"/>
      <c r="R90" s="1">
        <v>2601</v>
      </c>
      <c r="S90" s="99">
        <f>'【国内】问卷调研-数据源（混合执行）  (2)'!S90*1.8</f>
        <v>1.08</v>
      </c>
      <c r="T90" s="99">
        <v>0</v>
      </c>
      <c r="U90" s="99">
        <f t="shared" si="42"/>
        <v>6.328</v>
      </c>
      <c r="V90" s="274">
        <f t="shared" si="49"/>
        <v>6.6</v>
      </c>
      <c r="W90" s="275">
        <f>'【国内】问卷调研-数据源（P3单独执行） '!W90</f>
        <v>16.1305651672434</v>
      </c>
      <c r="Y90" s="276"/>
      <c r="Z90" s="1">
        <v>2601</v>
      </c>
      <c r="AA90" s="99">
        <f>'【国内】问卷调研-数据源（混合执行）  (2)'!AA90*1.8</f>
        <v>1.152</v>
      </c>
      <c r="AB90" s="99">
        <v>0</v>
      </c>
      <c r="AC90" s="99">
        <f t="shared" si="43"/>
        <v>6.59566666666667</v>
      </c>
      <c r="AD90" s="274">
        <f t="shared" si="50"/>
        <v>6.7</v>
      </c>
      <c r="AE90" s="275">
        <f>'【国内】问卷调研-数据源（P3单独执行） '!AE90</f>
        <v>17.9289119569396</v>
      </c>
      <c r="AG90" s="276"/>
      <c r="AH90" s="1">
        <v>2601</v>
      </c>
      <c r="AI90" s="99">
        <f>'【国内】问卷调研-数据源（混合执行）  (2)'!AI90*1.8</f>
        <v>1.152</v>
      </c>
      <c r="AJ90" s="99">
        <v>0</v>
      </c>
      <c r="AK90" s="99">
        <f t="shared" si="44"/>
        <v>6.879</v>
      </c>
      <c r="AL90" s="274">
        <f t="shared" si="51"/>
        <v>6.8</v>
      </c>
      <c r="AM90" s="275">
        <f>'【国内】问卷调研-数据源（P3单独执行） '!AM90</f>
        <v>19.5711649365629</v>
      </c>
      <c r="AO90" s="276"/>
      <c r="AP90" s="1">
        <v>2601</v>
      </c>
      <c r="AQ90" s="99">
        <f>'【国内】问卷调研-数据源（混合执行）  (2)'!AQ90*1.8</f>
        <v>1.152</v>
      </c>
      <c r="AR90" s="99">
        <v>0</v>
      </c>
      <c r="AS90" s="99">
        <f t="shared" si="45"/>
        <v>7.16233333333333</v>
      </c>
      <c r="AT90" s="274">
        <f t="shared" si="52"/>
        <v>6.9</v>
      </c>
      <c r="AU90" s="275">
        <f>'【国内】问卷调研-数据源（P3单独执行） '!AU90</f>
        <v>21.2134179161861</v>
      </c>
      <c r="AV90" s="1"/>
      <c r="AW90" s="276"/>
      <c r="AX90" s="1">
        <v>2601</v>
      </c>
      <c r="AY90" s="99">
        <f>'【国内】问卷调研-数据源（混合执行）  (2)'!AY90*1.8</f>
        <v>1.152</v>
      </c>
      <c r="AZ90" s="99">
        <v>0</v>
      </c>
      <c r="BA90" s="99">
        <f t="shared" si="53"/>
        <v>7.729</v>
      </c>
      <c r="BB90" s="274">
        <f t="shared" si="54"/>
        <v>7</v>
      </c>
      <c r="BC90" s="275">
        <f>'【国内】问卷调研-数据源（P3单独执行） '!BC90</f>
        <v>22.9863898500577</v>
      </c>
    </row>
    <row r="91" spans="2:55">
      <c r="B91" s="1">
        <v>2801</v>
      </c>
      <c r="C91" s="99">
        <f>'【国内】问卷调研-数据源（混合执行）  (2)'!C91*1.8</f>
        <v>1.08</v>
      </c>
      <c r="D91" s="99">
        <v>0</v>
      </c>
      <c r="E91" s="99">
        <f t="shared" si="46"/>
        <v>6.93066666666667</v>
      </c>
      <c r="F91" s="274">
        <f t="shared" si="47"/>
        <v>6.8</v>
      </c>
      <c r="G91" s="275">
        <f>'【国内】问卷调研-数据源（P3单独执行） '!G91</f>
        <v>12.9724384148518</v>
      </c>
      <c r="I91" s="276"/>
      <c r="J91" s="1">
        <v>2801</v>
      </c>
      <c r="K91" s="99">
        <f>'【国内】问卷调研-数据源（混合执行）  (2)'!K91*1.8</f>
        <v>1.08</v>
      </c>
      <c r="L91" s="99">
        <v>0</v>
      </c>
      <c r="M91" s="99">
        <f t="shared" si="41"/>
        <v>7.214</v>
      </c>
      <c r="N91" s="274">
        <f t="shared" si="48"/>
        <v>6.9</v>
      </c>
      <c r="O91" s="275">
        <f>'【国内】问卷调研-数据源（P3单独执行） '!O91</f>
        <v>14.6045340949661</v>
      </c>
      <c r="Q91" s="276"/>
      <c r="R91" s="1">
        <v>2801</v>
      </c>
      <c r="S91" s="99">
        <f>'【国内】问卷调研-数据源（混合执行）  (2)'!S91*1.8</f>
        <v>1.08</v>
      </c>
      <c r="T91" s="99">
        <v>0</v>
      </c>
      <c r="U91" s="99">
        <f t="shared" si="42"/>
        <v>7.49733333333333</v>
      </c>
      <c r="V91" s="274">
        <f t="shared" si="49"/>
        <v>7</v>
      </c>
      <c r="W91" s="275">
        <f>'【国内】问卷调研-数据源（P3单独执行） '!W91</f>
        <v>16.2366297750803</v>
      </c>
      <c r="Y91" s="276"/>
      <c r="Z91" s="1">
        <v>2801</v>
      </c>
      <c r="AA91" s="99">
        <f>'【国内】问卷调研-数据源（混合执行）  (2)'!AA91*1.8</f>
        <v>1.152</v>
      </c>
      <c r="AB91" s="99">
        <v>0</v>
      </c>
      <c r="AC91" s="99">
        <f t="shared" si="43"/>
        <v>7.765</v>
      </c>
      <c r="AD91" s="274">
        <f t="shared" si="50"/>
        <v>7.1</v>
      </c>
      <c r="AE91" s="275">
        <f>'【国内】问卷调研-数据源（P3单独执行） '!AE91</f>
        <v>18.0136736879686</v>
      </c>
      <c r="AG91" s="276"/>
      <c r="AH91" s="1">
        <v>2801</v>
      </c>
      <c r="AI91" s="99">
        <f>'【国内】问卷调研-数据源（混合执行）  (2)'!AI91*1.8</f>
        <v>1.152</v>
      </c>
      <c r="AJ91" s="99">
        <v>0</v>
      </c>
      <c r="AK91" s="99">
        <f t="shared" si="44"/>
        <v>8.04833333333333</v>
      </c>
      <c r="AL91" s="274">
        <f t="shared" si="51"/>
        <v>7.2</v>
      </c>
      <c r="AM91" s="275">
        <f>'【国内】问卷调研-数据源（P3单独执行） '!AM91</f>
        <v>19.6457693680828</v>
      </c>
      <c r="AO91" s="276"/>
      <c r="AP91" s="1">
        <v>2801</v>
      </c>
      <c r="AQ91" s="99">
        <f>'【国内】问卷调研-数据源（混合执行）  (2)'!AQ91*1.8</f>
        <v>1.152</v>
      </c>
      <c r="AR91" s="99">
        <v>0</v>
      </c>
      <c r="AS91" s="99">
        <f t="shared" si="45"/>
        <v>8.33166666666666</v>
      </c>
      <c r="AT91" s="274">
        <f t="shared" si="52"/>
        <v>7.3</v>
      </c>
      <c r="AU91" s="275">
        <f>'【国内】问卷调研-数据源（P3单独执行） '!AU91</f>
        <v>21.2778650481971</v>
      </c>
      <c r="AV91" s="1"/>
      <c r="AW91" s="276"/>
      <c r="AX91" s="1">
        <v>2801</v>
      </c>
      <c r="AY91" s="99">
        <f>'【国内】问卷调研-数据源（混合执行）  (2)'!AY91*1.8</f>
        <v>1.152</v>
      </c>
      <c r="AZ91" s="99">
        <v>0</v>
      </c>
      <c r="BA91" s="99">
        <f t="shared" si="53"/>
        <v>8.89833333333333</v>
      </c>
      <c r="BB91" s="274">
        <f t="shared" si="54"/>
        <v>7.4</v>
      </c>
      <c r="BC91" s="275">
        <f>'【国内】问卷调研-数据源（P3单独执行） '!BC91</f>
        <v>23.0313459478758</v>
      </c>
    </row>
    <row r="92" spans="2:55">
      <c r="I92" s="269"/>
      <c r="Q92" s="269"/>
      <c r="Y92" s="269"/>
      <c r="AG92" s="269"/>
      <c r="AO92" s="269"/>
      <c r="AW92" s="269"/>
    </row>
    <row r="93" spans="2:55">
      <c r="B93" s="268" t="s">
        <v>91</v>
      </c>
      <c r="C93" s="268" t="s">
        <v>123</v>
      </c>
      <c r="I93" s="269"/>
      <c r="J93" s="268" t="s">
        <v>91</v>
      </c>
      <c r="K93" s="268"/>
      <c r="L93" s="268" t="s">
        <v>123</v>
      </c>
      <c r="Q93" s="269"/>
      <c r="R93" s="268" t="s">
        <v>91</v>
      </c>
      <c r="S93" s="268"/>
      <c r="T93" s="268" t="s">
        <v>123</v>
      </c>
      <c r="Y93" s="269"/>
      <c r="Z93" s="268" t="s">
        <v>91</v>
      </c>
      <c r="AA93" s="268"/>
      <c r="AB93" s="268" t="s">
        <v>123</v>
      </c>
      <c r="AG93" s="269"/>
      <c r="AH93" s="268" t="s">
        <v>91</v>
      </c>
      <c r="AI93" s="268"/>
      <c r="AJ93" s="268" t="s">
        <v>123</v>
      </c>
      <c r="AO93" s="269"/>
      <c r="AP93" s="268" t="s">
        <v>91</v>
      </c>
      <c r="AQ93" s="268"/>
      <c r="AR93" s="268" t="s">
        <v>123</v>
      </c>
      <c r="AW93" s="269"/>
      <c r="AX93" s="268" t="s">
        <v>91</v>
      </c>
      <c r="AY93" s="268"/>
      <c r="AZ93" s="268" t="s">
        <v>123</v>
      </c>
    </row>
    <row r="94" spans="2:55">
      <c r="B94" s="270" t="s">
        <v>92</v>
      </c>
      <c r="C94" s="270" t="s">
        <v>93</v>
      </c>
      <c r="I94" s="269"/>
      <c r="J94" s="270" t="s">
        <v>92</v>
      </c>
      <c r="K94" s="270"/>
      <c r="L94" s="270" t="s">
        <v>94</v>
      </c>
      <c r="Q94" s="269"/>
      <c r="R94" s="270" t="s">
        <v>92</v>
      </c>
      <c r="S94" s="270"/>
      <c r="T94" s="270" t="s">
        <v>95</v>
      </c>
      <c r="Y94" s="269"/>
      <c r="Z94" s="270" t="s">
        <v>92</v>
      </c>
      <c r="AA94" s="270"/>
      <c r="AB94" s="270" t="s">
        <v>96</v>
      </c>
      <c r="AG94" s="269"/>
      <c r="AH94" s="270" t="s">
        <v>92</v>
      </c>
      <c r="AI94" s="270"/>
      <c r="AJ94" s="270" t="s">
        <v>97</v>
      </c>
      <c r="AO94" s="269"/>
      <c r="AP94" s="270" t="s">
        <v>92</v>
      </c>
      <c r="AQ94" s="270"/>
      <c r="AR94" s="270" t="s">
        <v>98</v>
      </c>
      <c r="AW94" s="269"/>
      <c r="AX94" s="270" t="s">
        <v>92</v>
      </c>
      <c r="AY94" s="270"/>
      <c r="AZ94" s="270" t="s">
        <v>99</v>
      </c>
    </row>
    <row r="95" spans="2:55">
      <c r="B95" s="271" t="s">
        <v>100</v>
      </c>
      <c r="C95" s="271"/>
      <c r="D95" s="271">
        <v>10</v>
      </c>
      <c r="F95" s="59"/>
      <c r="G95" s="282">
        <f>AVERAGE(G99:G114)</f>
        <v>20.4783750903654</v>
      </c>
      <c r="H95" s="59"/>
      <c r="I95" s="269"/>
      <c r="J95" s="271" t="s">
        <v>100</v>
      </c>
      <c r="K95" s="271"/>
      <c r="L95" s="271">
        <v>12</v>
      </c>
      <c r="N95" s="59"/>
      <c r="O95" s="282">
        <f>AVERAGE(O99:O114)</f>
        <v>23.1390131228059</v>
      </c>
      <c r="P95" s="59"/>
      <c r="Q95" s="269"/>
      <c r="R95" s="271" t="s">
        <v>100</v>
      </c>
      <c r="S95" s="271"/>
      <c r="T95" s="271">
        <v>14</v>
      </c>
      <c r="V95" s="59"/>
      <c r="W95" s="283">
        <f>AVERAGE(W99:W114)</f>
        <v>25.7996511552464</v>
      </c>
      <c r="X95" s="59"/>
      <c r="Y95" s="269"/>
      <c r="Z95" s="271" t="s">
        <v>100</v>
      </c>
      <c r="AA95" s="271"/>
      <c r="AB95" s="271">
        <v>16</v>
      </c>
      <c r="AD95" s="59"/>
      <c r="AE95" s="283">
        <f>AVERAGE(AE99:AE114)</f>
        <v>28.460289187687</v>
      </c>
      <c r="AF95" s="59"/>
      <c r="AG95" s="269"/>
      <c r="AH95" s="271" t="s">
        <v>100</v>
      </c>
      <c r="AI95" s="271"/>
      <c r="AJ95" s="271">
        <v>18</v>
      </c>
      <c r="AL95" s="59"/>
      <c r="AM95" s="272">
        <f>AVERAGE(AM99:AM114)</f>
        <v>31.1209272201275</v>
      </c>
      <c r="AN95" s="59"/>
      <c r="AO95" s="269"/>
      <c r="AP95" s="271" t="s">
        <v>100</v>
      </c>
      <c r="AQ95" s="271"/>
      <c r="AR95" s="271">
        <v>20</v>
      </c>
      <c r="AT95" s="273"/>
      <c r="AU95" s="272">
        <f>AVERAGE(AU99:AU114)</f>
        <v>33.781565252568</v>
      </c>
      <c r="AV95" s="273"/>
      <c r="AW95" s="269"/>
      <c r="AX95" s="271" t="s">
        <v>100</v>
      </c>
      <c r="AY95" s="271"/>
      <c r="AZ95" s="271">
        <v>22</v>
      </c>
      <c r="BB95" s="273"/>
      <c r="BC95" s="272">
        <f>AVERAGE(BC99:BC114)</f>
        <v>36.3886380391349</v>
      </c>
    </row>
    <row r="96" spans="2:55">
      <c r="B96" s="1" t="s">
        <v>101</v>
      </c>
      <c r="C96" s="1" t="s">
        <v>8</v>
      </c>
      <c r="D96" s="1" t="s">
        <v>9</v>
      </c>
      <c r="E96" s="1" t="s">
        <v>10</v>
      </c>
      <c r="F96" s="1" t="s">
        <v>103</v>
      </c>
      <c r="G96" s="1" t="s">
        <v>104</v>
      </c>
      <c r="I96" s="269"/>
      <c r="J96" s="1" t="s">
        <v>101</v>
      </c>
      <c r="K96" s="1" t="s">
        <v>8</v>
      </c>
      <c r="L96" s="1" t="s">
        <v>9</v>
      </c>
      <c r="M96" s="1" t="s">
        <v>10</v>
      </c>
      <c r="N96" s="1" t="s">
        <v>103</v>
      </c>
      <c r="O96" s="1" t="s">
        <v>104</v>
      </c>
      <c r="Q96" s="269"/>
      <c r="R96" s="1" t="s">
        <v>101</v>
      </c>
      <c r="S96" s="1" t="s">
        <v>8</v>
      </c>
      <c r="T96" s="1" t="s">
        <v>9</v>
      </c>
      <c r="U96" s="1" t="s">
        <v>10</v>
      </c>
      <c r="V96" s="1" t="s">
        <v>103</v>
      </c>
      <c r="W96" s="1" t="s">
        <v>104</v>
      </c>
      <c r="Y96" s="269"/>
      <c r="Z96" s="1" t="s">
        <v>101</v>
      </c>
      <c r="AA96" s="1" t="s">
        <v>8</v>
      </c>
      <c r="AB96" s="1" t="s">
        <v>9</v>
      </c>
      <c r="AC96" s="1" t="s">
        <v>10</v>
      </c>
      <c r="AD96" s="1" t="s">
        <v>103</v>
      </c>
      <c r="AG96" s="269"/>
      <c r="AH96" s="1" t="s">
        <v>101</v>
      </c>
      <c r="AI96" s="1" t="s">
        <v>8</v>
      </c>
      <c r="AJ96" s="1" t="s">
        <v>9</v>
      </c>
      <c r="AK96" s="1" t="s">
        <v>10</v>
      </c>
      <c r="AL96" s="1" t="s">
        <v>103</v>
      </c>
      <c r="AO96" s="269"/>
      <c r="AP96" s="1" t="s">
        <v>101</v>
      </c>
      <c r="AQ96" s="1" t="s">
        <v>8</v>
      </c>
      <c r="AR96" s="1" t="s">
        <v>9</v>
      </c>
      <c r="AS96" s="1" t="s">
        <v>10</v>
      </c>
      <c r="AT96" s="1" t="s">
        <v>103</v>
      </c>
      <c r="AW96" s="269"/>
      <c r="AX96" s="1" t="s">
        <v>101</v>
      </c>
      <c r="AY96" s="1" t="s">
        <v>8</v>
      </c>
      <c r="AZ96" s="1" t="s">
        <v>9</v>
      </c>
      <c r="BA96" s="1" t="s">
        <v>10</v>
      </c>
      <c r="BB96" s="1" t="s">
        <v>103</v>
      </c>
    </row>
    <row r="97" spans="2:55">
      <c r="B97" s="1">
        <v>0</v>
      </c>
      <c r="C97" s="99">
        <f>'【国内】问卷调研-数据源（P3单独执行） '!C97*2</f>
        <v>0</v>
      </c>
      <c r="D97" s="99">
        <v>0</v>
      </c>
      <c r="E97" s="99" t="e">
        <f t="shared" ref="E97:E114" si="55">(G97*B97-$D$95*B97-C97*5900-D97*3400-F97*300)/1200</f>
        <v>#DIV/0!</v>
      </c>
      <c r="F97" s="274">
        <f>F74+0.1</f>
        <v>0.3</v>
      </c>
      <c r="G97" s="275" t="e">
        <f>'【国内】问卷调研-数据源（P3单独执行） '!G97</f>
        <v>#DIV/0!</v>
      </c>
      <c r="I97" s="269"/>
      <c r="J97" s="1">
        <v>0</v>
      </c>
      <c r="K97" s="99">
        <f>'【国内】问卷调研-数据源（P3单独执行） '!K97*2</f>
        <v>0</v>
      </c>
      <c r="L97" s="99">
        <v>0</v>
      </c>
      <c r="M97" s="99" t="e">
        <f t="shared" ref="M97:M114" si="56">(O97*J97-$L$95*J97-K97*5900-L97*3400-N97*300)/1200</f>
        <v>#DIV/0!</v>
      </c>
      <c r="N97" s="274">
        <f>F97+0.1</f>
        <v>0.4</v>
      </c>
      <c r="O97" s="275" t="e">
        <f>'【国内】问卷调研-数据源（P3单独执行） '!O97</f>
        <v>#DIV/0!</v>
      </c>
      <c r="Q97" s="269"/>
      <c r="R97" s="1">
        <v>0</v>
      </c>
      <c r="S97" s="99">
        <f>'【国内】问卷调研-数据源（P3单独执行） '!S97*2</f>
        <v>0</v>
      </c>
      <c r="T97" s="99">
        <v>0</v>
      </c>
      <c r="U97" s="99" t="e">
        <f t="shared" ref="U97:U114" si="57">(W97*R97-$T$95*R97-S97*5900-T97*3400-V97*300)/1200</f>
        <v>#DIV/0!</v>
      </c>
      <c r="V97" s="274">
        <f>N97+0.1</f>
        <v>0.5</v>
      </c>
      <c r="W97" s="275" t="e">
        <f>'【国内】问卷调研-数据源（P3单独执行） '!W97</f>
        <v>#DIV/0!</v>
      </c>
      <c r="Y97" s="269"/>
      <c r="Z97" s="1">
        <v>0</v>
      </c>
      <c r="AA97" s="99">
        <f>'【国内】问卷调研-数据源（P3单独执行） '!AA97*2</f>
        <v>0</v>
      </c>
      <c r="AB97" s="99">
        <v>0</v>
      </c>
      <c r="AC97" s="99" t="e">
        <f t="shared" ref="AC97:AC114" si="58">(AE97*Z97-$AB$95*Z97-AA97*5900-AB97*3400-AD97*300)/1200</f>
        <v>#DIV/0!</v>
      </c>
      <c r="AD97" s="274">
        <f>V97+0.1</f>
        <v>0.6</v>
      </c>
      <c r="AE97" s="275" t="e">
        <f>'【国内】问卷调研-数据源（P3单独执行） '!AE97</f>
        <v>#DIV/0!</v>
      </c>
      <c r="AG97" s="269"/>
      <c r="AH97" s="1">
        <v>0</v>
      </c>
      <c r="AI97" s="99">
        <f>'【国内】问卷调研-数据源（P3单独执行） '!AI97*2</f>
        <v>0</v>
      </c>
      <c r="AJ97" s="99">
        <v>0</v>
      </c>
      <c r="AK97" s="99" t="e">
        <f t="shared" ref="AK97:AK114" si="59">(AM97*AH97-$AJ$95*AH97-AI97*5900-AJ97*3400-AL97*300)/1200</f>
        <v>#DIV/0!</v>
      </c>
      <c r="AL97" s="274">
        <f>AD97+0.1</f>
        <v>0.7</v>
      </c>
      <c r="AM97" s="275" t="e">
        <f>'【国内】问卷调研-数据源（P3单独执行） '!AM97</f>
        <v>#DIV/0!</v>
      </c>
      <c r="AO97" s="269"/>
      <c r="AP97" s="1">
        <v>0</v>
      </c>
      <c r="AQ97" s="99">
        <f>'【国内】问卷调研-数据源（P3单独执行） '!AQ97*2</f>
        <v>0</v>
      </c>
      <c r="AR97" s="99">
        <v>0</v>
      </c>
      <c r="AS97" s="99" t="e">
        <f t="shared" ref="AS97:AS114" si="60">(AU97*AP97-$AR$95*AP97-AQ97*5900-AR97*3400-AT97*300)/1200</f>
        <v>#DIV/0!</v>
      </c>
      <c r="AT97" s="274">
        <f>AL97+0.1</f>
        <v>0.8</v>
      </c>
      <c r="AU97" s="275" t="e">
        <f>'【国内】问卷调研-数据源（P3单独执行） '!AU97</f>
        <v>#DIV/0!</v>
      </c>
      <c r="AV97" s="1"/>
      <c r="AW97" s="269"/>
      <c r="AX97" s="1">
        <v>0</v>
      </c>
      <c r="AY97" s="99">
        <f>'【国内】问卷调研-数据源（P3单独执行） '!AY97*2</f>
        <v>0</v>
      </c>
      <c r="AZ97" s="99">
        <v>0</v>
      </c>
      <c r="BA97" s="99" t="e">
        <f t="shared" ref="BA97:BA114" si="61">(BC97*AX97-$AZ$95*AX97-AY97*5900-AZ97*3400-BB97*300)/1200</f>
        <v>#DIV/0!</v>
      </c>
      <c r="BB97" s="274">
        <f>AT97+0.1</f>
        <v>0.9</v>
      </c>
      <c r="BC97" s="275" t="e">
        <f>'【国内】问卷调研-数据源（P3单独执行） '!BC97</f>
        <v>#DIV/0!</v>
      </c>
    </row>
    <row r="98" spans="2:55">
      <c r="B98" s="1">
        <v>1</v>
      </c>
      <c r="C98" s="99">
        <f>'【国内】问卷调研-数据源（P3单独执行） '!C98*2</f>
        <v>0</v>
      </c>
      <c r="D98" s="99">
        <v>0</v>
      </c>
      <c r="E98" s="99">
        <f t="shared" si="55"/>
        <v>1.75</v>
      </c>
      <c r="F98" s="274">
        <f t="shared" ref="F98:F114" si="62">F75+0.1</f>
        <v>1.38</v>
      </c>
      <c r="G98" s="275">
        <f>'【国内】问卷调研-数据源（P3单独执行） '!G98</f>
        <v>2524</v>
      </c>
      <c r="I98" s="276"/>
      <c r="J98" s="1">
        <v>1</v>
      </c>
      <c r="K98" s="99">
        <f>'【国内】问卷调研-数据源（P3单独执行） '!K98*2</f>
        <v>0</v>
      </c>
      <c r="L98" s="99">
        <v>0</v>
      </c>
      <c r="M98" s="99">
        <f t="shared" si="56"/>
        <v>2.03333333333333</v>
      </c>
      <c r="N98" s="274">
        <f t="shared" ref="N98:N114" si="63">F98+0.1</f>
        <v>1.48</v>
      </c>
      <c r="O98" s="275">
        <f>'【国内】问卷调研-数据源（P3单独执行） '!O98</f>
        <v>2896</v>
      </c>
      <c r="Q98" s="276"/>
      <c r="R98" s="1">
        <v>1</v>
      </c>
      <c r="S98" s="99">
        <f>'【国内】问卷调研-数据源（P3单独执行） '!S98*2</f>
        <v>0</v>
      </c>
      <c r="T98" s="99">
        <v>0</v>
      </c>
      <c r="U98" s="99">
        <f t="shared" si="57"/>
        <v>2.31666666666667</v>
      </c>
      <c r="V98" s="274">
        <f t="shared" ref="V98:V114" si="64">N98+0.1</f>
        <v>1.58</v>
      </c>
      <c r="W98" s="275">
        <f>'【国内】问卷调研-数据源（P3单独执行） '!W98</f>
        <v>3268</v>
      </c>
      <c r="Y98" s="276"/>
      <c r="Z98" s="1">
        <v>1</v>
      </c>
      <c r="AA98" s="99">
        <f>'【国内】问卷调研-数据源（P3单独执行） '!AA98*2</f>
        <v>0</v>
      </c>
      <c r="AB98" s="99">
        <v>0</v>
      </c>
      <c r="AC98" s="99">
        <f t="shared" si="58"/>
        <v>2.6</v>
      </c>
      <c r="AD98" s="274">
        <f t="shared" ref="AD98:AD114" si="65">V98+0.1</f>
        <v>1.68</v>
      </c>
      <c r="AE98" s="275">
        <f>'【国内】问卷调研-数据源（P3单独执行） '!AE98</f>
        <v>3640</v>
      </c>
      <c r="AG98" s="276"/>
      <c r="AH98" s="1">
        <v>1</v>
      </c>
      <c r="AI98" s="99">
        <f>'【国内】问卷调研-数据源（P3单独执行） '!AI98*2</f>
        <v>0</v>
      </c>
      <c r="AJ98" s="99">
        <v>0</v>
      </c>
      <c r="AK98" s="99">
        <f t="shared" si="59"/>
        <v>2.88333333333333</v>
      </c>
      <c r="AL98" s="274">
        <f t="shared" ref="AL98:AL114" si="66">AD98+0.1</f>
        <v>1.78</v>
      </c>
      <c r="AM98" s="275">
        <f>'【国内】问卷调研-数据源（P3单独执行） '!AM98</f>
        <v>4012</v>
      </c>
      <c r="AO98" s="276"/>
      <c r="AP98" s="1">
        <v>1</v>
      </c>
      <c r="AQ98" s="99">
        <f>'【国内】问卷调研-数据源（P3单独执行） '!AQ98*2</f>
        <v>0</v>
      </c>
      <c r="AR98" s="99">
        <v>0</v>
      </c>
      <c r="AS98" s="99">
        <f t="shared" si="60"/>
        <v>3.16666666666667</v>
      </c>
      <c r="AT98" s="274">
        <f t="shared" ref="AT98:AT114" si="67">AL98+0.1</f>
        <v>1.88</v>
      </c>
      <c r="AU98" s="275">
        <f>'【国内】问卷调研-数据源（P3单独执行） '!AU98</f>
        <v>4384</v>
      </c>
      <c r="AV98" s="1"/>
      <c r="AW98" s="276"/>
      <c r="AX98" s="1">
        <v>1</v>
      </c>
      <c r="AY98" s="99">
        <f>'【国内】问卷调研-数据源（P3单独执行） '!AY98*2</f>
        <v>0</v>
      </c>
      <c r="AZ98" s="99">
        <v>0</v>
      </c>
      <c r="BA98" s="99">
        <f t="shared" si="61"/>
        <v>3.425</v>
      </c>
      <c r="BB98" s="274">
        <f t="shared" ref="BB98:BB114" si="68">AT98+0.1</f>
        <v>1.98</v>
      </c>
      <c r="BC98" s="275">
        <f>'【国内】问卷调研-数据源（P3单独执行） '!BC98</f>
        <v>4726</v>
      </c>
    </row>
    <row r="99" spans="2:55">
      <c r="B99" s="1">
        <v>101</v>
      </c>
      <c r="C99" s="99">
        <f>'【国内】问卷调研-数据源（P3单独执行） '!C99*2</f>
        <v>0</v>
      </c>
      <c r="D99" s="99">
        <v>0</v>
      </c>
      <c r="E99" s="99">
        <f t="shared" si="55"/>
        <v>1.57</v>
      </c>
      <c r="F99" s="274">
        <f t="shared" si="62"/>
        <v>2.1</v>
      </c>
      <c r="G99" s="275">
        <f>'【国内】问卷调研-数据源（P3单独执行） '!G99</f>
        <v>34.8910891089109</v>
      </c>
      <c r="I99" s="276"/>
      <c r="J99" s="1">
        <v>101</v>
      </c>
      <c r="K99" s="99">
        <f>'【国内】问卷调研-数据源（P3单独执行） '!K99*2</f>
        <v>0</v>
      </c>
      <c r="L99" s="99">
        <v>0</v>
      </c>
      <c r="M99" s="99">
        <f t="shared" si="56"/>
        <v>1.85333333333333</v>
      </c>
      <c r="N99" s="274">
        <f t="shared" si="63"/>
        <v>2.2</v>
      </c>
      <c r="O99" s="275">
        <f>'【国内】问卷调研-数据源（P3单独执行） '!O99</f>
        <v>40.5544554455445</v>
      </c>
      <c r="Q99" s="276"/>
      <c r="R99" s="1">
        <v>101</v>
      </c>
      <c r="S99" s="99">
        <f>'【国内】问卷调研-数据源（P3单独执行） '!S99*2</f>
        <v>0</v>
      </c>
      <c r="T99" s="99">
        <v>0</v>
      </c>
      <c r="U99" s="99">
        <f t="shared" si="57"/>
        <v>2.13666666666667</v>
      </c>
      <c r="V99" s="274">
        <f t="shared" si="64"/>
        <v>2.3</v>
      </c>
      <c r="W99" s="275">
        <f>'【国内】问卷调研-数据源（P3单独执行） '!W99</f>
        <v>46.2178217821782</v>
      </c>
      <c r="Y99" s="276"/>
      <c r="Z99" s="1">
        <v>101</v>
      </c>
      <c r="AA99" s="99">
        <f>'【国内】问卷调研-数据源（P3单独执行） '!AA99*2</f>
        <v>0</v>
      </c>
      <c r="AB99" s="99">
        <v>0</v>
      </c>
      <c r="AC99" s="99">
        <f t="shared" si="58"/>
        <v>2.42</v>
      </c>
      <c r="AD99" s="274">
        <f t="shared" si="65"/>
        <v>2.4</v>
      </c>
      <c r="AE99" s="275">
        <f>'【国内】问卷调研-数据源（P3单独执行） '!AE99</f>
        <v>51.8811881188119</v>
      </c>
      <c r="AG99" s="276"/>
      <c r="AH99" s="1">
        <v>101</v>
      </c>
      <c r="AI99" s="99">
        <f>'【国内】问卷调研-数据源（P3单独执行） '!AI99*2</f>
        <v>0</v>
      </c>
      <c r="AJ99" s="99">
        <v>0</v>
      </c>
      <c r="AK99" s="99">
        <f t="shared" si="59"/>
        <v>2.70333333333333</v>
      </c>
      <c r="AL99" s="274">
        <f t="shared" si="66"/>
        <v>2.5</v>
      </c>
      <c r="AM99" s="275">
        <f>'【国内】问卷调研-数据源（P3单独执行） '!AM99</f>
        <v>57.5445544554455</v>
      </c>
      <c r="AO99" s="276"/>
      <c r="AP99" s="1">
        <v>101</v>
      </c>
      <c r="AQ99" s="99">
        <f>'【国内】问卷调研-数据源（P3单独执行） '!AQ99*2</f>
        <v>0</v>
      </c>
      <c r="AR99" s="99">
        <v>0</v>
      </c>
      <c r="AS99" s="99">
        <f t="shared" si="60"/>
        <v>2.98666666666667</v>
      </c>
      <c r="AT99" s="274">
        <f t="shared" si="67"/>
        <v>2.6</v>
      </c>
      <c r="AU99" s="275">
        <f>'【国内】问卷调研-数据源（P3单独执行） '!AU99</f>
        <v>63.2079207920792</v>
      </c>
      <c r="AV99" s="1"/>
      <c r="AW99" s="276"/>
      <c r="AX99" s="1">
        <v>101</v>
      </c>
      <c r="AY99" s="99">
        <f>'【国内】问卷调研-数据源（P3单独执行） '!AY99*2</f>
        <v>0</v>
      </c>
      <c r="AZ99" s="99">
        <v>0</v>
      </c>
      <c r="BA99" s="99">
        <f t="shared" si="61"/>
        <v>3.245</v>
      </c>
      <c r="BB99" s="274">
        <f t="shared" si="68"/>
        <v>2.7</v>
      </c>
      <c r="BC99" s="275">
        <f>'【国内】问卷调研-数据源（P3单独执行） '!BC99</f>
        <v>68.5742574257426</v>
      </c>
    </row>
    <row r="100" spans="2:55">
      <c r="B100" s="1">
        <v>201</v>
      </c>
      <c r="C100" s="99">
        <f>'【国内】问卷调研-数据源（P3单独执行） '!C100*2</f>
        <v>0</v>
      </c>
      <c r="D100" s="99">
        <v>0</v>
      </c>
      <c r="E100" s="99">
        <f t="shared" si="55"/>
        <v>2.497</v>
      </c>
      <c r="F100" s="274">
        <f t="shared" si="62"/>
        <v>2.6</v>
      </c>
      <c r="G100" s="275">
        <f>'【国内】问卷调研-数据源（P3单独执行） '!G100</f>
        <v>28.7880597014925</v>
      </c>
      <c r="I100" s="276"/>
      <c r="J100" s="1">
        <v>201</v>
      </c>
      <c r="K100" s="99">
        <f>'【国内】问卷调研-数据源（P3单独执行） '!K100*2</f>
        <v>0</v>
      </c>
      <c r="L100" s="99">
        <v>0</v>
      </c>
      <c r="M100" s="99">
        <f t="shared" si="56"/>
        <v>2.78033333333333</v>
      </c>
      <c r="N100" s="274">
        <f t="shared" si="63"/>
        <v>2.7</v>
      </c>
      <c r="O100" s="275">
        <f>'【国内】问卷调研-数据源（P3单独执行） '!O100</f>
        <v>32.628855721393</v>
      </c>
      <c r="Q100" s="276"/>
      <c r="R100" s="1">
        <v>201</v>
      </c>
      <c r="S100" s="99">
        <f>'【国内】问卷调研-数据源（P3单独执行） '!S100*2</f>
        <v>0</v>
      </c>
      <c r="T100" s="99">
        <v>0</v>
      </c>
      <c r="U100" s="99">
        <f t="shared" si="57"/>
        <v>3.06366666666667</v>
      </c>
      <c r="V100" s="274">
        <f t="shared" si="64"/>
        <v>2.8</v>
      </c>
      <c r="W100" s="275">
        <f>'【国内】问卷调研-数据源（P3单独执行） '!W100</f>
        <v>36.4696517412935</v>
      </c>
      <c r="Y100" s="276"/>
      <c r="Z100" s="1">
        <v>201</v>
      </c>
      <c r="AA100" s="99">
        <f>'【国内】问卷调研-数据源（P3单独执行） '!AA100*2</f>
        <v>0</v>
      </c>
      <c r="AB100" s="99">
        <v>0</v>
      </c>
      <c r="AC100" s="99">
        <f t="shared" si="58"/>
        <v>3.347</v>
      </c>
      <c r="AD100" s="274">
        <f t="shared" si="65"/>
        <v>2.9</v>
      </c>
      <c r="AE100" s="275">
        <f>'【国内】问卷调研-数据源（P3单独执行） '!AE100</f>
        <v>40.310447761194</v>
      </c>
      <c r="AG100" s="276"/>
      <c r="AH100" s="1">
        <v>201</v>
      </c>
      <c r="AI100" s="99">
        <f>'【国内】问卷调研-数据源（P3单独执行） '!AI100*2</f>
        <v>0</v>
      </c>
      <c r="AJ100" s="99">
        <v>0</v>
      </c>
      <c r="AK100" s="99">
        <f t="shared" si="59"/>
        <v>3.63033333333333</v>
      </c>
      <c r="AL100" s="274">
        <f t="shared" si="66"/>
        <v>3</v>
      </c>
      <c r="AM100" s="275">
        <f>'【国内】问卷调研-数据源（P3单独执行） '!AM100</f>
        <v>44.1512437810945</v>
      </c>
      <c r="AO100" s="276"/>
      <c r="AP100" s="1">
        <v>201</v>
      </c>
      <c r="AQ100" s="99">
        <f>'【国内】问卷调研-数据源（P3单独执行） '!AQ100*2</f>
        <v>0</v>
      </c>
      <c r="AR100" s="99">
        <v>0</v>
      </c>
      <c r="AS100" s="99">
        <f t="shared" si="60"/>
        <v>3.91366666666667</v>
      </c>
      <c r="AT100" s="274">
        <f t="shared" si="67"/>
        <v>3.1</v>
      </c>
      <c r="AU100" s="275">
        <f>'【国内】问卷调研-数据源（P3单独执行） '!AU100</f>
        <v>47.992039800995</v>
      </c>
      <c r="AV100" s="1"/>
      <c r="AW100" s="276"/>
      <c r="AX100" s="1">
        <v>201</v>
      </c>
      <c r="AY100" s="99">
        <f>'【国内】问卷调研-数据源（P3单独执行） '!AY100*2</f>
        <v>0</v>
      </c>
      <c r="AZ100" s="99">
        <v>0</v>
      </c>
      <c r="BA100" s="99">
        <f t="shared" si="61"/>
        <v>4.172</v>
      </c>
      <c r="BB100" s="274">
        <f t="shared" si="68"/>
        <v>3.2</v>
      </c>
      <c r="BC100" s="275">
        <f>'【国内】问卷调研-数据源（P3单独执行） '!BC100</f>
        <v>51.6835820895522</v>
      </c>
    </row>
    <row r="101" spans="2:55">
      <c r="B101" s="1">
        <v>301</v>
      </c>
      <c r="C101" s="99">
        <f>'【国内】问卷调研-数据源（混合执行）  (2)'!C101*1.8</f>
        <v>0.18</v>
      </c>
      <c r="D101" s="99">
        <v>0</v>
      </c>
      <c r="E101" s="99">
        <f t="shared" si="55"/>
        <v>2.19666666666667</v>
      </c>
      <c r="F101" s="274">
        <f t="shared" si="62"/>
        <v>2.9</v>
      </c>
      <c r="G101" s="275">
        <f>'【国内】问卷调研-数据源（P3单独执行） '!G101</f>
        <v>25.1760797342193</v>
      </c>
      <c r="I101" s="276"/>
      <c r="J101" s="1">
        <v>301</v>
      </c>
      <c r="K101" s="99">
        <f>'【国内】问卷调研-数据源（混合执行）  (2)'!K101*1.8</f>
        <v>0.18</v>
      </c>
      <c r="L101" s="99">
        <v>0</v>
      </c>
      <c r="M101" s="99">
        <f t="shared" si="56"/>
        <v>2.48</v>
      </c>
      <c r="N101" s="274">
        <f t="shared" si="63"/>
        <v>3</v>
      </c>
      <c r="O101" s="275">
        <f>'【国内】问卷调研-数据源（P3单独执行） '!O101</f>
        <v>28.4053156146179</v>
      </c>
      <c r="Q101" s="276"/>
      <c r="R101" s="1">
        <v>301</v>
      </c>
      <c r="S101" s="99">
        <f>'【国内】问卷调研-数据源（混合执行）  (2)'!S101*1.8</f>
        <v>0.18</v>
      </c>
      <c r="T101" s="99">
        <v>0</v>
      </c>
      <c r="U101" s="99">
        <f t="shared" si="57"/>
        <v>2.76333333333333</v>
      </c>
      <c r="V101" s="274">
        <f t="shared" si="64"/>
        <v>3.1</v>
      </c>
      <c r="W101" s="275">
        <f>'【国内】问卷调研-数据源（P3单独执行） '!W101</f>
        <v>31.6345514950166</v>
      </c>
      <c r="Y101" s="276"/>
      <c r="Z101" s="1">
        <v>301</v>
      </c>
      <c r="AA101" s="99">
        <f>'【国内】问卷调研-数据源（混合执行）  (2)'!AA101*1.8</f>
        <v>0.18</v>
      </c>
      <c r="AB101" s="99">
        <v>0</v>
      </c>
      <c r="AC101" s="99">
        <f t="shared" si="58"/>
        <v>3.04666666666667</v>
      </c>
      <c r="AD101" s="274">
        <f t="shared" si="65"/>
        <v>3.2</v>
      </c>
      <c r="AE101" s="275">
        <f>'【国内】问卷调研-数据源（P3单独执行） '!AE101</f>
        <v>34.8637873754153</v>
      </c>
      <c r="AG101" s="276"/>
      <c r="AH101" s="1">
        <v>301</v>
      </c>
      <c r="AI101" s="99">
        <f>'【国内】问卷调研-数据源（混合执行）  (2)'!AI101*1.8</f>
        <v>0.18</v>
      </c>
      <c r="AJ101" s="99">
        <v>0</v>
      </c>
      <c r="AK101" s="99">
        <f t="shared" si="59"/>
        <v>3.33</v>
      </c>
      <c r="AL101" s="274">
        <f t="shared" si="66"/>
        <v>3.3</v>
      </c>
      <c r="AM101" s="275">
        <f>'【国内】问卷调研-数据源（P3单独执行） '!AM101</f>
        <v>38.093023255814</v>
      </c>
      <c r="AO101" s="276"/>
      <c r="AP101" s="1">
        <v>301</v>
      </c>
      <c r="AQ101" s="99">
        <f>'【国内】问卷调研-数据源（混合执行）  (2)'!AQ101*1.8</f>
        <v>0.18</v>
      </c>
      <c r="AR101" s="99">
        <v>0</v>
      </c>
      <c r="AS101" s="99">
        <f t="shared" si="60"/>
        <v>3.61333333333333</v>
      </c>
      <c r="AT101" s="274">
        <f t="shared" si="67"/>
        <v>3.4</v>
      </c>
      <c r="AU101" s="275">
        <f>'【国内】问卷调研-数据源（P3单独执行） '!AU101</f>
        <v>41.3222591362126</v>
      </c>
      <c r="AV101" s="1"/>
      <c r="AW101" s="276"/>
      <c r="AX101" s="1">
        <v>301</v>
      </c>
      <c r="AY101" s="99">
        <f>'【国内】问卷调研-数据源（混合执行）  (2)'!AY101*1.8</f>
        <v>0.18</v>
      </c>
      <c r="AZ101" s="99">
        <v>0</v>
      </c>
      <c r="BA101" s="99">
        <f t="shared" si="61"/>
        <v>3.87166666666667</v>
      </c>
      <c r="BB101" s="274">
        <f t="shared" si="68"/>
        <v>3.5</v>
      </c>
      <c r="BC101" s="275">
        <f>'【国内】问卷调研-数据源（P3单独执行） '!BC101</f>
        <v>44.4518272425249</v>
      </c>
    </row>
    <row r="102" spans="2:55">
      <c r="B102" s="1">
        <v>501</v>
      </c>
      <c r="C102" s="99">
        <f>'【国内】问卷调研-数据源（混合执行）  (2)'!C102*1.8</f>
        <v>0.54</v>
      </c>
      <c r="D102" s="99">
        <v>0</v>
      </c>
      <c r="E102" s="99">
        <f t="shared" si="55"/>
        <v>2.337</v>
      </c>
      <c r="F102" s="274">
        <f t="shared" si="62"/>
        <v>3.1</v>
      </c>
      <c r="G102" s="275">
        <f>'【国内】问卷调研-数据源（P3单独执行） '!G102</f>
        <v>23.8131736526946</v>
      </c>
      <c r="I102" s="276"/>
      <c r="J102" s="1">
        <v>501</v>
      </c>
      <c r="K102" s="99">
        <f>'【国内】问卷调研-数据源（混合执行）  (2)'!K102*1.8</f>
        <v>0.54</v>
      </c>
      <c r="L102" s="99">
        <v>0</v>
      </c>
      <c r="M102" s="99">
        <f t="shared" si="56"/>
        <v>2.62033333333333</v>
      </c>
      <c r="N102" s="274">
        <f t="shared" si="63"/>
        <v>3.2</v>
      </c>
      <c r="O102" s="275">
        <f>'【国内】问卷调研-数据源（P3单独执行） '!O102</f>
        <v>26.5516966067864</v>
      </c>
      <c r="Q102" s="276"/>
      <c r="R102" s="1">
        <v>501</v>
      </c>
      <c r="S102" s="99">
        <f>'【国内】问卷调研-数据源（混合执行）  (2)'!S102*1.8</f>
        <v>0.54</v>
      </c>
      <c r="T102" s="99">
        <v>0</v>
      </c>
      <c r="U102" s="99">
        <f t="shared" si="57"/>
        <v>2.90366666666667</v>
      </c>
      <c r="V102" s="274">
        <f t="shared" si="64"/>
        <v>3.3</v>
      </c>
      <c r="W102" s="275">
        <f>'【国内】问卷调研-数据源（P3单独执行） '!W102</f>
        <v>29.2902195608782</v>
      </c>
      <c r="Y102" s="276"/>
      <c r="Z102" s="1">
        <v>501</v>
      </c>
      <c r="AA102" s="99">
        <f>'【国内】问卷调研-数据源（混合执行）  (2)'!AA102*1.8</f>
        <v>0.54</v>
      </c>
      <c r="AB102" s="99">
        <v>0</v>
      </c>
      <c r="AC102" s="99">
        <f t="shared" si="58"/>
        <v>3.187</v>
      </c>
      <c r="AD102" s="274">
        <f t="shared" si="65"/>
        <v>3.4</v>
      </c>
      <c r="AE102" s="275">
        <f>'【国内】问卷调研-数据源（P3单独执行） '!AE102</f>
        <v>32.0287425149701</v>
      </c>
      <c r="AG102" s="276"/>
      <c r="AH102" s="1">
        <v>501</v>
      </c>
      <c r="AI102" s="99">
        <f>'【国内】问卷调研-数据源（混合执行）  (2)'!AI102*1.8</f>
        <v>0.54</v>
      </c>
      <c r="AJ102" s="99">
        <v>0</v>
      </c>
      <c r="AK102" s="99">
        <f t="shared" si="59"/>
        <v>3.47033333333333</v>
      </c>
      <c r="AL102" s="274">
        <f t="shared" si="66"/>
        <v>3.5</v>
      </c>
      <c r="AM102" s="275">
        <f>'【国内】问卷调研-数据源（P3单独执行） '!AM102</f>
        <v>34.7672654690619</v>
      </c>
      <c r="AO102" s="276"/>
      <c r="AP102" s="1">
        <v>501</v>
      </c>
      <c r="AQ102" s="99">
        <f>'【国内】问卷调研-数据源（混合执行）  (2)'!AQ102*1.8</f>
        <v>0.54</v>
      </c>
      <c r="AR102" s="99">
        <v>0</v>
      </c>
      <c r="AS102" s="99">
        <f t="shared" si="60"/>
        <v>3.75366666666667</v>
      </c>
      <c r="AT102" s="274">
        <f t="shared" si="67"/>
        <v>3.6</v>
      </c>
      <c r="AU102" s="275">
        <f>'【国内】问卷调研-数据源（P3单独执行） '!AU102</f>
        <v>37.5057884231537</v>
      </c>
      <c r="AV102" s="1"/>
      <c r="AW102" s="276"/>
      <c r="AX102" s="1">
        <v>501</v>
      </c>
      <c r="AY102" s="99">
        <f>'【国内】问卷调研-数据源（混合执行）  (2)'!AY102*1.8</f>
        <v>0.54</v>
      </c>
      <c r="AZ102" s="99">
        <v>0</v>
      </c>
      <c r="BA102" s="99">
        <f t="shared" si="61"/>
        <v>4.012</v>
      </c>
      <c r="BB102" s="274">
        <f t="shared" si="68"/>
        <v>3.7</v>
      </c>
      <c r="BC102" s="275">
        <f>'【国内】问卷调研-数据源（P3单独执行） '!BC102</f>
        <v>40.1844311377246</v>
      </c>
    </row>
    <row r="103" spans="2:55">
      <c r="B103" s="1">
        <v>701</v>
      </c>
      <c r="C103" s="99">
        <f>'【国内】问卷调研-数据源（混合执行）  (2)'!C103*1.8</f>
        <v>0.72</v>
      </c>
      <c r="D103" s="99">
        <v>0</v>
      </c>
      <c r="E103" s="99">
        <f t="shared" si="55"/>
        <v>1.98666666666667</v>
      </c>
      <c r="F103" s="274">
        <f t="shared" si="62"/>
        <v>3.6</v>
      </c>
      <c r="G103" s="275">
        <f>'【国内】问卷调研-数据源（P3单独执行） '!G103</f>
        <v>21.0014265335235</v>
      </c>
      <c r="I103" s="276"/>
      <c r="J103" s="1">
        <v>701</v>
      </c>
      <c r="K103" s="99">
        <f>'【国内】问卷调研-数据源（混合执行）  (2)'!K103*1.8</f>
        <v>0.72</v>
      </c>
      <c r="L103" s="99">
        <v>0</v>
      </c>
      <c r="M103" s="99">
        <f t="shared" si="56"/>
        <v>2.27</v>
      </c>
      <c r="N103" s="274">
        <f t="shared" si="63"/>
        <v>3.7</v>
      </c>
      <c r="O103" s="275">
        <f>'【国内】问卷调研-数据源（P3单独执行） '!O103</f>
        <v>23.5292439372325</v>
      </c>
      <c r="Q103" s="276"/>
      <c r="R103" s="1">
        <v>701</v>
      </c>
      <c r="S103" s="99">
        <f>'【国内】问卷调研-数据源（混合执行）  (2)'!S103*1.8</f>
        <v>0.72</v>
      </c>
      <c r="T103" s="99">
        <v>0</v>
      </c>
      <c r="U103" s="99">
        <f t="shared" si="57"/>
        <v>2.55333333333333</v>
      </c>
      <c r="V103" s="274">
        <f t="shared" si="64"/>
        <v>3.8</v>
      </c>
      <c r="W103" s="275">
        <f>'【国内】问卷调研-数据源（P3单独执行） '!W103</f>
        <v>26.0570613409415</v>
      </c>
      <c r="Y103" s="276"/>
      <c r="Z103" s="1">
        <v>701</v>
      </c>
      <c r="AA103" s="99">
        <f>'【国内】问卷调研-数据源（混合执行）  (2)'!AA103*1.8</f>
        <v>0.72</v>
      </c>
      <c r="AB103" s="99">
        <v>0</v>
      </c>
      <c r="AC103" s="99">
        <f t="shared" si="58"/>
        <v>2.83666666666667</v>
      </c>
      <c r="AD103" s="274">
        <f t="shared" si="65"/>
        <v>3.9</v>
      </c>
      <c r="AE103" s="275">
        <f>'【国内】问卷调研-数据源（P3单独执行） '!AE103</f>
        <v>28.5848787446505</v>
      </c>
      <c r="AG103" s="276"/>
      <c r="AH103" s="1">
        <v>701</v>
      </c>
      <c r="AI103" s="99">
        <f>'【国内】问卷调研-数据源（混合执行）  (2)'!AI103*1.8</f>
        <v>0.72</v>
      </c>
      <c r="AJ103" s="99">
        <v>0</v>
      </c>
      <c r="AK103" s="99">
        <f t="shared" si="59"/>
        <v>3.12</v>
      </c>
      <c r="AL103" s="274">
        <f t="shared" si="66"/>
        <v>4</v>
      </c>
      <c r="AM103" s="275">
        <f>'【国内】问卷调研-数据源（P3单独执行） '!AM103</f>
        <v>31.1126961483595</v>
      </c>
      <c r="AO103" s="276"/>
      <c r="AP103" s="1">
        <v>701</v>
      </c>
      <c r="AQ103" s="99">
        <f>'【国内】问卷调研-数据源（混合执行）  (2)'!AQ103*1.8</f>
        <v>0.72</v>
      </c>
      <c r="AR103" s="99">
        <v>0</v>
      </c>
      <c r="AS103" s="99">
        <f t="shared" si="60"/>
        <v>3.40333333333334</v>
      </c>
      <c r="AT103" s="274">
        <f t="shared" si="67"/>
        <v>4.1</v>
      </c>
      <c r="AU103" s="275">
        <f>'【国内】问卷调研-数据源（P3单独执行） '!AU103</f>
        <v>33.6405135520685</v>
      </c>
      <c r="AV103" s="1"/>
      <c r="AW103" s="276"/>
      <c r="AX103" s="1">
        <v>701</v>
      </c>
      <c r="AY103" s="99">
        <f>'【国内】问卷调研-数据源（混合执行）  (2)'!AY103*1.8</f>
        <v>0.72</v>
      </c>
      <c r="AZ103" s="99">
        <v>0</v>
      </c>
      <c r="BA103" s="99">
        <f t="shared" si="61"/>
        <v>3.66166666666667</v>
      </c>
      <c r="BB103" s="274">
        <f t="shared" si="68"/>
        <v>4.2</v>
      </c>
      <c r="BC103" s="275">
        <f>'【国内】问卷调研-数据源（P3单独执行） '!BC103</f>
        <v>36.1255349500713</v>
      </c>
    </row>
    <row r="104" spans="2:55">
      <c r="B104" s="1">
        <v>901</v>
      </c>
      <c r="C104" s="99">
        <f>'【国内】问卷调研-数据源（混合执行）  (2)'!C104*1.8</f>
        <v>0.72</v>
      </c>
      <c r="D104" s="99">
        <v>0</v>
      </c>
      <c r="E104" s="99">
        <f t="shared" si="55"/>
        <v>2.81366666666667</v>
      </c>
      <c r="F104" s="274">
        <f t="shared" si="62"/>
        <v>4.1</v>
      </c>
      <c r="G104" s="275">
        <f>'【国内】问卷调研-数据源（P3单独执行） '!G104</f>
        <v>19.8273029966704</v>
      </c>
      <c r="I104" s="276"/>
      <c r="J104" s="1">
        <v>901</v>
      </c>
      <c r="K104" s="99">
        <f>'【国内】问卷调研-数据源（混合执行）  (2)'!K104*1.8</f>
        <v>0.72</v>
      </c>
      <c r="L104" s="99">
        <v>0</v>
      </c>
      <c r="M104" s="99">
        <f t="shared" si="56"/>
        <v>3.097</v>
      </c>
      <c r="N104" s="274">
        <f t="shared" si="63"/>
        <v>4.2</v>
      </c>
      <c r="O104" s="275">
        <f>'【国内】问卷调研-数据源（P3单独执行） '!O104</f>
        <v>22.2379578246393</v>
      </c>
      <c r="Q104" s="276"/>
      <c r="R104" s="1">
        <v>901</v>
      </c>
      <c r="S104" s="99">
        <f>'【国内】问卷调研-数据源（混合执行）  (2)'!S104*1.8</f>
        <v>0.72</v>
      </c>
      <c r="T104" s="99">
        <v>0</v>
      </c>
      <c r="U104" s="99">
        <f t="shared" si="57"/>
        <v>3.38033333333333</v>
      </c>
      <c r="V104" s="274">
        <f t="shared" si="64"/>
        <v>4.3</v>
      </c>
      <c r="W104" s="275">
        <f>'【国内】问卷调研-数据源（P3单独执行） '!W104</f>
        <v>24.6486126526082</v>
      </c>
      <c r="Y104" s="276"/>
      <c r="Z104" s="1">
        <v>901</v>
      </c>
      <c r="AA104" s="99">
        <f>'【国内】问卷调研-数据源（混合执行）  (2)'!AA104*1.8</f>
        <v>0.72</v>
      </c>
      <c r="AB104" s="99">
        <v>0</v>
      </c>
      <c r="AC104" s="99">
        <f t="shared" si="58"/>
        <v>3.66366666666667</v>
      </c>
      <c r="AD104" s="274">
        <f t="shared" si="65"/>
        <v>4.4</v>
      </c>
      <c r="AE104" s="275">
        <f>'【国内】问卷调研-数据源（P3单独执行） '!AE104</f>
        <v>27.0592674805771</v>
      </c>
      <c r="AG104" s="276"/>
      <c r="AH104" s="1">
        <v>901</v>
      </c>
      <c r="AI104" s="99">
        <f>'【国内】问卷调研-数据源（混合执行）  (2)'!AI104*1.8</f>
        <v>0.72</v>
      </c>
      <c r="AJ104" s="99">
        <v>0</v>
      </c>
      <c r="AK104" s="99">
        <f t="shared" si="59"/>
        <v>3.947</v>
      </c>
      <c r="AL104" s="274">
        <f t="shared" si="66"/>
        <v>4.5</v>
      </c>
      <c r="AM104" s="275">
        <f>'【国内】问卷调研-数据源（P3单独执行） '!AM104</f>
        <v>29.4699223085461</v>
      </c>
      <c r="AO104" s="276"/>
      <c r="AP104" s="1">
        <v>901</v>
      </c>
      <c r="AQ104" s="99">
        <f>'【国内】问卷调研-数据源（混合执行）  (2)'!AQ104*1.8</f>
        <v>0.72</v>
      </c>
      <c r="AR104" s="99">
        <v>0</v>
      </c>
      <c r="AS104" s="99">
        <f t="shared" si="60"/>
        <v>4.23033333333333</v>
      </c>
      <c r="AT104" s="274">
        <f t="shared" si="67"/>
        <v>4.6</v>
      </c>
      <c r="AU104" s="275">
        <f>'【国内】问卷调研-数据源（P3单独执行） '!AU104</f>
        <v>31.880577136515</v>
      </c>
      <c r="AV104" s="1"/>
      <c r="AW104" s="276"/>
      <c r="AX104" s="1">
        <v>901</v>
      </c>
      <c r="AY104" s="99">
        <f>'【国内】问卷调研-数据源（混合执行）  (2)'!AY104*1.8</f>
        <v>0.72</v>
      </c>
      <c r="AZ104" s="99">
        <v>0</v>
      </c>
      <c r="BA104" s="99">
        <f t="shared" si="61"/>
        <v>4.48866666666667</v>
      </c>
      <c r="BB104" s="274">
        <f t="shared" si="68"/>
        <v>4.7</v>
      </c>
      <c r="BC104" s="275">
        <f>'【国内】问卷调研-数据源（P3单独执行） '!BC104</f>
        <v>34.257935627081</v>
      </c>
    </row>
    <row r="105" spans="2:55">
      <c r="B105" s="1">
        <v>1001</v>
      </c>
      <c r="C105" s="99">
        <f>'【国内】问卷调研-数据源（混合执行）  (2)'!C105*1.8</f>
        <v>0.9</v>
      </c>
      <c r="D105" s="99">
        <v>0</v>
      </c>
      <c r="E105" s="99">
        <f t="shared" si="55"/>
        <v>2.98</v>
      </c>
      <c r="F105" s="274">
        <f t="shared" si="62"/>
        <v>4.6</v>
      </c>
      <c r="G105" s="275">
        <f>'【国内】问卷调研-数据源（P3单独执行） '!G105</f>
        <v>20.2557442557443</v>
      </c>
      <c r="I105" s="276"/>
      <c r="J105" s="1">
        <v>1001</v>
      </c>
      <c r="K105" s="99">
        <f>'【国内】问卷调研-数据源（混合执行）  (2)'!K105*1.8</f>
        <v>0.9</v>
      </c>
      <c r="L105" s="99">
        <v>0</v>
      </c>
      <c r="M105" s="99">
        <f t="shared" si="56"/>
        <v>3.26333333333333</v>
      </c>
      <c r="N105" s="274">
        <f t="shared" si="63"/>
        <v>4.7</v>
      </c>
      <c r="O105" s="275">
        <f>'【国内】问卷调研-数据源（P3单独执行） '!O105</f>
        <v>22.6253746253746</v>
      </c>
      <c r="Q105" s="276"/>
      <c r="R105" s="1">
        <v>1001</v>
      </c>
      <c r="S105" s="99">
        <f>'【国内】问卷调研-数据源（混合执行）  (2)'!S105*1.8</f>
        <v>0.9</v>
      </c>
      <c r="T105" s="99">
        <v>0</v>
      </c>
      <c r="U105" s="99">
        <f t="shared" si="57"/>
        <v>3.54666666666667</v>
      </c>
      <c r="V105" s="274">
        <f t="shared" si="64"/>
        <v>4.8</v>
      </c>
      <c r="W105" s="275">
        <f>'【国内】问卷调研-数据源（P3单独执行） '!W105</f>
        <v>24.995004995005</v>
      </c>
      <c r="Y105" s="276"/>
      <c r="Z105" s="1">
        <v>1001</v>
      </c>
      <c r="AA105" s="99">
        <f>'【国内】问卷调研-数据源（混合执行）  (2)'!AA105*1.8</f>
        <v>0.9</v>
      </c>
      <c r="AB105" s="99">
        <v>0</v>
      </c>
      <c r="AC105" s="99">
        <f t="shared" si="58"/>
        <v>3.83</v>
      </c>
      <c r="AD105" s="274">
        <f t="shared" si="65"/>
        <v>4.9</v>
      </c>
      <c r="AE105" s="275">
        <f>'【国内】问卷调研-数据源（P3单独执行） '!AE105</f>
        <v>27.3646353646354</v>
      </c>
      <c r="AG105" s="276"/>
      <c r="AH105" s="1">
        <v>1001</v>
      </c>
      <c r="AI105" s="99">
        <f>'【国内】问卷调研-数据源（混合执行）  (2)'!AI105*1.8</f>
        <v>0.9</v>
      </c>
      <c r="AJ105" s="99">
        <v>0</v>
      </c>
      <c r="AK105" s="99">
        <f t="shared" si="59"/>
        <v>4.11333333333333</v>
      </c>
      <c r="AL105" s="274">
        <f t="shared" si="66"/>
        <v>5</v>
      </c>
      <c r="AM105" s="275">
        <f>'【国内】问卷调研-数据源（P3单独执行） '!AM105</f>
        <v>29.7342657342657</v>
      </c>
      <c r="AO105" s="276"/>
      <c r="AP105" s="1">
        <v>1001</v>
      </c>
      <c r="AQ105" s="99">
        <f>'【国内】问卷调研-数据源（混合执行）  (2)'!AQ105*1.8</f>
        <v>0.9</v>
      </c>
      <c r="AR105" s="99">
        <v>0</v>
      </c>
      <c r="AS105" s="99">
        <f t="shared" si="60"/>
        <v>4.39666666666667</v>
      </c>
      <c r="AT105" s="274">
        <f t="shared" si="67"/>
        <v>5.1</v>
      </c>
      <c r="AU105" s="275">
        <f>'【国内】问卷调研-数据源（P3单独执行） '!AU105</f>
        <v>32.1038961038961</v>
      </c>
      <c r="AV105" s="1"/>
      <c r="AW105" s="276"/>
      <c r="AX105" s="1">
        <v>1001</v>
      </c>
      <c r="AY105" s="99">
        <f>'【国内】问卷调研-数据源（混合执行）  (2)'!AY105*1.8</f>
        <v>0.9</v>
      </c>
      <c r="AZ105" s="99">
        <v>0</v>
      </c>
      <c r="BA105" s="99">
        <f t="shared" si="61"/>
        <v>4.655</v>
      </c>
      <c r="BB105" s="274">
        <f t="shared" si="68"/>
        <v>5.2</v>
      </c>
      <c r="BC105" s="275">
        <f>'【国内】问卷调研-数据源（P3单独执行） '!BC105</f>
        <v>34.4435564435564</v>
      </c>
    </row>
    <row r="106" spans="2:55">
      <c r="B106" s="1">
        <v>1201</v>
      </c>
      <c r="C106" s="99">
        <f>'【国内】问卷调研-数据源（混合执行）  (2)'!C106*1.8</f>
        <v>0.9</v>
      </c>
      <c r="D106" s="99">
        <v>0</v>
      </c>
      <c r="E106" s="99">
        <f t="shared" si="55"/>
        <v>3.22233333333334</v>
      </c>
      <c r="F106" s="274">
        <f t="shared" si="62"/>
        <v>5.1</v>
      </c>
      <c r="G106" s="275">
        <f>'【国内】问卷调研-数据源（P3单独执行） '!G106</f>
        <v>18.9149042464613</v>
      </c>
      <c r="I106" s="276"/>
      <c r="J106" s="1">
        <v>1201</v>
      </c>
      <c r="K106" s="99">
        <f>'【国内】问卷调研-数据源（混合执行）  (2)'!K106*1.8</f>
        <v>0.9</v>
      </c>
      <c r="L106" s="99">
        <v>0</v>
      </c>
      <c r="M106" s="99">
        <f t="shared" si="56"/>
        <v>3.50566666666667</v>
      </c>
      <c r="N106" s="274">
        <f t="shared" si="63"/>
        <v>5.2</v>
      </c>
      <c r="O106" s="275">
        <f>'【国内】问卷调研-数据源（P3单独执行） '!O106</f>
        <v>21.2229808492923</v>
      </c>
      <c r="Q106" s="276"/>
      <c r="R106" s="1">
        <v>1201</v>
      </c>
      <c r="S106" s="99">
        <f>'【国内】问卷调研-数据源（混合执行）  (2)'!S106*1.8</f>
        <v>0.9</v>
      </c>
      <c r="T106" s="99">
        <v>0</v>
      </c>
      <c r="U106" s="99">
        <f t="shared" si="57"/>
        <v>3.789</v>
      </c>
      <c r="V106" s="274">
        <f t="shared" si="64"/>
        <v>5.3</v>
      </c>
      <c r="W106" s="275">
        <f>'【国内】问卷调研-数据源（P3单独执行） '!W106</f>
        <v>23.5310574521232</v>
      </c>
      <c r="Y106" s="276"/>
      <c r="Z106" s="1">
        <v>1201</v>
      </c>
      <c r="AA106" s="99">
        <f>'【国内】问卷调研-数据源（混合执行）  (2)'!AA106*1.8</f>
        <v>0.9</v>
      </c>
      <c r="AB106" s="99">
        <v>0</v>
      </c>
      <c r="AC106" s="99">
        <f t="shared" si="58"/>
        <v>4.07233333333334</v>
      </c>
      <c r="AD106" s="274">
        <f t="shared" si="65"/>
        <v>5.4</v>
      </c>
      <c r="AE106" s="275">
        <f>'【国内】问卷调研-数据源（P3单独执行） '!AE106</f>
        <v>25.8391340549542</v>
      </c>
      <c r="AG106" s="276"/>
      <c r="AH106" s="1">
        <v>1201</v>
      </c>
      <c r="AI106" s="99">
        <f>'【国内】问卷调研-数据源（混合执行）  (2)'!AI106*1.8</f>
        <v>0.9</v>
      </c>
      <c r="AJ106" s="99">
        <v>0</v>
      </c>
      <c r="AK106" s="99">
        <f t="shared" si="59"/>
        <v>4.35566666666667</v>
      </c>
      <c r="AL106" s="274">
        <f t="shared" si="66"/>
        <v>5.5</v>
      </c>
      <c r="AM106" s="275">
        <f>'【国内】问卷调研-数据源（P3单独执行） '!AM106</f>
        <v>28.1472106577852</v>
      </c>
      <c r="AO106" s="276"/>
      <c r="AP106" s="1">
        <v>1201</v>
      </c>
      <c r="AQ106" s="99">
        <f>'【国内】问卷调研-数据源（混合执行）  (2)'!AQ106*1.8</f>
        <v>0.9</v>
      </c>
      <c r="AR106" s="99">
        <v>0</v>
      </c>
      <c r="AS106" s="99">
        <f t="shared" si="60"/>
        <v>4.639</v>
      </c>
      <c r="AT106" s="274">
        <f t="shared" si="67"/>
        <v>5.6</v>
      </c>
      <c r="AU106" s="275">
        <f>'【国内】问卷调研-数据源（P3单独执行） '!AU106</f>
        <v>30.4552872606162</v>
      </c>
      <c r="AV106" s="1"/>
      <c r="AW106" s="276"/>
      <c r="AX106" s="1">
        <v>1201</v>
      </c>
      <c r="AY106" s="99">
        <f>'【国内】问卷调研-数据源（混合执行）  (2)'!AY106*1.8</f>
        <v>0.9</v>
      </c>
      <c r="AZ106" s="99">
        <v>0</v>
      </c>
      <c r="BA106" s="99">
        <f t="shared" si="61"/>
        <v>4.89733333333334</v>
      </c>
      <c r="BB106" s="274">
        <f t="shared" si="68"/>
        <v>5.7</v>
      </c>
      <c r="BC106" s="275">
        <f>'【国内】问卷调研-数据源（P3单独执行） '!BC106</f>
        <v>32.7383846794338</v>
      </c>
    </row>
    <row r="107" spans="2:55">
      <c r="B107" s="1">
        <v>1401</v>
      </c>
      <c r="C107" s="99">
        <f>'【国内】问卷调研-数据源（混合执行）  (2)'!C107*1.8</f>
        <v>0.9</v>
      </c>
      <c r="D107" s="99">
        <v>0</v>
      </c>
      <c r="E107" s="99">
        <f t="shared" si="55"/>
        <v>3.43966666666667</v>
      </c>
      <c r="F107" s="274">
        <f t="shared" si="62"/>
        <v>5.6</v>
      </c>
      <c r="G107" s="275">
        <f>'【国内】问卷调研-数据源（P3单独执行） '!G107</f>
        <v>17.9354746609565</v>
      </c>
      <c r="I107" s="276"/>
      <c r="J107" s="1">
        <v>1401</v>
      </c>
      <c r="K107" s="99">
        <f>'【国内】问卷调研-数据源（混合执行）  (2)'!K107*1.8</f>
        <v>0.9</v>
      </c>
      <c r="L107" s="99">
        <v>0</v>
      </c>
      <c r="M107" s="99">
        <f t="shared" si="56"/>
        <v>3.723</v>
      </c>
      <c r="N107" s="274">
        <f t="shared" si="63"/>
        <v>5.7</v>
      </c>
      <c r="O107" s="275">
        <f>'【国内】问卷调研-数据源（P3单独执行） '!O107</f>
        <v>20.1995717344754</v>
      </c>
      <c r="Q107" s="276"/>
      <c r="R107" s="1">
        <v>1401</v>
      </c>
      <c r="S107" s="99">
        <f>'【国内】问卷调研-数据源（混合执行）  (2)'!S107*1.8</f>
        <v>0.9</v>
      </c>
      <c r="T107" s="99">
        <v>0</v>
      </c>
      <c r="U107" s="99">
        <f t="shared" si="57"/>
        <v>4.00633333333333</v>
      </c>
      <c r="V107" s="274">
        <f t="shared" si="64"/>
        <v>5.8</v>
      </c>
      <c r="W107" s="275">
        <f>'【国内】问卷调研-数据源（P3单独执行） '!W107</f>
        <v>22.4636688079943</v>
      </c>
      <c r="Y107" s="276"/>
      <c r="Z107" s="1">
        <v>1401</v>
      </c>
      <c r="AA107" s="99">
        <f>'【国内】问卷调研-数据源（混合执行）  (2)'!AA107*1.8</f>
        <v>0.9</v>
      </c>
      <c r="AB107" s="99">
        <v>0</v>
      </c>
      <c r="AC107" s="99">
        <f t="shared" si="58"/>
        <v>4.28966666666667</v>
      </c>
      <c r="AD107" s="274">
        <f t="shared" si="65"/>
        <v>5.9</v>
      </c>
      <c r="AE107" s="275">
        <f>'【国内】问卷调研-数据源（P3单独执行） '!AE107</f>
        <v>24.7277658815132</v>
      </c>
      <c r="AG107" s="276"/>
      <c r="AH107" s="1">
        <v>1401</v>
      </c>
      <c r="AI107" s="99">
        <f>'【国内】问卷调研-数据源（混合执行）  (2)'!AI107*1.8</f>
        <v>0.9</v>
      </c>
      <c r="AJ107" s="99">
        <v>0</v>
      </c>
      <c r="AK107" s="99">
        <f t="shared" si="59"/>
        <v>4.573</v>
      </c>
      <c r="AL107" s="274">
        <f t="shared" si="66"/>
        <v>6</v>
      </c>
      <c r="AM107" s="275">
        <f>'【国内】问卷调研-数据源（P3单独执行） '!AM107</f>
        <v>26.9918629550321</v>
      </c>
      <c r="AO107" s="276"/>
      <c r="AP107" s="1">
        <v>1401</v>
      </c>
      <c r="AQ107" s="99">
        <f>'【国内】问卷调研-数据源（混合执行）  (2)'!AQ107*1.8</f>
        <v>0.9</v>
      </c>
      <c r="AR107" s="99">
        <v>0</v>
      </c>
      <c r="AS107" s="99">
        <f t="shared" si="60"/>
        <v>4.85633333333334</v>
      </c>
      <c r="AT107" s="274">
        <f t="shared" si="67"/>
        <v>6.1</v>
      </c>
      <c r="AU107" s="275">
        <f>'【国内】问卷调研-数据源（P3单独执行） '!AU107</f>
        <v>29.255960028551</v>
      </c>
      <c r="AV107" s="1"/>
      <c r="AW107" s="276"/>
      <c r="AX107" s="1">
        <v>1401</v>
      </c>
      <c r="AY107" s="99">
        <f>'【国内】问卷调研-数据源（混合执行）  (2)'!AY107*1.8</f>
        <v>0.9</v>
      </c>
      <c r="AZ107" s="99">
        <v>0</v>
      </c>
      <c r="BA107" s="99">
        <f t="shared" si="61"/>
        <v>5.11466666666667</v>
      </c>
      <c r="BB107" s="274">
        <f t="shared" si="68"/>
        <v>6.2</v>
      </c>
      <c r="BC107" s="275">
        <f>'【国内】问卷调研-数据源（P3单独执行） '!BC107</f>
        <v>31.4986438258387</v>
      </c>
    </row>
    <row r="108" spans="2:55">
      <c r="B108" s="1">
        <v>1601</v>
      </c>
      <c r="C108" s="99">
        <f>'【国内】问卷调研-数据源（混合执行）  (2)'!C108*1.8</f>
        <v>0.9</v>
      </c>
      <c r="D108" s="99">
        <v>0</v>
      </c>
      <c r="E108" s="99">
        <f t="shared" si="55"/>
        <v>3.99933333333333</v>
      </c>
      <c r="F108" s="274">
        <f t="shared" si="62"/>
        <v>5.9</v>
      </c>
      <c r="G108" s="275">
        <f>'【国内】问卷调研-数据源（P3单独执行） '!G108</f>
        <v>17.4198625858838</v>
      </c>
      <c r="I108" s="276"/>
      <c r="J108" s="1">
        <v>1601</v>
      </c>
      <c r="K108" s="99">
        <f>'【国内】问卷调研-数据源（混合执行）  (2)'!K108*1.8</f>
        <v>0.9</v>
      </c>
      <c r="L108" s="99">
        <v>0</v>
      </c>
      <c r="M108" s="99">
        <f t="shared" si="56"/>
        <v>4.28266666666666</v>
      </c>
      <c r="N108" s="274">
        <f t="shared" si="63"/>
        <v>6</v>
      </c>
      <c r="O108" s="275">
        <f>'【国内】问卷调研-数据源（P3单独执行） '!O108</f>
        <v>19.6509681449094</v>
      </c>
      <c r="Q108" s="276"/>
      <c r="R108" s="1">
        <v>1601</v>
      </c>
      <c r="S108" s="99">
        <f>'【国内】问卷调研-数据源（混合执行）  (2)'!S108*1.8</f>
        <v>0.9</v>
      </c>
      <c r="T108" s="99">
        <v>0</v>
      </c>
      <c r="U108" s="99">
        <f t="shared" si="57"/>
        <v>4.566</v>
      </c>
      <c r="V108" s="274">
        <f t="shared" si="64"/>
        <v>6.1</v>
      </c>
      <c r="W108" s="275">
        <f>'【国内】问卷调研-数据源（P3单独执行） '!W108</f>
        <v>21.882073703935</v>
      </c>
      <c r="Y108" s="276"/>
      <c r="Z108" s="1">
        <v>1601</v>
      </c>
      <c r="AA108" s="99">
        <f>'【国内】问卷调研-数据源（混合执行）  (2)'!AA108*1.8</f>
        <v>0.9</v>
      </c>
      <c r="AB108" s="99">
        <v>0</v>
      </c>
      <c r="AC108" s="99">
        <f t="shared" si="58"/>
        <v>4.84933333333334</v>
      </c>
      <c r="AD108" s="274">
        <f t="shared" si="65"/>
        <v>6.2</v>
      </c>
      <c r="AE108" s="275">
        <f>'【国内】问卷调研-数据源（P3单独执行） '!AE108</f>
        <v>24.1131792629607</v>
      </c>
      <c r="AG108" s="276"/>
      <c r="AH108" s="1">
        <v>1601</v>
      </c>
      <c r="AI108" s="99">
        <f>'【国内】问卷调研-数据源（混合执行）  (2)'!AI108*1.8</f>
        <v>0.9</v>
      </c>
      <c r="AJ108" s="99">
        <v>0</v>
      </c>
      <c r="AK108" s="99">
        <f t="shared" si="59"/>
        <v>5.13266666666667</v>
      </c>
      <c r="AL108" s="274">
        <f t="shared" si="66"/>
        <v>6.3</v>
      </c>
      <c r="AM108" s="275">
        <f>'【国内】问卷调研-数据源（P3单独执行） '!AM108</f>
        <v>26.3442848219863</v>
      </c>
      <c r="AO108" s="276"/>
      <c r="AP108" s="1">
        <v>1601</v>
      </c>
      <c r="AQ108" s="99">
        <f>'【国内】问卷调研-数据源（混合执行）  (2)'!AQ108*1.8</f>
        <v>0.9</v>
      </c>
      <c r="AR108" s="99">
        <v>0</v>
      </c>
      <c r="AS108" s="99">
        <f t="shared" si="60"/>
        <v>5.416</v>
      </c>
      <c r="AT108" s="274">
        <f t="shared" si="67"/>
        <v>6.4</v>
      </c>
      <c r="AU108" s="275">
        <f>'【国内】问卷调研-数据源（P3单独执行） '!AU108</f>
        <v>28.5753903810119</v>
      </c>
      <c r="AV108" s="1"/>
      <c r="AW108" s="276"/>
      <c r="AX108" s="1">
        <v>1601</v>
      </c>
      <c r="AY108" s="99">
        <f>'【国内】问卷调研-数据源（混合执行）  (2)'!AY108*1.8</f>
        <v>0.9</v>
      </c>
      <c r="AZ108" s="99">
        <v>0</v>
      </c>
      <c r="BA108" s="99">
        <f t="shared" si="61"/>
        <v>5.67433333333334</v>
      </c>
      <c r="BB108" s="274">
        <f t="shared" si="68"/>
        <v>6.5</v>
      </c>
      <c r="BC108" s="275">
        <f>'【国内】问卷调研-数据源（P3单独执行） '!BC108</f>
        <v>30.7877576514678</v>
      </c>
    </row>
    <row r="109" spans="2:55">
      <c r="B109" s="1">
        <v>1801</v>
      </c>
      <c r="C109" s="99">
        <f>'【国内】问卷调研-数据源（混合执行）  (2)'!C109*1.8</f>
        <v>0.9</v>
      </c>
      <c r="D109" s="99">
        <v>0</v>
      </c>
      <c r="E109" s="99">
        <f t="shared" si="55"/>
        <v>4.634</v>
      </c>
      <c r="F109" s="274">
        <f t="shared" si="62"/>
        <v>5.9</v>
      </c>
      <c r="G109" s="275">
        <f>'【国内】问卷调研-数据源（P3单独执行） '!G109</f>
        <v>17.0187673514714</v>
      </c>
      <c r="I109" s="276"/>
      <c r="J109" s="1">
        <v>1801</v>
      </c>
      <c r="K109" s="99">
        <f>'【国内】问卷调研-数据源（混合执行）  (2)'!K109*1.8</f>
        <v>0.9</v>
      </c>
      <c r="L109" s="99">
        <v>0</v>
      </c>
      <c r="M109" s="99">
        <f t="shared" si="56"/>
        <v>4.91733333333334</v>
      </c>
      <c r="N109" s="274">
        <f t="shared" si="63"/>
        <v>6</v>
      </c>
      <c r="O109" s="275">
        <f>'【国内】问卷调研-数据源（P3单独执行） '!O109</f>
        <v>19.2242087729039</v>
      </c>
      <c r="Q109" s="276"/>
      <c r="R109" s="1">
        <v>1801</v>
      </c>
      <c r="S109" s="99">
        <f>'【国内】问卷调研-数据源（混合执行）  (2)'!S109*1.8</f>
        <v>0.9</v>
      </c>
      <c r="T109" s="99">
        <v>0</v>
      </c>
      <c r="U109" s="99">
        <f t="shared" si="57"/>
        <v>5.20066666666667</v>
      </c>
      <c r="V109" s="274">
        <f t="shared" si="64"/>
        <v>6.1</v>
      </c>
      <c r="W109" s="275">
        <f>'【国内】问卷调研-数据源（P3单独执行） '!W109</f>
        <v>21.4296501943365</v>
      </c>
      <c r="Y109" s="276"/>
      <c r="Z109" s="1">
        <v>1801</v>
      </c>
      <c r="AA109" s="99">
        <f>'【国内】问卷调研-数据源（混合执行）  (2)'!AA109*1.8</f>
        <v>0.9</v>
      </c>
      <c r="AB109" s="99">
        <v>0</v>
      </c>
      <c r="AC109" s="99">
        <f t="shared" si="58"/>
        <v>5.484</v>
      </c>
      <c r="AD109" s="274">
        <f t="shared" si="65"/>
        <v>6.2</v>
      </c>
      <c r="AE109" s="275">
        <f>'【国内】问卷调研-数据源（P3单独执行） '!AE109</f>
        <v>23.635091615769</v>
      </c>
      <c r="AG109" s="276"/>
      <c r="AH109" s="1">
        <v>1801</v>
      </c>
      <c r="AI109" s="99">
        <f>'【国内】问卷调研-数据源（混合执行）  (2)'!AI109*1.8</f>
        <v>0.9</v>
      </c>
      <c r="AJ109" s="99">
        <v>0</v>
      </c>
      <c r="AK109" s="99">
        <f t="shared" si="59"/>
        <v>5.76733333333334</v>
      </c>
      <c r="AL109" s="274">
        <f t="shared" si="66"/>
        <v>6.3</v>
      </c>
      <c r="AM109" s="275">
        <f>'【国内】问卷调研-数据源（P3单独执行） '!AM109</f>
        <v>25.8405330372016</v>
      </c>
      <c r="AO109" s="276"/>
      <c r="AP109" s="1">
        <v>1801</v>
      </c>
      <c r="AQ109" s="99">
        <f>'【国内】问卷调研-数据源（混合执行）  (2)'!AQ109*1.8</f>
        <v>0.9</v>
      </c>
      <c r="AR109" s="99">
        <v>0</v>
      </c>
      <c r="AS109" s="99">
        <f t="shared" si="60"/>
        <v>6.05066666666667</v>
      </c>
      <c r="AT109" s="274">
        <f t="shared" si="67"/>
        <v>6.4</v>
      </c>
      <c r="AU109" s="275">
        <f>'【国内】问卷调研-数据源（P3单独执行） '!AU109</f>
        <v>28.0459744586341</v>
      </c>
      <c r="AV109" s="1"/>
      <c r="AW109" s="276"/>
      <c r="AX109" s="1">
        <v>1801</v>
      </c>
      <c r="AY109" s="99">
        <f>'【国内】问卷调研-数据源（混合执行）  (2)'!AY109*1.8</f>
        <v>0.9</v>
      </c>
      <c r="AZ109" s="99">
        <v>0</v>
      </c>
      <c r="BA109" s="99">
        <f t="shared" si="61"/>
        <v>6.309</v>
      </c>
      <c r="BB109" s="274">
        <f t="shared" si="68"/>
        <v>6.5</v>
      </c>
      <c r="BC109" s="275">
        <f>'【国内】问卷调研-数据源（P3单独执行） '!BC109</f>
        <v>30.234758467518</v>
      </c>
    </row>
    <row r="110" spans="2:55">
      <c r="B110" s="1">
        <v>2001</v>
      </c>
      <c r="C110" s="99">
        <f>'【国内】问卷调研-数据源（混合执行）  (2)'!C110*1.8</f>
        <v>1.08</v>
      </c>
      <c r="D110" s="99">
        <v>0</v>
      </c>
      <c r="E110" s="99">
        <f t="shared" si="55"/>
        <v>4.87533333333333</v>
      </c>
      <c r="F110" s="274">
        <f t="shared" si="62"/>
        <v>6.1</v>
      </c>
      <c r="G110" s="275">
        <f>'【国内】问卷调研-数据源（P3单独执行） '!G110</f>
        <v>17.0226886556722</v>
      </c>
      <c r="I110" s="276"/>
      <c r="J110" s="1">
        <v>2001</v>
      </c>
      <c r="K110" s="99">
        <f>'【国内】问卷调研-数据源（混合执行）  (2)'!K110*1.8</f>
        <v>1.08</v>
      </c>
      <c r="L110" s="99">
        <v>0</v>
      </c>
      <c r="M110" s="99">
        <f t="shared" si="56"/>
        <v>5.15866666666667</v>
      </c>
      <c r="N110" s="274">
        <f t="shared" si="63"/>
        <v>6.2</v>
      </c>
      <c r="O110" s="275">
        <f>'【国内】问卷调研-数据源（P3单独执行） '!O110</f>
        <v>19.2075962018991</v>
      </c>
      <c r="Q110" s="276"/>
      <c r="R110" s="1">
        <v>2001</v>
      </c>
      <c r="S110" s="99">
        <f>'【国内】问卷调研-数据源（混合执行）  (2)'!S110*1.8</f>
        <v>1.08</v>
      </c>
      <c r="T110" s="99">
        <v>0</v>
      </c>
      <c r="U110" s="99">
        <f t="shared" si="57"/>
        <v>5.442</v>
      </c>
      <c r="V110" s="274">
        <f t="shared" si="64"/>
        <v>6.3</v>
      </c>
      <c r="W110" s="275">
        <f>'【国内】问卷调研-数据源（P3单独执行） '!W110</f>
        <v>21.3925037481259</v>
      </c>
      <c r="Y110" s="276"/>
      <c r="Z110" s="1">
        <v>2001</v>
      </c>
      <c r="AA110" s="99">
        <f>'【国内】问卷调研-数据源（混合执行）  (2)'!AA110*1.8</f>
        <v>1.08</v>
      </c>
      <c r="AB110" s="99">
        <v>0</v>
      </c>
      <c r="AC110" s="99">
        <f t="shared" si="58"/>
        <v>5.72533333333333</v>
      </c>
      <c r="AD110" s="274">
        <f t="shared" si="65"/>
        <v>6.4</v>
      </c>
      <c r="AE110" s="275">
        <f>'【国内】问卷调研-数据源（P3单独执行） '!AE110</f>
        <v>23.5774112943528</v>
      </c>
      <c r="AG110" s="276"/>
      <c r="AH110" s="1">
        <v>2001</v>
      </c>
      <c r="AI110" s="99">
        <f>'【国内】问卷调研-数据源（混合执行）  (2)'!AI110*1.8</f>
        <v>1.08</v>
      </c>
      <c r="AJ110" s="99">
        <v>0</v>
      </c>
      <c r="AK110" s="99">
        <f t="shared" si="59"/>
        <v>6.00866666666667</v>
      </c>
      <c r="AL110" s="274">
        <f t="shared" si="66"/>
        <v>6.5</v>
      </c>
      <c r="AM110" s="275">
        <f>'【国内】问卷调研-数据源（P3单独执行） '!AM110</f>
        <v>25.7623188405797</v>
      </c>
      <c r="AO110" s="276"/>
      <c r="AP110" s="1">
        <v>2001</v>
      </c>
      <c r="AQ110" s="99">
        <f>'【国内】问卷调研-数据源（混合执行）  (2)'!AQ110*1.8</f>
        <v>1.08</v>
      </c>
      <c r="AR110" s="99">
        <v>0</v>
      </c>
      <c r="AS110" s="99">
        <f t="shared" si="60"/>
        <v>6.292</v>
      </c>
      <c r="AT110" s="274">
        <f t="shared" si="67"/>
        <v>6.6</v>
      </c>
      <c r="AU110" s="275">
        <f>'【国内】问卷调研-数据源（P3单独执行） '!AU110</f>
        <v>27.9472263868066</v>
      </c>
      <c r="AV110" s="1"/>
      <c r="AW110" s="276"/>
      <c r="AX110" s="1">
        <v>2001</v>
      </c>
      <c r="AY110" s="99">
        <f>'【国内】问卷调研-数据源（混合执行）  (2)'!AY110*1.8</f>
        <v>1.08</v>
      </c>
      <c r="AZ110" s="99">
        <v>0</v>
      </c>
      <c r="BA110" s="99">
        <f t="shared" si="61"/>
        <v>6.55033333333333</v>
      </c>
      <c r="BB110" s="274">
        <f t="shared" si="68"/>
        <v>6.7</v>
      </c>
      <c r="BC110" s="275">
        <f>'【国内】问卷调研-数据源（P3单独执行） '!BC110</f>
        <v>30.1171414292854</v>
      </c>
    </row>
    <row r="111" spans="2:55">
      <c r="B111" s="1">
        <v>2201</v>
      </c>
      <c r="C111" s="99">
        <f>'【国内】问卷调研-数据源（混合执行）  (2)'!C111*1.8</f>
        <v>1.08</v>
      </c>
      <c r="D111" s="99">
        <v>0</v>
      </c>
      <c r="E111" s="99">
        <f t="shared" si="55"/>
        <v>5.46</v>
      </c>
      <c r="F111" s="274">
        <f t="shared" si="62"/>
        <v>6.3</v>
      </c>
      <c r="G111" s="275">
        <f>'【国内】问卷调研-数据源（P3单独执行） '!G111</f>
        <v>16.7305770104498</v>
      </c>
      <c r="I111" s="276"/>
      <c r="J111" s="1">
        <v>2201</v>
      </c>
      <c r="K111" s="99">
        <f>'【国内】问卷调研-数据源（混合执行）  (2)'!K111*1.8</f>
        <v>1.08</v>
      </c>
      <c r="L111" s="99">
        <v>0</v>
      </c>
      <c r="M111" s="99">
        <f t="shared" si="56"/>
        <v>5.74333333333333</v>
      </c>
      <c r="N111" s="274">
        <f t="shared" si="63"/>
        <v>6.4</v>
      </c>
      <c r="O111" s="275">
        <f>'【国内】问卷调研-数据源（P3单独执行） '!O111</f>
        <v>18.8986824170831</v>
      </c>
      <c r="Q111" s="276"/>
      <c r="R111" s="1">
        <v>2201</v>
      </c>
      <c r="S111" s="99">
        <f>'【国内】问卷调研-数据源（混合执行）  (2)'!S111*1.8</f>
        <v>1.08</v>
      </c>
      <c r="T111" s="99">
        <v>0</v>
      </c>
      <c r="U111" s="99">
        <f t="shared" si="57"/>
        <v>6.02666666666667</v>
      </c>
      <c r="V111" s="274">
        <f t="shared" si="64"/>
        <v>6.5</v>
      </c>
      <c r="W111" s="275">
        <f>'【国内】问卷调研-数据源（P3单独执行） '!W111</f>
        <v>21.0667878237165</v>
      </c>
      <c r="Y111" s="276"/>
      <c r="Z111" s="1">
        <v>2201</v>
      </c>
      <c r="AA111" s="99">
        <f>'【国内】问卷调研-数据源（混合执行）  (2)'!AA111*1.8</f>
        <v>1.08</v>
      </c>
      <c r="AB111" s="99">
        <v>0</v>
      </c>
      <c r="AC111" s="99">
        <f t="shared" si="58"/>
        <v>6.31</v>
      </c>
      <c r="AD111" s="274">
        <f t="shared" si="65"/>
        <v>6.6</v>
      </c>
      <c r="AE111" s="275">
        <f>'【国内】问卷调研-数据源（P3单独执行） '!AE111</f>
        <v>23.2348932303498</v>
      </c>
      <c r="AG111" s="276"/>
      <c r="AH111" s="1">
        <v>2201</v>
      </c>
      <c r="AI111" s="99">
        <f>'【国内】问卷调研-数据源（混合执行）  (2)'!AI111*1.8</f>
        <v>1.08</v>
      </c>
      <c r="AJ111" s="99">
        <v>0</v>
      </c>
      <c r="AK111" s="99">
        <f t="shared" si="59"/>
        <v>6.59333333333333</v>
      </c>
      <c r="AL111" s="274">
        <f t="shared" si="66"/>
        <v>6.7</v>
      </c>
      <c r="AM111" s="275">
        <f>'【国内】问卷调研-数据源（P3单独执行） '!AM111</f>
        <v>25.4029986369832</v>
      </c>
      <c r="AO111" s="276"/>
      <c r="AP111" s="1">
        <v>2201</v>
      </c>
      <c r="AQ111" s="99">
        <f>'【国内】问卷调研-数据源（混合执行）  (2)'!AQ111*1.8</f>
        <v>1.08</v>
      </c>
      <c r="AR111" s="99">
        <v>0</v>
      </c>
      <c r="AS111" s="99">
        <f t="shared" si="60"/>
        <v>6.87666666666666</v>
      </c>
      <c r="AT111" s="274">
        <f t="shared" si="67"/>
        <v>6.8</v>
      </c>
      <c r="AU111" s="275">
        <f>'【国内】问卷调研-数据源（P3单独执行） '!AU111</f>
        <v>27.5711040436165</v>
      </c>
      <c r="AV111" s="1"/>
      <c r="AW111" s="276"/>
      <c r="AX111" s="1">
        <v>2201</v>
      </c>
      <c r="AY111" s="99">
        <f>'【国内】问卷调研-数据源（混合执行）  (2)'!AY111*1.8</f>
        <v>1.08</v>
      </c>
      <c r="AZ111" s="99">
        <v>0</v>
      </c>
      <c r="BA111" s="99">
        <f t="shared" si="61"/>
        <v>7.135</v>
      </c>
      <c r="BB111" s="274">
        <f t="shared" si="68"/>
        <v>6.9</v>
      </c>
      <c r="BC111" s="275">
        <f>'【国内】问卷调研-数据源（P3单独执行） '!BC111</f>
        <v>29.7255792821445</v>
      </c>
    </row>
    <row r="112" spans="2:55">
      <c r="B112" s="1">
        <v>2401</v>
      </c>
      <c r="C112" s="99">
        <f>'【国内】问卷调研-数据源（混合执行）  (2)'!C112*1.8</f>
        <v>1.08</v>
      </c>
      <c r="D112" s="99">
        <v>0</v>
      </c>
      <c r="E112" s="99">
        <f t="shared" si="55"/>
        <v>5.75233333333333</v>
      </c>
      <c r="F112" s="274">
        <f t="shared" si="62"/>
        <v>6.4</v>
      </c>
      <c r="G112" s="275">
        <f>'【国内】问卷调研-数据源（P3单独执行） '!G112</f>
        <v>16.3285297792586</v>
      </c>
      <c r="I112" s="276"/>
      <c r="J112" s="1">
        <v>2401</v>
      </c>
      <c r="K112" s="99">
        <f>'【国内】问卷调研-数据源（混合执行）  (2)'!K112*1.8</f>
        <v>1.08</v>
      </c>
      <c r="L112" s="99">
        <v>0</v>
      </c>
      <c r="M112" s="99">
        <f t="shared" si="56"/>
        <v>6.03566666666667</v>
      </c>
      <c r="N112" s="274">
        <f t="shared" si="63"/>
        <v>6.5</v>
      </c>
      <c r="O112" s="275">
        <f>'【国内】问卷调研-数据源（P3单独执行） '!O112</f>
        <v>18.4826322365681</v>
      </c>
      <c r="Q112" s="276"/>
      <c r="R112" s="1">
        <v>2401</v>
      </c>
      <c r="S112" s="99">
        <f>'【国内】问卷调研-数据源（混合执行）  (2)'!S112*1.8</f>
        <v>1.08</v>
      </c>
      <c r="T112" s="99">
        <v>0</v>
      </c>
      <c r="U112" s="99">
        <f t="shared" si="57"/>
        <v>6.319</v>
      </c>
      <c r="V112" s="274">
        <f t="shared" si="64"/>
        <v>6.6</v>
      </c>
      <c r="W112" s="275">
        <f>'【国内】问卷调研-数据源（P3单独执行） '!W112</f>
        <v>20.6367346938776</v>
      </c>
      <c r="Y112" s="276"/>
      <c r="Z112" s="1">
        <v>2401</v>
      </c>
      <c r="AA112" s="99">
        <f>'【国内】问卷调研-数据源（混合执行）  (2)'!AA112*1.8</f>
        <v>1.08</v>
      </c>
      <c r="AB112" s="99">
        <v>0</v>
      </c>
      <c r="AC112" s="99">
        <f t="shared" si="58"/>
        <v>6.60233333333333</v>
      </c>
      <c r="AD112" s="274">
        <f t="shared" si="65"/>
        <v>6.7</v>
      </c>
      <c r="AE112" s="275">
        <f>'【国内】问卷调研-数据源（P3单独执行） '!AE112</f>
        <v>22.790837151187</v>
      </c>
      <c r="AG112" s="276"/>
      <c r="AH112" s="1">
        <v>2401</v>
      </c>
      <c r="AI112" s="99">
        <f>'【国内】问卷调研-数据源（混合执行）  (2)'!AI112*1.8</f>
        <v>1.08</v>
      </c>
      <c r="AJ112" s="99">
        <v>0</v>
      </c>
      <c r="AK112" s="99">
        <f t="shared" si="59"/>
        <v>6.88566666666667</v>
      </c>
      <c r="AL112" s="274">
        <f t="shared" si="66"/>
        <v>6.8</v>
      </c>
      <c r="AM112" s="275">
        <f>'【国内】问卷调研-数据源（P3单独执行） '!AM112</f>
        <v>24.9449396084965</v>
      </c>
      <c r="AO112" s="276"/>
      <c r="AP112" s="1">
        <v>2401</v>
      </c>
      <c r="AQ112" s="99">
        <f>'【国内】问卷调研-数据源（混合执行）  (2)'!AQ112*1.8</f>
        <v>1.08</v>
      </c>
      <c r="AR112" s="99">
        <v>0</v>
      </c>
      <c r="AS112" s="99">
        <f t="shared" si="60"/>
        <v>7.169</v>
      </c>
      <c r="AT112" s="274">
        <f t="shared" si="67"/>
        <v>6.9</v>
      </c>
      <c r="AU112" s="275">
        <f>'【国内】问卷调研-数据源（P3单独执行） '!AU112</f>
        <v>27.0990420658059</v>
      </c>
      <c r="AV112" s="1"/>
      <c r="AW112" s="276"/>
      <c r="AX112" s="1">
        <v>2401</v>
      </c>
      <c r="AY112" s="99">
        <f>'【国内】问卷调研-数据源（混合执行）  (2)'!AY112*1.8</f>
        <v>1.08</v>
      </c>
      <c r="AZ112" s="99">
        <v>0</v>
      </c>
      <c r="BA112" s="99">
        <f t="shared" si="61"/>
        <v>7.42733333333333</v>
      </c>
      <c r="BB112" s="274">
        <f t="shared" si="68"/>
        <v>7</v>
      </c>
      <c r="BC112" s="275">
        <f>'【国内】问卷调研-数据源（P3单独执行） '!BC112</f>
        <v>29.2406497292795</v>
      </c>
    </row>
    <row r="113" spans="2:55">
      <c r="B113" s="1">
        <v>2601</v>
      </c>
      <c r="C113" s="99">
        <f>'【国内】问卷调研-数据源（混合执行）  (2)'!C113*1.8</f>
        <v>1.26</v>
      </c>
      <c r="D113" s="99">
        <v>0</v>
      </c>
      <c r="E113" s="99">
        <f t="shared" si="55"/>
        <v>5.65133333333333</v>
      </c>
      <c r="F113" s="274">
        <f t="shared" si="62"/>
        <v>6.5</v>
      </c>
      <c r="G113" s="275">
        <f>'【国内】问卷调研-数据源（P3单独执行） '!G113</f>
        <v>16.2151480199923</v>
      </c>
      <c r="I113" s="276"/>
      <c r="J113" s="1">
        <v>2601</v>
      </c>
      <c r="K113" s="99">
        <f>'【国内】问卷调研-数据源（混合执行）  (2)'!K113*1.8</f>
        <v>1.26</v>
      </c>
      <c r="L113" s="99">
        <v>0</v>
      </c>
      <c r="M113" s="99">
        <f t="shared" si="56"/>
        <v>5.93466666666667</v>
      </c>
      <c r="N113" s="274">
        <f t="shared" si="63"/>
        <v>6.6</v>
      </c>
      <c r="O113" s="275">
        <f>'【国内】问卷调研-数据源（P3单独执行） '!O113</f>
        <v>18.3574009996155</v>
      </c>
      <c r="Q113" s="276"/>
      <c r="R113" s="1">
        <v>2601</v>
      </c>
      <c r="S113" s="99">
        <f>'【国内】问卷调研-数据源（混合执行）  (2)'!S113*1.8</f>
        <v>1.26</v>
      </c>
      <c r="T113" s="99">
        <v>0</v>
      </c>
      <c r="U113" s="99">
        <f t="shared" si="57"/>
        <v>6.21800000000001</v>
      </c>
      <c r="V113" s="274">
        <f t="shared" si="64"/>
        <v>6.7</v>
      </c>
      <c r="W113" s="275">
        <f>'【国内】问卷调研-数据源（P3单独执行） '!W113</f>
        <v>20.4996539792388</v>
      </c>
      <c r="Y113" s="276"/>
      <c r="Z113" s="1">
        <v>2601</v>
      </c>
      <c r="AA113" s="99">
        <f>'【国内】问卷调研-数据源（混合执行）  (2)'!AA113*1.8</f>
        <v>1.26</v>
      </c>
      <c r="AB113" s="99">
        <v>0</v>
      </c>
      <c r="AC113" s="99">
        <f t="shared" si="58"/>
        <v>6.50133333333334</v>
      </c>
      <c r="AD113" s="274">
        <f t="shared" si="65"/>
        <v>6.8</v>
      </c>
      <c r="AE113" s="275">
        <f>'【国内】问卷调研-数据源（P3单独执行） '!AE113</f>
        <v>22.641906958862</v>
      </c>
      <c r="AG113" s="276"/>
      <c r="AH113" s="1">
        <v>2601</v>
      </c>
      <c r="AI113" s="99">
        <f>'【国内】问卷调研-数据源（混合执行）  (2)'!AI113*1.8</f>
        <v>1.26</v>
      </c>
      <c r="AJ113" s="99">
        <v>0</v>
      </c>
      <c r="AK113" s="99">
        <f t="shared" si="59"/>
        <v>6.78466666666667</v>
      </c>
      <c r="AL113" s="274">
        <f t="shared" si="66"/>
        <v>6.9</v>
      </c>
      <c r="AM113" s="275">
        <f>'【国内】问卷调研-数据源（P3单独执行） '!AM113</f>
        <v>24.7841599384852</v>
      </c>
      <c r="AO113" s="276"/>
      <c r="AP113" s="1">
        <v>2601</v>
      </c>
      <c r="AQ113" s="99">
        <f>'【国内】问卷调研-数据源（混合执行）  (2)'!AQ113*1.8</f>
        <v>1.26</v>
      </c>
      <c r="AR113" s="99">
        <v>0</v>
      </c>
      <c r="AS113" s="99">
        <f t="shared" si="60"/>
        <v>7.068</v>
      </c>
      <c r="AT113" s="274">
        <f t="shared" si="67"/>
        <v>7</v>
      </c>
      <c r="AU113" s="275">
        <f>'【国内】问卷调研-数据源（P3单独执行） '!AU113</f>
        <v>26.9264129181084</v>
      </c>
      <c r="AV113" s="1"/>
      <c r="AW113" s="276"/>
      <c r="AX113" s="1">
        <v>2601</v>
      </c>
      <c r="AY113" s="99">
        <f>'【国内】问卷调研-数据源（混合执行）  (2)'!AY113*1.8</f>
        <v>1.26</v>
      </c>
      <c r="AZ113" s="99">
        <v>0</v>
      </c>
      <c r="BA113" s="99">
        <f t="shared" si="61"/>
        <v>7.32633333333334</v>
      </c>
      <c r="BB113" s="274">
        <f t="shared" si="68"/>
        <v>7.1</v>
      </c>
      <c r="BC113" s="275">
        <f>'【国内】问卷调研-数据源（P3单独执行） '!BC113</f>
        <v>29.0571318723568</v>
      </c>
    </row>
    <row r="114" spans="2:55">
      <c r="B114" s="1">
        <v>2801</v>
      </c>
      <c r="C114" s="99">
        <f>'【国内】问卷调研-数据源（混合执行）  (2)'!C114*1.8</f>
        <v>1.26</v>
      </c>
      <c r="D114" s="99">
        <v>0</v>
      </c>
      <c r="E114" s="99">
        <f t="shared" si="55"/>
        <v>6.82066666666667</v>
      </c>
      <c r="F114" s="274">
        <f t="shared" si="62"/>
        <v>6.9</v>
      </c>
      <c r="G114" s="275">
        <f>'【国内】问卷调研-数据源（P3单独执行） '!G114</f>
        <v>16.3151731524456</v>
      </c>
      <c r="I114" s="276"/>
      <c r="J114" s="1">
        <v>2801</v>
      </c>
      <c r="K114" s="99">
        <f>'【国内】问卷调研-数据源（混合执行）  (2)'!K114*1.8</f>
        <v>1.26</v>
      </c>
      <c r="L114" s="99">
        <v>0</v>
      </c>
      <c r="M114" s="99">
        <f t="shared" si="56"/>
        <v>7.104</v>
      </c>
      <c r="N114" s="274">
        <f t="shared" si="63"/>
        <v>7</v>
      </c>
      <c r="O114" s="275">
        <f>'【国内】问卷调研-数据源（P3单独执行） '!O114</f>
        <v>18.4472688325598</v>
      </c>
      <c r="Q114" s="276"/>
      <c r="R114" s="1">
        <v>2801</v>
      </c>
      <c r="S114" s="99">
        <f>'【国内】问卷调研-数据源（混合执行）  (2)'!S114*1.8</f>
        <v>1.26</v>
      </c>
      <c r="T114" s="99">
        <v>0</v>
      </c>
      <c r="U114" s="99">
        <f t="shared" si="57"/>
        <v>7.38733333333333</v>
      </c>
      <c r="V114" s="274">
        <f t="shared" si="64"/>
        <v>7.1</v>
      </c>
      <c r="W114" s="275">
        <f>'【国内】问卷调研-数据源（P3单独执行） '!W114</f>
        <v>20.579364512674</v>
      </c>
      <c r="Y114" s="276"/>
      <c r="Z114" s="1">
        <v>2801</v>
      </c>
      <c r="AA114" s="99">
        <f>'【国内】问卷调研-数据源（混合执行）  (2)'!AA114*1.8</f>
        <v>1.26</v>
      </c>
      <c r="AB114" s="99">
        <v>0</v>
      </c>
      <c r="AC114" s="99">
        <f t="shared" si="58"/>
        <v>7.67066666666666</v>
      </c>
      <c r="AD114" s="274">
        <f t="shared" si="65"/>
        <v>7.2</v>
      </c>
      <c r="AE114" s="275">
        <f>'【国内】问卷调研-数据源（P3单独执行） '!AE114</f>
        <v>22.7114601927883</v>
      </c>
      <c r="AG114" s="276"/>
      <c r="AH114" s="1">
        <v>2801</v>
      </c>
      <c r="AI114" s="99">
        <f>'【国内】问卷调研-数据源（混合执行）  (2)'!AI114*1.8</f>
        <v>1.26</v>
      </c>
      <c r="AJ114" s="99">
        <v>0</v>
      </c>
      <c r="AK114" s="99">
        <f t="shared" si="59"/>
        <v>7.95399999999999</v>
      </c>
      <c r="AL114" s="274">
        <f t="shared" si="66"/>
        <v>7.3</v>
      </c>
      <c r="AM114" s="275">
        <f>'【国内】问卷调研-数据源（P3单独执行） '!AM114</f>
        <v>24.8435558729025</v>
      </c>
      <c r="AO114" s="276"/>
      <c r="AP114" s="1">
        <v>2801</v>
      </c>
      <c r="AQ114" s="99">
        <f>'【国内】问卷调研-数据源（混合执行）  (2)'!AQ114*1.8</f>
        <v>1.26</v>
      </c>
      <c r="AR114" s="99">
        <v>0</v>
      </c>
      <c r="AS114" s="99">
        <f t="shared" si="60"/>
        <v>8.23733333333332</v>
      </c>
      <c r="AT114" s="274">
        <f t="shared" si="67"/>
        <v>7.4</v>
      </c>
      <c r="AU114" s="275">
        <f>'【国内】问卷调研-数据源（P3单独执行） '!AU114</f>
        <v>26.9756515530168</v>
      </c>
      <c r="AV114" s="1"/>
      <c r="AW114" s="276"/>
      <c r="AX114" s="1">
        <v>2801</v>
      </c>
      <c r="AY114" s="99">
        <f>'【国内】问卷调研-数据源（混合执行）  (2)'!AY114*1.8</f>
        <v>1.26</v>
      </c>
      <c r="AZ114" s="99">
        <v>0</v>
      </c>
      <c r="BA114" s="99">
        <f t="shared" si="61"/>
        <v>8.49566666666666</v>
      </c>
      <c r="BB114" s="274">
        <f t="shared" si="68"/>
        <v>7.5</v>
      </c>
      <c r="BC114" s="275">
        <f>'【国内】问卷调研-数据源（P3单独执行） '!BC114</f>
        <v>29.0970367725812</v>
      </c>
    </row>
    <row r="115" spans="2:55">
      <c r="I115" s="269"/>
      <c r="Q115" s="269"/>
      <c r="Y115" s="269"/>
      <c r="AG115" s="269"/>
      <c r="AO115" s="269"/>
      <c r="AW115" s="269"/>
    </row>
    <row r="116" spans="2:55">
      <c r="B116" s="268" t="s">
        <v>91</v>
      </c>
      <c r="C116" s="268" t="s">
        <v>124</v>
      </c>
      <c r="I116" s="269"/>
      <c r="J116" s="268" t="s">
        <v>91</v>
      </c>
      <c r="K116" s="268"/>
      <c r="L116" s="268" t="s">
        <v>124</v>
      </c>
      <c r="Q116" s="269"/>
      <c r="R116" s="268" t="s">
        <v>91</v>
      </c>
      <c r="S116" s="268"/>
      <c r="T116" s="268" t="s">
        <v>124</v>
      </c>
      <c r="Y116" s="269"/>
      <c r="Z116" s="268" t="s">
        <v>91</v>
      </c>
      <c r="AA116" s="268"/>
      <c r="AB116" s="268" t="s">
        <v>124</v>
      </c>
      <c r="AG116" s="269"/>
      <c r="AH116" s="268" t="s">
        <v>91</v>
      </c>
      <c r="AI116" s="268"/>
      <c r="AJ116" s="268" t="s">
        <v>124</v>
      </c>
      <c r="AO116" s="269"/>
      <c r="AP116" s="268" t="s">
        <v>91</v>
      </c>
      <c r="AQ116" s="268"/>
      <c r="AR116" s="268" t="s">
        <v>124</v>
      </c>
      <c r="AW116" s="269"/>
      <c r="AX116" s="268" t="s">
        <v>91</v>
      </c>
      <c r="AY116" s="268"/>
      <c r="AZ116" s="268" t="s">
        <v>124</v>
      </c>
    </row>
    <row r="117" spans="2:55">
      <c r="B117" s="270" t="s">
        <v>92</v>
      </c>
      <c r="C117" s="270" t="s">
        <v>93</v>
      </c>
      <c r="I117" s="269"/>
      <c r="J117" s="270" t="s">
        <v>92</v>
      </c>
      <c r="K117" s="270"/>
      <c r="L117" s="270" t="s">
        <v>94</v>
      </c>
      <c r="Q117" s="269"/>
      <c r="R117" s="270" t="s">
        <v>92</v>
      </c>
      <c r="S117" s="270"/>
      <c r="T117" s="270" t="s">
        <v>95</v>
      </c>
      <c r="Y117" s="269"/>
      <c r="Z117" s="270" t="s">
        <v>92</v>
      </c>
      <c r="AA117" s="270"/>
      <c r="AB117" s="270" t="s">
        <v>96</v>
      </c>
      <c r="AG117" s="269"/>
      <c r="AH117" s="270" t="s">
        <v>92</v>
      </c>
      <c r="AI117" s="270"/>
      <c r="AJ117" s="270" t="s">
        <v>97</v>
      </c>
      <c r="AO117" s="269"/>
      <c r="AP117" s="270" t="s">
        <v>92</v>
      </c>
      <c r="AQ117" s="270"/>
      <c r="AR117" s="270" t="s">
        <v>98</v>
      </c>
      <c r="AW117" s="269"/>
      <c r="AX117" s="270" t="s">
        <v>92</v>
      </c>
      <c r="AY117" s="270"/>
      <c r="AZ117" s="270" t="s">
        <v>99</v>
      </c>
    </row>
    <row r="118" spans="2:55">
      <c r="B118" s="271" t="s">
        <v>100</v>
      </c>
      <c r="C118" s="271"/>
      <c r="D118" s="271">
        <v>12</v>
      </c>
      <c r="F118" s="59"/>
      <c r="G118" s="282">
        <f>AVERAGE(G122:G137)</f>
        <v>23.5213979313276</v>
      </c>
      <c r="H118" s="59"/>
      <c r="I118" s="269"/>
      <c r="J118" s="271" t="s">
        <v>100</v>
      </c>
      <c r="K118" s="271"/>
      <c r="L118" s="271">
        <v>14</v>
      </c>
      <c r="N118" s="59"/>
      <c r="O118" s="282">
        <f>AVERAGE(O122:O137)</f>
        <v>26.1820359637681</v>
      </c>
      <c r="P118" s="59"/>
      <c r="Q118" s="269"/>
      <c r="R118" s="271" t="s">
        <v>100</v>
      </c>
      <c r="S118" s="271"/>
      <c r="T118" s="271">
        <v>16</v>
      </c>
      <c r="V118" s="59"/>
      <c r="W118" s="283">
        <f>AVERAGE(W122:W137)</f>
        <v>28.8426739962086</v>
      </c>
      <c r="X118" s="59"/>
      <c r="Y118" s="269"/>
      <c r="Z118" s="271" t="s">
        <v>100</v>
      </c>
      <c r="AA118" s="271"/>
      <c r="AB118" s="271">
        <v>18</v>
      </c>
      <c r="AD118" s="59"/>
      <c r="AE118" s="283">
        <f>AVERAGE(AE122:AE137)</f>
        <v>32.110384815216</v>
      </c>
      <c r="AF118" s="59"/>
      <c r="AG118" s="269"/>
      <c r="AH118" s="271" t="s">
        <v>100</v>
      </c>
      <c r="AI118" s="271"/>
      <c r="AJ118" s="271">
        <v>20</v>
      </c>
      <c r="AL118" s="59"/>
      <c r="AM118" s="272">
        <f>AVERAGE(AM122:AM137)</f>
        <v>35.3780956342235</v>
      </c>
      <c r="AN118" s="59"/>
      <c r="AO118" s="269"/>
      <c r="AP118" s="271" t="s">
        <v>100</v>
      </c>
      <c r="AQ118" s="271"/>
      <c r="AR118" s="271">
        <v>22</v>
      </c>
      <c r="AT118" s="273"/>
      <c r="AU118" s="272">
        <f>AVERAGE(AU122:AU137)</f>
        <v>38.645806453231</v>
      </c>
      <c r="AV118" s="273"/>
      <c r="AW118" s="269"/>
      <c r="AX118" s="271" t="s">
        <v>100</v>
      </c>
      <c r="AY118" s="271"/>
      <c r="AZ118" s="271">
        <v>24</v>
      </c>
      <c r="BB118" s="273"/>
      <c r="BC118" s="272">
        <f>AVERAGE(BC122:BC137)</f>
        <v>41.9135172722384</v>
      </c>
    </row>
    <row r="119" spans="2:55">
      <c r="B119" s="1" t="s">
        <v>101</v>
      </c>
      <c r="C119" s="1" t="s">
        <v>8</v>
      </c>
      <c r="D119" s="1" t="s">
        <v>9</v>
      </c>
      <c r="E119" s="1" t="s">
        <v>10</v>
      </c>
      <c r="F119" s="1" t="s">
        <v>103</v>
      </c>
      <c r="I119" s="269"/>
      <c r="J119" s="1" t="s">
        <v>101</v>
      </c>
      <c r="K119" s="1" t="s">
        <v>8</v>
      </c>
      <c r="L119" s="1" t="s">
        <v>9</v>
      </c>
      <c r="M119" s="1" t="s">
        <v>10</v>
      </c>
      <c r="N119" s="1" t="s">
        <v>103</v>
      </c>
      <c r="Q119" s="269"/>
      <c r="R119" s="1" t="s">
        <v>101</v>
      </c>
      <c r="S119" s="1" t="s">
        <v>8</v>
      </c>
      <c r="T119" s="1" t="s">
        <v>9</v>
      </c>
      <c r="U119" s="1" t="s">
        <v>10</v>
      </c>
      <c r="V119" s="1" t="s">
        <v>103</v>
      </c>
      <c r="W119" s="1" t="s">
        <v>104</v>
      </c>
      <c r="Y119" s="269"/>
      <c r="Z119" s="1" t="s">
        <v>101</v>
      </c>
      <c r="AA119" s="1" t="s">
        <v>8</v>
      </c>
      <c r="AB119" s="1" t="s">
        <v>9</v>
      </c>
      <c r="AC119" s="1" t="s">
        <v>10</v>
      </c>
      <c r="AD119" s="1" t="s">
        <v>103</v>
      </c>
      <c r="AG119" s="269"/>
      <c r="AH119" s="1" t="s">
        <v>101</v>
      </c>
      <c r="AI119" s="1" t="s">
        <v>8</v>
      </c>
      <c r="AJ119" s="1" t="s">
        <v>9</v>
      </c>
      <c r="AK119" s="1" t="s">
        <v>10</v>
      </c>
      <c r="AL119" s="1" t="s">
        <v>103</v>
      </c>
      <c r="AO119" s="269"/>
      <c r="AP119" s="1" t="s">
        <v>101</v>
      </c>
      <c r="AQ119" s="1" t="s">
        <v>8</v>
      </c>
      <c r="AR119" s="1" t="s">
        <v>9</v>
      </c>
      <c r="AS119" s="1" t="s">
        <v>10</v>
      </c>
      <c r="AT119" s="1" t="s">
        <v>103</v>
      </c>
      <c r="AW119" s="269"/>
      <c r="AX119" s="1" t="s">
        <v>101</v>
      </c>
      <c r="AY119" s="1" t="s">
        <v>8</v>
      </c>
      <c r="AZ119" s="1" t="s">
        <v>9</v>
      </c>
      <c r="BA119" s="1" t="s">
        <v>10</v>
      </c>
      <c r="BB119" s="1" t="s">
        <v>103</v>
      </c>
    </row>
    <row r="120" spans="2:55">
      <c r="B120" s="1">
        <v>0</v>
      </c>
      <c r="C120" s="99">
        <f>'【国内】问卷调研-数据源（P3单独执行） '!C120*2.2</f>
        <v>0</v>
      </c>
      <c r="D120" s="99">
        <v>0</v>
      </c>
      <c r="E120" s="99" t="e">
        <f>(G120*B120-$D$118*B120-C120*5900-D120*3400-F120*300)/1200</f>
        <v>#DIV/0!</v>
      </c>
      <c r="F120" s="274">
        <f>F97+0.1</f>
        <v>0.4</v>
      </c>
      <c r="G120" s="275" t="e">
        <f>'【国内】问卷调研-数据源（P3单独执行） '!G120</f>
        <v>#DIV/0!</v>
      </c>
      <c r="I120" s="269"/>
      <c r="J120" s="1">
        <v>0</v>
      </c>
      <c r="K120" s="99">
        <f>'【国内】问卷调研-数据源（P3单独执行） '!K120*2.2</f>
        <v>0</v>
      </c>
      <c r="L120" s="99">
        <v>0</v>
      </c>
      <c r="M120" s="99" t="e">
        <f t="shared" ref="M120:M137" si="69">(O120*J120-$L$118*J120-K120*5900-L120*3400-N120*300)/1200</f>
        <v>#DIV/0!</v>
      </c>
      <c r="N120" s="274">
        <f>F120+0.1</f>
        <v>0.5</v>
      </c>
      <c r="O120" s="275" t="e">
        <f>'【国内】问卷调研-数据源（P3单独执行） '!O120</f>
        <v>#DIV/0!</v>
      </c>
      <c r="Q120" s="269"/>
      <c r="R120" s="1">
        <v>0</v>
      </c>
      <c r="S120" s="99">
        <f>'【国内】问卷调研-数据源（P3单独执行） '!S120*2.2</f>
        <v>0</v>
      </c>
      <c r="T120" s="99">
        <v>0</v>
      </c>
      <c r="U120" s="99" t="e">
        <f t="shared" ref="U120:U137" si="70">(W120*R120-$T$118*R120-S120*5900-T120*3400-V120*300)/1200</f>
        <v>#DIV/0!</v>
      </c>
      <c r="V120" s="274">
        <f>N120+0.1</f>
        <v>0.6</v>
      </c>
      <c r="W120" s="275" t="e">
        <f>'【国内】问卷调研-数据源（P3单独执行） '!W120</f>
        <v>#DIV/0!</v>
      </c>
      <c r="Y120" s="269"/>
      <c r="Z120" s="1">
        <v>0</v>
      </c>
      <c r="AA120" s="99">
        <f>'【国内】问卷调研-数据源（P3单独执行） '!AA120*2.2</f>
        <v>0</v>
      </c>
      <c r="AB120" s="99">
        <v>0</v>
      </c>
      <c r="AC120" s="99" t="e">
        <f t="shared" ref="AC120:AC137" si="71">(AE120*Z120-$AB$118*Z120-AA120*5900-AB120*3400-AD120*300)/1200</f>
        <v>#DIV/0!</v>
      </c>
      <c r="AD120" s="274">
        <f>V120+0.1</f>
        <v>0.7</v>
      </c>
      <c r="AE120" s="275" t="e">
        <f>'【国内】问卷调研-数据源（P3单独执行） '!AE120</f>
        <v>#DIV/0!</v>
      </c>
      <c r="AG120" s="269"/>
      <c r="AH120" s="1">
        <v>0</v>
      </c>
      <c r="AI120" s="99">
        <f>'【国内】问卷调研-数据源（P3单独执行） '!AI120*2.2</f>
        <v>0</v>
      </c>
      <c r="AJ120" s="99">
        <v>0</v>
      </c>
      <c r="AK120" s="99" t="e">
        <f t="shared" ref="AK120:AK137" si="72">(AM120*AH120-$AJ$118*AH120-AI120*5900-AJ120*3400-AL120*300)/1200</f>
        <v>#DIV/0!</v>
      </c>
      <c r="AL120" s="274">
        <f>AD120+0.1</f>
        <v>0.8</v>
      </c>
      <c r="AM120" s="275" t="e">
        <f>'【国内】问卷调研-数据源（P3单独执行） '!AM120</f>
        <v>#DIV/0!</v>
      </c>
      <c r="AO120" s="269"/>
      <c r="AP120" s="1">
        <v>0</v>
      </c>
      <c r="AQ120" s="99">
        <f>'【国内】问卷调研-数据源（P3单独执行） '!AQ120*2.2</f>
        <v>0</v>
      </c>
      <c r="AR120" s="99">
        <v>0</v>
      </c>
      <c r="AS120" s="99" t="e">
        <f t="shared" ref="AS120:AS137" si="73">(AU120*AP120-$AR$118*AP120-AQ120*5900-AR120*3400-AT120*300)/1200</f>
        <v>#DIV/0!</v>
      </c>
      <c r="AT120" s="274">
        <f>AL120+0.1</f>
        <v>0.9</v>
      </c>
      <c r="AU120" s="275" t="e">
        <f>'【国内】问卷调研-数据源（P3单独执行） '!AU120</f>
        <v>#DIV/0!</v>
      </c>
      <c r="AV120" s="1"/>
      <c r="AW120" s="269"/>
      <c r="AX120" s="1">
        <v>0</v>
      </c>
      <c r="AY120" s="99">
        <f>'【国内】问卷调研-数据源（P3单独执行） '!AY120*2.2</f>
        <v>0</v>
      </c>
      <c r="AZ120" s="99">
        <v>0</v>
      </c>
      <c r="BA120" s="99" t="e">
        <f t="shared" ref="BA120:BA137" si="74">(BC120*AX120-$AZ$118*AX120-AY120*5900-AZ120*3400-BB120*300)/1200</f>
        <v>#DIV/0!</v>
      </c>
      <c r="BB120" s="274">
        <f>AT120+0.1</f>
        <v>1</v>
      </c>
      <c r="BC120" s="275" t="e">
        <f>'【国内】问卷调研-数据源（P3单独执行） '!BC120</f>
        <v>#DIV/0!</v>
      </c>
    </row>
    <row r="121" spans="2:55">
      <c r="B121" s="1">
        <v>1</v>
      </c>
      <c r="C121" s="99">
        <f>'【国内】问卷调研-数据源（P3单独执行） '!C121*2.2</f>
        <v>0</v>
      </c>
      <c r="D121" s="99">
        <v>0</v>
      </c>
      <c r="E121" s="99">
        <f t="shared" ref="E121:E137" si="75">(G121*B121-$D$118*B121-C121*5900-D121*3400-F121*300)/1200</f>
        <v>2.175</v>
      </c>
      <c r="F121" s="274">
        <f t="shared" ref="F121:F137" si="76">F98+0.1</f>
        <v>1.48</v>
      </c>
      <c r="G121" s="275">
        <f>'【国内】问卷调研-数据源（P3单独执行） '!G121</f>
        <v>3066</v>
      </c>
      <c r="I121" s="276"/>
      <c r="J121" s="1">
        <v>1</v>
      </c>
      <c r="K121" s="99">
        <f>'【国内】问卷调研-数据源（P3单独执行） '!K121*2.2</f>
        <v>0</v>
      </c>
      <c r="L121" s="99">
        <v>0</v>
      </c>
      <c r="M121" s="99">
        <f t="shared" si="69"/>
        <v>2.74166666666667</v>
      </c>
      <c r="N121" s="274">
        <f t="shared" ref="N121:N137" si="77">F121+0.1</f>
        <v>1.58</v>
      </c>
      <c r="O121" s="275">
        <f>'【国内】问卷调研-数据源（P3单独执行） '!O121</f>
        <v>3778</v>
      </c>
      <c r="Q121" s="276"/>
      <c r="R121" s="1">
        <v>1</v>
      </c>
      <c r="S121" s="99">
        <f>'【国内】问卷调研-数据源（P3单独执行） '!S121*2.2</f>
        <v>0</v>
      </c>
      <c r="T121" s="99">
        <v>0</v>
      </c>
      <c r="U121" s="99">
        <f t="shared" si="70"/>
        <v>3.59166666666667</v>
      </c>
      <c r="V121" s="274">
        <f t="shared" ref="V121:V137" si="78">N121+0.1</f>
        <v>1.68</v>
      </c>
      <c r="W121" s="275">
        <f>'【国内】问卷调研-数据源（P3单独执行） '!W121</f>
        <v>4830</v>
      </c>
      <c r="Y121" s="276"/>
      <c r="Z121" s="1">
        <v>1</v>
      </c>
      <c r="AA121" s="99">
        <f>'【国内】问卷调研-数据源（P3单独执行） '!AA121*2.2</f>
        <v>0</v>
      </c>
      <c r="AB121" s="99">
        <v>0</v>
      </c>
      <c r="AC121" s="99">
        <f t="shared" si="71"/>
        <v>4.15833333333333</v>
      </c>
      <c r="AD121" s="274">
        <f t="shared" ref="AD121:AD137" si="79">V121+0.1</f>
        <v>1.78</v>
      </c>
      <c r="AE121" s="275">
        <f>'【国内】问卷调研-数据源（P3单独执行） '!AE121</f>
        <v>5542</v>
      </c>
      <c r="AG121" s="276"/>
      <c r="AH121" s="1">
        <v>1</v>
      </c>
      <c r="AI121" s="99">
        <f>'【国内】问卷调研-数据源（P3单独执行） '!AI121*2.2</f>
        <v>0</v>
      </c>
      <c r="AJ121" s="99">
        <v>0</v>
      </c>
      <c r="AK121" s="99">
        <f t="shared" si="72"/>
        <v>5.29166666666667</v>
      </c>
      <c r="AL121" s="274">
        <f t="shared" ref="AL121:AL137" si="80">AD121+0.1</f>
        <v>1.88</v>
      </c>
      <c r="AM121" s="275">
        <f>'【国内】问卷调研-数据源（P3单独执行） '!AM121</f>
        <v>6934</v>
      </c>
      <c r="AO121" s="276"/>
      <c r="AP121" s="1">
        <v>1</v>
      </c>
      <c r="AQ121" s="99">
        <f>'【国内】问卷调研-数据源（P3单独执行） '!AQ121*2.2</f>
        <v>0</v>
      </c>
      <c r="AR121" s="99">
        <v>0</v>
      </c>
      <c r="AS121" s="99">
        <f t="shared" si="73"/>
        <v>4.3</v>
      </c>
      <c r="AT121" s="274">
        <f t="shared" ref="AT121:AT137" si="81">AL121+0.1</f>
        <v>1.98</v>
      </c>
      <c r="AU121" s="275">
        <f>'【国内】问卷调研-数据源（P3单独执行） '!AU121</f>
        <v>5776</v>
      </c>
      <c r="AV121" s="1"/>
      <c r="AW121" s="276"/>
      <c r="AX121" s="1">
        <v>1</v>
      </c>
      <c r="AY121" s="99">
        <f>'【国内】问卷调研-数据源（P3单独执行） '!AY121*2.2</f>
        <v>0</v>
      </c>
      <c r="AZ121" s="99">
        <v>0</v>
      </c>
      <c r="BA121" s="99">
        <f t="shared" si="74"/>
        <v>4.86666666666667</v>
      </c>
      <c r="BB121" s="274">
        <f t="shared" ref="BB121:BB137" si="82">AT121+0.1</f>
        <v>2.08</v>
      </c>
      <c r="BC121" s="275">
        <f>'【国内】问卷调研-数据源（P3单独执行） '!BC121</f>
        <v>6488</v>
      </c>
    </row>
    <row r="122" spans="2:55">
      <c r="B122" s="1">
        <v>101</v>
      </c>
      <c r="C122" s="99">
        <f>'【国内】问卷调研-数据源（P3单独执行） '!C122*2.2</f>
        <v>0</v>
      </c>
      <c r="D122" s="99">
        <v>0</v>
      </c>
      <c r="E122" s="99">
        <f t="shared" si="75"/>
        <v>1.85333333333333</v>
      </c>
      <c r="F122" s="274">
        <f t="shared" si="76"/>
        <v>2.2</v>
      </c>
      <c r="G122" s="275">
        <f>'【国内】问卷调研-数据源（P3单独执行） '!G122</f>
        <v>40.5544554455445</v>
      </c>
      <c r="I122" s="276"/>
      <c r="J122" s="1">
        <v>101</v>
      </c>
      <c r="K122" s="99">
        <f>'【国内】问卷调研-数据源（P3单独执行） '!K122*2.2</f>
        <v>0</v>
      </c>
      <c r="L122" s="99">
        <v>0</v>
      </c>
      <c r="M122" s="99">
        <f t="shared" si="69"/>
        <v>2.13666666666667</v>
      </c>
      <c r="N122" s="274">
        <f t="shared" si="77"/>
        <v>2.3</v>
      </c>
      <c r="O122" s="275">
        <f>'【国内】问卷调研-数据源（P3单独执行） '!O122</f>
        <v>46.2178217821782</v>
      </c>
      <c r="Q122" s="276"/>
      <c r="R122" s="1">
        <v>101</v>
      </c>
      <c r="S122" s="99">
        <f>'【国内】问卷调研-数据源（P3单独执行） '!S122*2.2</f>
        <v>0</v>
      </c>
      <c r="T122" s="99">
        <v>0</v>
      </c>
      <c r="U122" s="99">
        <f t="shared" si="70"/>
        <v>2.42</v>
      </c>
      <c r="V122" s="274">
        <f t="shared" si="78"/>
        <v>2.4</v>
      </c>
      <c r="W122" s="275">
        <f>'【国内】问卷调研-数据源（P3单独执行） '!W122</f>
        <v>51.8811881188119</v>
      </c>
      <c r="Y122" s="276"/>
      <c r="Z122" s="1">
        <v>101</v>
      </c>
      <c r="AA122" s="99">
        <f>'【国内】问卷调研-数据源（P3单独执行） '!AA122*2.2</f>
        <v>0</v>
      </c>
      <c r="AB122" s="99">
        <v>0</v>
      </c>
      <c r="AC122" s="99">
        <f t="shared" si="71"/>
        <v>2.98666666666667</v>
      </c>
      <c r="AD122" s="274">
        <f t="shared" si="79"/>
        <v>2.5</v>
      </c>
      <c r="AE122" s="275">
        <f>'【国内】问卷调研-数据源（P3单独执行） '!AE122</f>
        <v>60.9108910891089</v>
      </c>
      <c r="AG122" s="276"/>
      <c r="AH122" s="1">
        <v>101</v>
      </c>
      <c r="AI122" s="99">
        <f>'【国内】问卷调研-数据源（P3单独执行） '!AI122*2.2</f>
        <v>0</v>
      </c>
      <c r="AJ122" s="99">
        <v>0</v>
      </c>
      <c r="AK122" s="99">
        <f t="shared" si="72"/>
        <v>3.55333333333333</v>
      </c>
      <c r="AL122" s="274">
        <f t="shared" si="80"/>
        <v>2.6</v>
      </c>
      <c r="AM122" s="275">
        <f>'【国内】问卷调研-数据源（P3单独执行） '!AM122</f>
        <v>69.9405940594059</v>
      </c>
      <c r="AO122" s="276"/>
      <c r="AP122" s="1">
        <v>101</v>
      </c>
      <c r="AQ122" s="99">
        <f>'【国内】问卷调研-数据源（P3单独执行） '!AQ122*2.2</f>
        <v>0</v>
      </c>
      <c r="AR122" s="99">
        <v>0</v>
      </c>
      <c r="AS122" s="99">
        <f t="shared" si="73"/>
        <v>4.12</v>
      </c>
      <c r="AT122" s="274">
        <f t="shared" si="81"/>
        <v>2.7</v>
      </c>
      <c r="AU122" s="275">
        <f>'【国内】问卷调研-数据源（P3单独执行） '!AU122</f>
        <v>78.970297029703</v>
      </c>
      <c r="AV122" s="1"/>
      <c r="AW122" s="276"/>
      <c r="AX122" s="1">
        <v>101</v>
      </c>
      <c r="AY122" s="99">
        <f>'【国内】问卷调研-数据源（P3单独执行） '!AY122*2.2</f>
        <v>0</v>
      </c>
      <c r="AZ122" s="99">
        <v>0</v>
      </c>
      <c r="BA122" s="99">
        <f t="shared" si="74"/>
        <v>4.68666666666667</v>
      </c>
      <c r="BB122" s="274">
        <f t="shared" si="82"/>
        <v>2.8</v>
      </c>
      <c r="BC122" s="275">
        <f>'【国内】问卷调研-数据源（P3单独执行） '!BC122</f>
        <v>88</v>
      </c>
    </row>
    <row r="123" spans="2:55">
      <c r="B123" s="1">
        <v>201</v>
      </c>
      <c r="C123" s="99">
        <f>'【国内】问卷调研-数据源（P3单独执行） '!C123*2.2</f>
        <v>0</v>
      </c>
      <c r="D123" s="99">
        <v>0</v>
      </c>
      <c r="E123" s="99">
        <f t="shared" si="75"/>
        <v>2.78033333333333</v>
      </c>
      <c r="F123" s="274">
        <f t="shared" si="76"/>
        <v>2.7</v>
      </c>
      <c r="G123" s="275">
        <f>'【国内】问卷调研-数据源（P3单独执行） '!G123</f>
        <v>32.628855721393</v>
      </c>
      <c r="I123" s="276"/>
      <c r="J123" s="1">
        <v>201</v>
      </c>
      <c r="K123" s="99">
        <f>'【国内】问卷调研-数据源（P3单独执行） '!K123*2.2</f>
        <v>0</v>
      </c>
      <c r="L123" s="99">
        <v>0</v>
      </c>
      <c r="M123" s="99">
        <f t="shared" si="69"/>
        <v>3.06366666666667</v>
      </c>
      <c r="N123" s="274">
        <f t="shared" si="77"/>
        <v>2.8</v>
      </c>
      <c r="O123" s="275">
        <f>'【国内】问卷调研-数据源（P3单独执行） '!O123</f>
        <v>36.4696517412935</v>
      </c>
      <c r="Q123" s="276"/>
      <c r="R123" s="1">
        <v>201</v>
      </c>
      <c r="S123" s="99">
        <f>'【国内】问卷调研-数据源（P3单独执行） '!S123*2.2</f>
        <v>0</v>
      </c>
      <c r="T123" s="99">
        <v>0</v>
      </c>
      <c r="U123" s="99">
        <f t="shared" si="70"/>
        <v>3.347</v>
      </c>
      <c r="V123" s="274">
        <f t="shared" si="78"/>
        <v>2.9</v>
      </c>
      <c r="W123" s="275">
        <f>'【国内】问卷调研-数据源（P3单独执行） '!W123</f>
        <v>40.310447761194</v>
      </c>
      <c r="Y123" s="276"/>
      <c r="Z123" s="1">
        <v>201</v>
      </c>
      <c r="AA123" s="99">
        <f>'【国内】问卷调研-数据源（P3单独执行） '!AA123*2.2</f>
        <v>0</v>
      </c>
      <c r="AB123" s="99">
        <v>0</v>
      </c>
      <c r="AC123" s="99">
        <f t="shared" si="71"/>
        <v>3.91366666666667</v>
      </c>
      <c r="AD123" s="274">
        <f t="shared" si="79"/>
        <v>3</v>
      </c>
      <c r="AE123" s="275">
        <f>'【国内】问卷调研-数据源（P3单独执行） '!AE123</f>
        <v>45.8427860696518</v>
      </c>
      <c r="AG123" s="276"/>
      <c r="AH123" s="1">
        <v>201</v>
      </c>
      <c r="AI123" s="99">
        <f>'【国内】问卷调研-数据源（P3单独执行） '!AI123*2.2</f>
        <v>0</v>
      </c>
      <c r="AJ123" s="99">
        <v>0</v>
      </c>
      <c r="AK123" s="99">
        <f t="shared" si="72"/>
        <v>4.48033333333333</v>
      </c>
      <c r="AL123" s="274">
        <f t="shared" si="80"/>
        <v>3.1</v>
      </c>
      <c r="AM123" s="275">
        <f>'【国内】问卷调研-数据源（P3单独执行） '!AM123</f>
        <v>51.3751243781095</v>
      </c>
      <c r="AO123" s="276"/>
      <c r="AP123" s="1">
        <v>201</v>
      </c>
      <c r="AQ123" s="99">
        <f>'【国内】问卷调研-数据源（P3单独执行） '!AQ123*2.2</f>
        <v>0</v>
      </c>
      <c r="AR123" s="99">
        <v>0</v>
      </c>
      <c r="AS123" s="99">
        <f t="shared" si="73"/>
        <v>5.047</v>
      </c>
      <c r="AT123" s="274">
        <f t="shared" si="81"/>
        <v>3.2</v>
      </c>
      <c r="AU123" s="275">
        <f>'【国内】问卷调研-数据源（P3单独执行） '!AU123</f>
        <v>56.9074626865672</v>
      </c>
      <c r="AV123" s="1"/>
      <c r="AW123" s="276"/>
      <c r="AX123" s="1">
        <v>201</v>
      </c>
      <c r="AY123" s="99">
        <f>'【国内】问卷调研-数据源（P3单独执行） '!AY123*2.2</f>
        <v>0</v>
      </c>
      <c r="AZ123" s="99">
        <v>0</v>
      </c>
      <c r="BA123" s="99">
        <f t="shared" si="74"/>
        <v>5.61366666666667</v>
      </c>
      <c r="BB123" s="274">
        <f t="shared" si="82"/>
        <v>3.3</v>
      </c>
      <c r="BC123" s="275">
        <f>'【国内】问卷调研-数据源（P3单独执行） '!BC123</f>
        <v>62.4398009950249</v>
      </c>
    </row>
    <row r="124" spans="2:55">
      <c r="B124" s="1">
        <v>301</v>
      </c>
      <c r="C124" s="99">
        <f>'【国内】问卷调研-数据源（混合执行）  (2)'!C124*1.8</f>
        <v>0.18</v>
      </c>
      <c r="D124" s="99">
        <v>0</v>
      </c>
      <c r="E124" s="99">
        <f t="shared" si="75"/>
        <v>2.48</v>
      </c>
      <c r="F124" s="274">
        <f t="shared" si="76"/>
        <v>3</v>
      </c>
      <c r="G124" s="275">
        <f>'【国内】问卷调研-数据源（P3单独执行） '!G124</f>
        <v>28.4053156146179</v>
      </c>
      <c r="I124" s="276"/>
      <c r="J124" s="1">
        <v>301</v>
      </c>
      <c r="K124" s="99">
        <f>'【国内】问卷调研-数据源（混合执行）  (2)'!K124*1.8</f>
        <v>0.18</v>
      </c>
      <c r="L124" s="99">
        <v>0</v>
      </c>
      <c r="M124" s="99">
        <f t="shared" si="69"/>
        <v>2.76333333333333</v>
      </c>
      <c r="N124" s="274">
        <f t="shared" si="77"/>
        <v>3.1</v>
      </c>
      <c r="O124" s="275">
        <f>'【国内】问卷调研-数据源（P3单独执行） '!O124</f>
        <v>31.6345514950166</v>
      </c>
      <c r="Q124" s="276"/>
      <c r="R124" s="1">
        <v>301</v>
      </c>
      <c r="S124" s="99">
        <f>'【国内】问卷调研-数据源（混合执行）  (2)'!S124*1.8</f>
        <v>0.18</v>
      </c>
      <c r="T124" s="99">
        <v>0</v>
      </c>
      <c r="U124" s="99">
        <f t="shared" si="70"/>
        <v>3.04666666666667</v>
      </c>
      <c r="V124" s="274">
        <f t="shared" si="78"/>
        <v>3.2</v>
      </c>
      <c r="W124" s="275">
        <f>'【国内】问卷调研-数据源（P3单独执行） '!W124</f>
        <v>34.8637873754153</v>
      </c>
      <c r="Y124" s="276"/>
      <c r="Z124" s="1">
        <v>301</v>
      </c>
      <c r="AA124" s="99">
        <f>'【国内】问卷调研-数据源（混合执行）  (2)'!AA124*1.8</f>
        <v>0.18</v>
      </c>
      <c r="AB124" s="99">
        <v>0</v>
      </c>
      <c r="AC124" s="99">
        <f t="shared" si="71"/>
        <v>3.61333333333333</v>
      </c>
      <c r="AD124" s="274">
        <f t="shared" si="79"/>
        <v>3.3</v>
      </c>
      <c r="AE124" s="275">
        <f>'【国内】问卷调研-数据源（P3单独执行） '!AE124</f>
        <v>39.2225913621263</v>
      </c>
      <c r="AG124" s="276"/>
      <c r="AH124" s="1">
        <v>301</v>
      </c>
      <c r="AI124" s="99">
        <f>'【国内】问卷调研-数据源（混合执行）  (2)'!AI124*1.8</f>
        <v>0.18</v>
      </c>
      <c r="AJ124" s="99">
        <v>0</v>
      </c>
      <c r="AK124" s="99">
        <f t="shared" si="72"/>
        <v>4.18</v>
      </c>
      <c r="AL124" s="274">
        <f t="shared" si="80"/>
        <v>3.4</v>
      </c>
      <c r="AM124" s="275">
        <f>'【国内】问卷调研-数据源（P3单独执行） '!AM124</f>
        <v>43.5813953488372</v>
      </c>
      <c r="AO124" s="276"/>
      <c r="AP124" s="1">
        <v>301</v>
      </c>
      <c r="AQ124" s="99">
        <f>'【国内】问卷调研-数据源（混合执行）  (2)'!AQ124*1.8</f>
        <v>0.18</v>
      </c>
      <c r="AR124" s="99">
        <v>0</v>
      </c>
      <c r="AS124" s="99">
        <f t="shared" si="73"/>
        <v>4.74666666666667</v>
      </c>
      <c r="AT124" s="274">
        <f t="shared" si="81"/>
        <v>3.5</v>
      </c>
      <c r="AU124" s="275">
        <f>'【国内】问卷调研-数据源（P3单独执行） '!AU124</f>
        <v>47.9401993355482</v>
      </c>
      <c r="AV124" s="1"/>
      <c r="AW124" s="276"/>
      <c r="AX124" s="1">
        <v>301</v>
      </c>
      <c r="AY124" s="99">
        <f>'【国内】问卷调研-数据源（混合执行）  (2)'!AY124*1.8</f>
        <v>0.18</v>
      </c>
      <c r="AZ124" s="99">
        <v>0</v>
      </c>
      <c r="BA124" s="99">
        <f t="shared" si="74"/>
        <v>5.31333333333334</v>
      </c>
      <c r="BB124" s="274">
        <f t="shared" si="82"/>
        <v>3.6</v>
      </c>
      <c r="BC124" s="275">
        <f>'【国内】问卷调研-数据源（P3单独执行） '!BC124</f>
        <v>52.2990033222591</v>
      </c>
    </row>
    <row r="125" spans="2:55">
      <c r="B125" s="1">
        <v>501</v>
      </c>
      <c r="C125" s="99">
        <f>'【国内】问卷调研-数据源（混合执行）  (2)'!C125*1.8</f>
        <v>0.72</v>
      </c>
      <c r="D125" s="99">
        <v>0</v>
      </c>
      <c r="E125" s="99">
        <f t="shared" si="75"/>
        <v>2.227</v>
      </c>
      <c r="F125" s="274">
        <f t="shared" si="76"/>
        <v>3.2</v>
      </c>
      <c r="G125" s="275">
        <f>'【国内】问卷调研-数据源（P3单独执行） '!G125</f>
        <v>27.7293413173653</v>
      </c>
      <c r="I125" s="276"/>
      <c r="J125" s="1">
        <v>501</v>
      </c>
      <c r="K125" s="99">
        <f>'【国内】问卷调研-数据源（混合执行）  (2)'!K125*1.8</f>
        <v>0.72</v>
      </c>
      <c r="L125" s="99">
        <v>0</v>
      </c>
      <c r="M125" s="99">
        <f t="shared" si="69"/>
        <v>2.51033333333333</v>
      </c>
      <c r="N125" s="274">
        <f t="shared" si="77"/>
        <v>3.3</v>
      </c>
      <c r="O125" s="275">
        <f>'【国内】问卷调研-数据源（P3单独执行） '!O125</f>
        <v>30.4678642714571</v>
      </c>
      <c r="Q125" s="276"/>
      <c r="R125" s="1">
        <v>501</v>
      </c>
      <c r="S125" s="99">
        <f>'【国内】问卷调研-数据源（混合执行）  (2)'!S125*1.8</f>
        <v>0.72</v>
      </c>
      <c r="T125" s="99">
        <v>0</v>
      </c>
      <c r="U125" s="99">
        <f t="shared" si="70"/>
        <v>2.79366666666667</v>
      </c>
      <c r="V125" s="274">
        <f t="shared" si="78"/>
        <v>3.4</v>
      </c>
      <c r="W125" s="275">
        <f>'【国内】问卷调研-数据源（P3单独执行） '!W125</f>
        <v>33.2063872255489</v>
      </c>
      <c r="Y125" s="276"/>
      <c r="Z125" s="1">
        <v>501</v>
      </c>
      <c r="AA125" s="99">
        <f>'【国内】问卷调研-数据源（混合执行）  (2)'!AA125*1.8</f>
        <v>0.72</v>
      </c>
      <c r="AB125" s="99">
        <v>0</v>
      </c>
      <c r="AC125" s="99">
        <f t="shared" si="71"/>
        <v>3.36033333333333</v>
      </c>
      <c r="AD125" s="274">
        <f t="shared" si="79"/>
        <v>3.5</v>
      </c>
      <c r="AE125" s="275">
        <f>'【国内】问卷调研-数据源（P3单独执行） '!AE125</f>
        <v>36.6235528942116</v>
      </c>
      <c r="AG125" s="276"/>
      <c r="AH125" s="1">
        <v>501</v>
      </c>
      <c r="AI125" s="99">
        <f>'【国内】问卷调研-数据源（混合执行）  (2)'!AI125*1.8</f>
        <v>0.72</v>
      </c>
      <c r="AJ125" s="99">
        <v>0</v>
      </c>
      <c r="AK125" s="99">
        <f t="shared" si="72"/>
        <v>3.927</v>
      </c>
      <c r="AL125" s="274">
        <f t="shared" si="80"/>
        <v>3.6</v>
      </c>
      <c r="AM125" s="275">
        <f>'【国内】问卷调研-数据源（P3单独执行） '!AM125</f>
        <v>40.0407185628743</v>
      </c>
      <c r="AO125" s="276"/>
      <c r="AP125" s="1">
        <v>501</v>
      </c>
      <c r="AQ125" s="99">
        <f>'【国内】问卷调研-数据源（混合执行）  (2)'!AQ125*1.8</f>
        <v>0.72</v>
      </c>
      <c r="AR125" s="99">
        <v>0</v>
      </c>
      <c r="AS125" s="99">
        <f t="shared" si="73"/>
        <v>4.49366666666667</v>
      </c>
      <c r="AT125" s="274">
        <f t="shared" si="81"/>
        <v>3.7</v>
      </c>
      <c r="AU125" s="275">
        <f>'【国内】问卷调研-数据源（P3单独执行） '!AU125</f>
        <v>43.4578842315369</v>
      </c>
      <c r="AV125" s="1"/>
      <c r="AW125" s="276"/>
      <c r="AX125" s="1">
        <v>501</v>
      </c>
      <c r="AY125" s="99">
        <f>'【国内】问卷调研-数据源（混合执行）  (2)'!AY125*1.8</f>
        <v>0.72</v>
      </c>
      <c r="AZ125" s="99">
        <v>0</v>
      </c>
      <c r="BA125" s="99">
        <f t="shared" si="74"/>
        <v>5.06033333333333</v>
      </c>
      <c r="BB125" s="274">
        <f t="shared" si="82"/>
        <v>3.8</v>
      </c>
      <c r="BC125" s="275">
        <f>'【国内】问卷调研-数据源（P3单独执行） '!BC125</f>
        <v>46.8750499001996</v>
      </c>
    </row>
    <row r="126" spans="2:55">
      <c r="B126" s="1">
        <v>701</v>
      </c>
      <c r="C126" s="99">
        <f>'【国内】问卷调研-数据源（混合执行）  (2)'!C126*1.8</f>
        <v>0.9</v>
      </c>
      <c r="D126" s="99">
        <v>0</v>
      </c>
      <c r="E126" s="99">
        <f t="shared" si="75"/>
        <v>1.87666666666667</v>
      </c>
      <c r="F126" s="274">
        <f t="shared" si="76"/>
        <v>3.7</v>
      </c>
      <c r="G126" s="275">
        <f>'【国内】问卷调研-数据源（P3单独执行） '!G126</f>
        <v>24.3708987161198</v>
      </c>
      <c r="I126" s="276"/>
      <c r="J126" s="1">
        <v>701</v>
      </c>
      <c r="K126" s="99">
        <f>'【国内】问卷调研-数据源（混合执行）  (2)'!K126*1.8</f>
        <v>0.9</v>
      </c>
      <c r="L126" s="99">
        <v>0</v>
      </c>
      <c r="M126" s="99">
        <f t="shared" si="69"/>
        <v>2.16</v>
      </c>
      <c r="N126" s="274">
        <f t="shared" si="77"/>
        <v>3.8</v>
      </c>
      <c r="O126" s="275">
        <f>'【国内】问卷调研-数据源（P3单独执行） '!O126</f>
        <v>26.8987161198288</v>
      </c>
      <c r="Q126" s="276"/>
      <c r="R126" s="1">
        <v>701</v>
      </c>
      <c r="S126" s="99">
        <f>'【国内】问卷调研-数据源（混合执行）  (2)'!S126*1.8</f>
        <v>0.9</v>
      </c>
      <c r="T126" s="99">
        <v>0</v>
      </c>
      <c r="U126" s="99">
        <f t="shared" si="70"/>
        <v>2.44333333333333</v>
      </c>
      <c r="V126" s="274">
        <f t="shared" si="78"/>
        <v>3.9</v>
      </c>
      <c r="W126" s="275">
        <f>'【国内】问卷调研-数据源（P3单独执行） '!W126</f>
        <v>29.4265335235378</v>
      </c>
      <c r="Y126" s="276"/>
      <c r="Z126" s="1">
        <v>701</v>
      </c>
      <c r="AA126" s="99">
        <f>'【国内】问卷调研-数据源（混合执行）  (2)'!AA126*1.8</f>
        <v>0.9</v>
      </c>
      <c r="AB126" s="99">
        <v>0</v>
      </c>
      <c r="AC126" s="99">
        <f t="shared" si="71"/>
        <v>3.01</v>
      </c>
      <c r="AD126" s="274">
        <f t="shared" si="79"/>
        <v>4</v>
      </c>
      <c r="AE126" s="275">
        <f>'【国内】问卷调研-数据源（P3单独执行） '!AE126</f>
        <v>32.4393723252496</v>
      </c>
      <c r="AG126" s="276"/>
      <c r="AH126" s="1">
        <v>701</v>
      </c>
      <c r="AI126" s="99">
        <f>'【国内】问卷调研-数据源（混合执行）  (2)'!AI126*1.8</f>
        <v>0.9</v>
      </c>
      <c r="AJ126" s="99">
        <v>0</v>
      </c>
      <c r="AK126" s="99">
        <f t="shared" si="72"/>
        <v>3.57666666666667</v>
      </c>
      <c r="AL126" s="274">
        <f t="shared" si="80"/>
        <v>4.1</v>
      </c>
      <c r="AM126" s="275">
        <f>'【国内】问卷调研-数据源（P3单独执行） '!AM126</f>
        <v>35.4522111269615</v>
      </c>
      <c r="AO126" s="276"/>
      <c r="AP126" s="1">
        <v>701</v>
      </c>
      <c r="AQ126" s="99">
        <f>'【国内】问卷调研-数据源（混合执行）  (2)'!AQ126*1.8</f>
        <v>0.9</v>
      </c>
      <c r="AR126" s="99">
        <v>0</v>
      </c>
      <c r="AS126" s="99">
        <f t="shared" si="73"/>
        <v>4.14333333333334</v>
      </c>
      <c r="AT126" s="274">
        <f t="shared" si="81"/>
        <v>4.2</v>
      </c>
      <c r="AU126" s="275">
        <f>'【国内】问卷调研-数据源（P3单独执行） '!AU126</f>
        <v>38.4650499286733</v>
      </c>
      <c r="AV126" s="1"/>
      <c r="AW126" s="276"/>
      <c r="AX126" s="1">
        <v>701</v>
      </c>
      <c r="AY126" s="99">
        <f>'【国内】问卷调研-数据源（混合执行）  (2)'!AY126*1.8</f>
        <v>0.9</v>
      </c>
      <c r="AZ126" s="99">
        <v>0</v>
      </c>
      <c r="BA126" s="99">
        <f t="shared" si="74"/>
        <v>4.71</v>
      </c>
      <c r="BB126" s="274">
        <f t="shared" si="82"/>
        <v>4.3</v>
      </c>
      <c r="BC126" s="275">
        <f>'【国内】问卷调研-数据源（P3单独执行） '!BC126</f>
        <v>41.4778887303852</v>
      </c>
    </row>
    <row r="127" spans="2:55">
      <c r="B127" s="1">
        <v>901</v>
      </c>
      <c r="C127" s="99">
        <f>'【国内】问卷调研-数据源（混合执行）  (2)'!C127*1.8</f>
        <v>0.9</v>
      </c>
      <c r="D127" s="99">
        <v>0</v>
      </c>
      <c r="E127" s="99">
        <f t="shared" si="75"/>
        <v>2.70366666666667</v>
      </c>
      <c r="F127" s="274">
        <f t="shared" si="76"/>
        <v>4.2</v>
      </c>
      <c r="G127" s="275">
        <f>'【国内】问卷调研-数据源（P3单独执行） '!G127</f>
        <v>22.8927857935627</v>
      </c>
      <c r="I127" s="276"/>
      <c r="J127" s="1">
        <v>901</v>
      </c>
      <c r="K127" s="99">
        <f>'【国内】问卷调研-数据源（混合执行）  (2)'!K127*1.8</f>
        <v>0.9</v>
      </c>
      <c r="L127" s="99">
        <v>0</v>
      </c>
      <c r="M127" s="99">
        <f t="shared" si="69"/>
        <v>2.987</v>
      </c>
      <c r="N127" s="274">
        <f t="shared" si="77"/>
        <v>4.3</v>
      </c>
      <c r="O127" s="275">
        <f>'【国内】问卷调研-数据源（P3单独执行） '!O127</f>
        <v>25.3034406215316</v>
      </c>
      <c r="Q127" s="276"/>
      <c r="R127" s="1">
        <v>901</v>
      </c>
      <c r="S127" s="99">
        <f>'【国内】问卷调研-数据源（混合执行）  (2)'!S127*1.8</f>
        <v>0.9</v>
      </c>
      <c r="T127" s="99">
        <v>0</v>
      </c>
      <c r="U127" s="99">
        <f t="shared" si="70"/>
        <v>3.27033333333333</v>
      </c>
      <c r="V127" s="274">
        <f t="shared" si="78"/>
        <v>4.4</v>
      </c>
      <c r="W127" s="275">
        <f>'【国内】问卷调研-数据源（P3单独执行） '!W127</f>
        <v>27.7140954495006</v>
      </c>
      <c r="Y127" s="276"/>
      <c r="Z127" s="1">
        <v>901</v>
      </c>
      <c r="AA127" s="99">
        <f>'【国内】问卷调研-数据源（混合执行）  (2)'!AA127*1.8</f>
        <v>0.9</v>
      </c>
      <c r="AB127" s="99">
        <v>0</v>
      </c>
      <c r="AC127" s="99">
        <f t="shared" si="71"/>
        <v>3.837</v>
      </c>
      <c r="AD127" s="274">
        <f t="shared" si="79"/>
        <v>4.5</v>
      </c>
      <c r="AE127" s="275">
        <f>'【国内】问卷调研-数据源（P3单独执行） '!AE127</f>
        <v>30.5021087680355</v>
      </c>
      <c r="AG127" s="276"/>
      <c r="AH127" s="1">
        <v>901</v>
      </c>
      <c r="AI127" s="99">
        <f>'【国内】问卷调研-数据源（混合执行）  (2)'!AI127*1.8</f>
        <v>0.9</v>
      </c>
      <c r="AJ127" s="99">
        <v>0</v>
      </c>
      <c r="AK127" s="99">
        <f t="shared" si="72"/>
        <v>4.40366666666667</v>
      </c>
      <c r="AL127" s="274">
        <f t="shared" si="80"/>
        <v>4.6</v>
      </c>
      <c r="AM127" s="275">
        <f>'【国内】问卷调研-数据源（P3单独执行） '!AM127</f>
        <v>33.2901220865705</v>
      </c>
      <c r="AO127" s="276"/>
      <c r="AP127" s="1">
        <v>901</v>
      </c>
      <c r="AQ127" s="99">
        <f>'【国内】问卷调研-数据源（混合执行）  (2)'!AQ127*1.8</f>
        <v>0.9</v>
      </c>
      <c r="AR127" s="99">
        <v>0</v>
      </c>
      <c r="AS127" s="99">
        <f t="shared" si="73"/>
        <v>4.97033333333334</v>
      </c>
      <c r="AT127" s="274">
        <f t="shared" si="81"/>
        <v>4.7</v>
      </c>
      <c r="AU127" s="275">
        <f>'【国内】问卷调研-数据源（P3单独执行） '!AU127</f>
        <v>36.0781354051054</v>
      </c>
      <c r="AV127" s="1"/>
      <c r="AW127" s="276"/>
      <c r="AX127" s="1">
        <v>901</v>
      </c>
      <c r="AY127" s="99">
        <f>'【国内】问卷调研-数据源（混合执行）  (2)'!AY127*1.8</f>
        <v>0.9</v>
      </c>
      <c r="AZ127" s="99">
        <v>0</v>
      </c>
      <c r="BA127" s="99">
        <f t="shared" si="74"/>
        <v>5.53700000000001</v>
      </c>
      <c r="BB127" s="274">
        <f t="shared" si="82"/>
        <v>4.8</v>
      </c>
      <c r="BC127" s="275">
        <f>'【国内】问卷调研-数据源（P3单独执行） '!BC127</f>
        <v>38.8661487236404</v>
      </c>
    </row>
    <row r="128" spans="2:55">
      <c r="B128" s="1">
        <v>1001</v>
      </c>
      <c r="C128" s="99">
        <f>'【国内】问卷调研-数据源（混合执行）  (2)'!C128*1.8</f>
        <v>1.08</v>
      </c>
      <c r="D128" s="99">
        <v>0</v>
      </c>
      <c r="E128" s="99">
        <f t="shared" si="75"/>
        <v>2.87</v>
      </c>
      <c r="F128" s="274">
        <f t="shared" si="76"/>
        <v>4.7</v>
      </c>
      <c r="G128" s="275">
        <f>'【国内】问卷调研-数据源（P3单独执行） '!G128</f>
        <v>23.2147852147852</v>
      </c>
      <c r="I128" s="276"/>
      <c r="J128" s="1">
        <v>1001</v>
      </c>
      <c r="K128" s="99">
        <f>'【国内】问卷调研-数据源（混合执行）  (2)'!K128*1.8</f>
        <v>1.08</v>
      </c>
      <c r="L128" s="99">
        <v>0</v>
      </c>
      <c r="M128" s="99">
        <f t="shared" si="69"/>
        <v>3.15333333333333</v>
      </c>
      <c r="N128" s="274">
        <f t="shared" si="77"/>
        <v>4.8</v>
      </c>
      <c r="O128" s="275">
        <f>'【国内】问卷调研-数据源（P3单独执行） '!O128</f>
        <v>25.5844155844156</v>
      </c>
      <c r="Q128" s="276"/>
      <c r="R128" s="1">
        <v>1001</v>
      </c>
      <c r="S128" s="99">
        <f>'【国内】问卷调研-数据源（混合执行）  (2)'!S128*1.8</f>
        <v>1.08</v>
      </c>
      <c r="T128" s="99">
        <v>0</v>
      </c>
      <c r="U128" s="99">
        <f t="shared" si="70"/>
        <v>3.43666666666667</v>
      </c>
      <c r="V128" s="274">
        <f t="shared" si="78"/>
        <v>4.9</v>
      </c>
      <c r="W128" s="275">
        <f>'【国内】问卷调研-数据源（P3单独执行） '!W128</f>
        <v>27.954045954046</v>
      </c>
      <c r="Y128" s="276"/>
      <c r="Z128" s="1">
        <v>1001</v>
      </c>
      <c r="AA128" s="99">
        <f>'【国内】问卷调研-数据源（混合执行）  (2)'!AA128*1.8</f>
        <v>1.08</v>
      </c>
      <c r="AB128" s="99">
        <v>0</v>
      </c>
      <c r="AC128" s="99">
        <f t="shared" si="71"/>
        <v>4.00333333333333</v>
      </c>
      <c r="AD128" s="274">
        <f t="shared" si="79"/>
        <v>5</v>
      </c>
      <c r="AE128" s="275">
        <f>'【国内】问卷调研-数据源（P3单独执行） '!AE128</f>
        <v>30.6633366633367</v>
      </c>
      <c r="AG128" s="276"/>
      <c r="AH128" s="1">
        <v>1001</v>
      </c>
      <c r="AI128" s="99">
        <f>'【国内】问卷调研-数据源（混合执行）  (2)'!AI128*1.8</f>
        <v>1.08</v>
      </c>
      <c r="AJ128" s="99">
        <v>0</v>
      </c>
      <c r="AK128" s="99">
        <f t="shared" si="72"/>
        <v>4.57</v>
      </c>
      <c r="AL128" s="274">
        <f t="shared" si="80"/>
        <v>5.1</v>
      </c>
      <c r="AM128" s="275">
        <f>'【国内】问卷调研-数据源（P3单独执行） '!AM128</f>
        <v>33.3726273726274</v>
      </c>
      <c r="AO128" s="276"/>
      <c r="AP128" s="1">
        <v>1001</v>
      </c>
      <c r="AQ128" s="99">
        <f>'【国内】问卷调研-数据源（混合执行）  (2)'!AQ128*1.8</f>
        <v>1.08</v>
      </c>
      <c r="AR128" s="99">
        <v>0</v>
      </c>
      <c r="AS128" s="99">
        <f t="shared" si="73"/>
        <v>5.13666666666666</v>
      </c>
      <c r="AT128" s="274">
        <f t="shared" si="81"/>
        <v>5.2</v>
      </c>
      <c r="AU128" s="275">
        <f>'【国内】问卷调研-数据源（P3单独执行） '!AU128</f>
        <v>36.0819180819181</v>
      </c>
      <c r="AV128" s="1"/>
      <c r="AW128" s="276"/>
      <c r="AX128" s="1">
        <v>1001</v>
      </c>
      <c r="AY128" s="99">
        <f>'【国内】问卷调研-数据源（混合执行）  (2)'!AY128*1.8</f>
        <v>1.08</v>
      </c>
      <c r="AZ128" s="99">
        <v>0</v>
      </c>
      <c r="BA128" s="99">
        <f t="shared" si="74"/>
        <v>5.70333333333333</v>
      </c>
      <c r="BB128" s="274">
        <f t="shared" si="82"/>
        <v>5.3</v>
      </c>
      <c r="BC128" s="275">
        <f>'【国内】问卷调研-数据源（P3单独执行） '!BC128</f>
        <v>38.7912087912088</v>
      </c>
    </row>
    <row r="129" spans="2:55">
      <c r="B129" s="1">
        <v>1201</v>
      </c>
      <c r="C129" s="99">
        <f>'【国内】问卷调研-数据源（混合执行）  (2)'!C129*1.8</f>
        <v>1.08</v>
      </c>
      <c r="D129" s="99">
        <v>0</v>
      </c>
      <c r="E129" s="99">
        <f t="shared" si="75"/>
        <v>3.11233333333333</v>
      </c>
      <c r="F129" s="274">
        <f t="shared" si="76"/>
        <v>5.2</v>
      </c>
      <c r="G129" s="275">
        <f>'【国内】问卷调研-数据源（P3单独执行） '!G129</f>
        <v>21.7142381348876</v>
      </c>
      <c r="I129" s="276"/>
      <c r="J129" s="1">
        <v>1201</v>
      </c>
      <c r="K129" s="99">
        <f>'【国内】问卷调研-数据源（混合执行）  (2)'!K129*1.8</f>
        <v>1.08</v>
      </c>
      <c r="L129" s="99">
        <v>0</v>
      </c>
      <c r="M129" s="99">
        <f t="shared" si="69"/>
        <v>3.39566666666667</v>
      </c>
      <c r="N129" s="274">
        <f t="shared" si="77"/>
        <v>5.3</v>
      </c>
      <c r="O129" s="275">
        <f>'【国内】问卷调研-数据源（P3单独执行） '!O129</f>
        <v>24.0223147377186</v>
      </c>
      <c r="Q129" s="276"/>
      <c r="R129" s="1">
        <v>1201</v>
      </c>
      <c r="S129" s="99">
        <f>'【国内】问卷调研-数据源（混合执行）  (2)'!S129*1.8</f>
        <v>1.08</v>
      </c>
      <c r="T129" s="99">
        <v>0</v>
      </c>
      <c r="U129" s="99">
        <f t="shared" si="70"/>
        <v>3.679</v>
      </c>
      <c r="V129" s="274">
        <f t="shared" si="78"/>
        <v>5.4</v>
      </c>
      <c r="W129" s="275">
        <f>'【国内】问卷调研-数据源（P3单独执行） '!W129</f>
        <v>26.3303913405495</v>
      </c>
      <c r="Y129" s="276"/>
      <c r="Z129" s="1">
        <v>1201</v>
      </c>
      <c r="AA129" s="99">
        <f>'【国内】问卷调研-数据源（混合执行）  (2)'!AA129*1.8</f>
        <v>1.08</v>
      </c>
      <c r="AB129" s="99">
        <v>0</v>
      </c>
      <c r="AC129" s="99">
        <f t="shared" si="71"/>
        <v>4.24566666666667</v>
      </c>
      <c r="AD129" s="274">
        <f t="shared" si="79"/>
        <v>5.5</v>
      </c>
      <c r="AE129" s="275">
        <f>'【国内】问卷调研-数据源（P3单独执行） '!AE129</f>
        <v>28.9215653621982</v>
      </c>
      <c r="AG129" s="276"/>
      <c r="AH129" s="1">
        <v>1201</v>
      </c>
      <c r="AI129" s="99">
        <f>'【国内】问卷调研-数据源（混合执行）  (2)'!AI129*1.8</f>
        <v>1.08</v>
      </c>
      <c r="AJ129" s="99">
        <v>0</v>
      </c>
      <c r="AK129" s="99">
        <f t="shared" si="72"/>
        <v>4.81233333333333</v>
      </c>
      <c r="AL129" s="274">
        <f t="shared" si="80"/>
        <v>5.6</v>
      </c>
      <c r="AM129" s="275">
        <f>'【国内】问卷调研-数据源（P3单独执行） '!AM129</f>
        <v>31.5127393838468</v>
      </c>
      <c r="AO129" s="276"/>
      <c r="AP129" s="1">
        <v>1201</v>
      </c>
      <c r="AQ129" s="99">
        <f>'【国内】问卷调研-数据源（混合执行）  (2)'!AQ129*1.8</f>
        <v>1.08</v>
      </c>
      <c r="AR129" s="99">
        <v>0</v>
      </c>
      <c r="AS129" s="99">
        <f t="shared" si="73"/>
        <v>5.37900000000001</v>
      </c>
      <c r="AT129" s="274">
        <f t="shared" si="81"/>
        <v>5.7</v>
      </c>
      <c r="AU129" s="275">
        <f>'【国内】问卷调研-数据源（P3单独执行） '!AU129</f>
        <v>34.1039134054954</v>
      </c>
      <c r="AV129" s="1"/>
      <c r="AW129" s="276"/>
      <c r="AX129" s="1">
        <v>1201</v>
      </c>
      <c r="AY129" s="99">
        <f>'【国内】问卷调研-数据源（混合执行）  (2)'!AY129*1.8</f>
        <v>1.08</v>
      </c>
      <c r="AZ129" s="99">
        <v>0</v>
      </c>
      <c r="BA129" s="99">
        <f t="shared" si="74"/>
        <v>5.94566666666667</v>
      </c>
      <c r="BB129" s="274">
        <f t="shared" si="82"/>
        <v>5.8</v>
      </c>
      <c r="BC129" s="275">
        <f>'【国内】问卷调研-数据源（P3单独执行） '!BC129</f>
        <v>36.6950874271441</v>
      </c>
    </row>
    <row r="130" spans="2:55">
      <c r="B130" s="1">
        <v>1401</v>
      </c>
      <c r="C130" s="99">
        <f>'【国内】问卷调研-数据源（混合执行）  (2)'!C130*1.8</f>
        <v>1.08</v>
      </c>
      <c r="D130" s="99">
        <v>0</v>
      </c>
      <c r="E130" s="99">
        <f t="shared" si="75"/>
        <v>3.32966666666667</v>
      </c>
      <c r="F130" s="274">
        <f t="shared" si="76"/>
        <v>5.7</v>
      </c>
      <c r="G130" s="275">
        <f>'【国内】问卷调研-数据源（P3单独执行） '!G130</f>
        <v>20.6206995003569</v>
      </c>
      <c r="I130" s="276"/>
      <c r="J130" s="1">
        <v>1401</v>
      </c>
      <c r="K130" s="99">
        <f>'【国内】问卷调研-数据源（混合执行）  (2)'!K130*1.8</f>
        <v>1.08</v>
      </c>
      <c r="L130" s="99">
        <v>0</v>
      </c>
      <c r="M130" s="99">
        <f t="shared" si="69"/>
        <v>3.613</v>
      </c>
      <c r="N130" s="274">
        <f t="shared" si="77"/>
        <v>5.8</v>
      </c>
      <c r="O130" s="275">
        <f>'【国内】问卷调研-数据源（P3单独执行） '!O130</f>
        <v>22.8847965738758</v>
      </c>
      <c r="Q130" s="276"/>
      <c r="R130" s="1">
        <v>1401</v>
      </c>
      <c r="S130" s="99">
        <f>'【国内】问卷调研-数据源（混合执行）  (2)'!S130*1.8</f>
        <v>1.08</v>
      </c>
      <c r="T130" s="99">
        <v>0</v>
      </c>
      <c r="U130" s="99">
        <f t="shared" si="70"/>
        <v>3.89633333333333</v>
      </c>
      <c r="V130" s="274">
        <f t="shared" si="78"/>
        <v>5.9</v>
      </c>
      <c r="W130" s="275">
        <f>'【国内】问卷调研-数据源（P3单独执行） '!W130</f>
        <v>25.1488936473947</v>
      </c>
      <c r="Y130" s="276"/>
      <c r="Z130" s="1">
        <v>1401</v>
      </c>
      <c r="AA130" s="99">
        <f>'【国内】问卷调研-数据源（混合执行）  (2)'!AA130*1.8</f>
        <v>1.08</v>
      </c>
      <c r="AB130" s="99">
        <v>0</v>
      </c>
      <c r="AC130" s="99">
        <f t="shared" si="71"/>
        <v>4.463</v>
      </c>
      <c r="AD130" s="274">
        <f t="shared" si="79"/>
        <v>6</v>
      </c>
      <c r="AE130" s="275">
        <f>'【国内】问卷调研-数据源（P3单独执行） '!AE130</f>
        <v>27.6556745182013</v>
      </c>
      <c r="AG130" s="276"/>
      <c r="AH130" s="1">
        <v>1401</v>
      </c>
      <c r="AI130" s="99">
        <f>'【国内】问卷调研-数据源（混合执行）  (2)'!AI130*1.8</f>
        <v>1.08</v>
      </c>
      <c r="AJ130" s="99">
        <v>0</v>
      </c>
      <c r="AK130" s="99">
        <f t="shared" si="72"/>
        <v>5.02966666666667</v>
      </c>
      <c r="AL130" s="274">
        <f t="shared" si="80"/>
        <v>6.1</v>
      </c>
      <c r="AM130" s="275">
        <f>'【国内】问卷调研-数据源（P3单独执行） '!AM130</f>
        <v>30.1624553890079</v>
      </c>
      <c r="AO130" s="276"/>
      <c r="AP130" s="1">
        <v>1401</v>
      </c>
      <c r="AQ130" s="99">
        <f>'【国内】问卷调研-数据源（混合执行）  (2)'!AQ130*1.8</f>
        <v>1.08</v>
      </c>
      <c r="AR130" s="99">
        <v>0</v>
      </c>
      <c r="AS130" s="99">
        <f t="shared" si="73"/>
        <v>5.59633333333334</v>
      </c>
      <c r="AT130" s="274">
        <f t="shared" si="81"/>
        <v>6.2</v>
      </c>
      <c r="AU130" s="275">
        <f>'【国内】问卷调研-数据源（P3单独执行） '!AU130</f>
        <v>32.6692362598144</v>
      </c>
      <c r="AV130" s="1"/>
      <c r="AW130" s="276"/>
      <c r="AX130" s="1">
        <v>1401</v>
      </c>
      <c r="AY130" s="99">
        <f>'【国内】问卷调研-数据源（混合执行）  (2)'!AY130*1.8</f>
        <v>1.08</v>
      </c>
      <c r="AZ130" s="99">
        <v>0</v>
      </c>
      <c r="BA130" s="99">
        <f t="shared" si="74"/>
        <v>6.163</v>
      </c>
      <c r="BB130" s="274">
        <f t="shared" si="82"/>
        <v>6.3</v>
      </c>
      <c r="BC130" s="275">
        <f>'【国内】问卷调研-数据源（P3单独执行） '!BC130</f>
        <v>35.176017130621</v>
      </c>
    </row>
    <row r="131" spans="2:55">
      <c r="B131" s="1">
        <v>1601</v>
      </c>
      <c r="C131" s="99">
        <f>'【国内】问卷调研-数据源（混合执行）  (2)'!C131*1.8</f>
        <v>1.08</v>
      </c>
      <c r="D131" s="99">
        <v>0</v>
      </c>
      <c r="E131" s="99">
        <f t="shared" si="75"/>
        <v>3.88933333333333</v>
      </c>
      <c r="F131" s="274">
        <f t="shared" si="76"/>
        <v>6</v>
      </c>
      <c r="G131" s="275">
        <f>'【国内】问卷调研-数据源（P3单独执行） '!G131</f>
        <v>20.0194878201124</v>
      </c>
      <c r="I131" s="276"/>
      <c r="J131" s="1">
        <v>1601</v>
      </c>
      <c r="K131" s="99">
        <f>'【国内】问卷调研-数据源（混合执行）  (2)'!K131*1.8</f>
        <v>1.08</v>
      </c>
      <c r="L131" s="99">
        <v>0</v>
      </c>
      <c r="M131" s="99">
        <f t="shared" si="69"/>
        <v>4.17266666666666</v>
      </c>
      <c r="N131" s="274">
        <f t="shared" si="77"/>
        <v>6.1</v>
      </c>
      <c r="O131" s="275">
        <f>'【国内】问卷调研-数据源（P3单独执行） '!O131</f>
        <v>22.250593379138</v>
      </c>
      <c r="Q131" s="276"/>
      <c r="R131" s="1">
        <v>1601</v>
      </c>
      <c r="S131" s="99">
        <f>'【国内】问卷调研-数据源（混合执行）  (2)'!S131*1.8</f>
        <v>1.08</v>
      </c>
      <c r="T131" s="99">
        <v>0</v>
      </c>
      <c r="U131" s="99">
        <f t="shared" si="70"/>
        <v>4.456</v>
      </c>
      <c r="V131" s="274">
        <f t="shared" si="78"/>
        <v>6.2</v>
      </c>
      <c r="W131" s="275">
        <f>'【国内】问卷调研-数据源（P3单独执行） '!W131</f>
        <v>24.4816989381636</v>
      </c>
      <c r="Y131" s="276"/>
      <c r="Z131" s="1">
        <v>1601</v>
      </c>
      <c r="AA131" s="99">
        <f>'【国内】问卷调研-数据源（混合执行）  (2)'!AA131*1.8</f>
        <v>1.08</v>
      </c>
      <c r="AB131" s="99">
        <v>0</v>
      </c>
      <c r="AC131" s="99">
        <f t="shared" si="71"/>
        <v>5.02266666666667</v>
      </c>
      <c r="AD131" s="274">
        <f t="shared" si="79"/>
        <v>6.3</v>
      </c>
      <c r="AE131" s="275">
        <f>'【国内】问卷调研-数据源（P3单独执行） '!AE131</f>
        <v>26.9251717676452</v>
      </c>
      <c r="AG131" s="276"/>
      <c r="AH131" s="1">
        <v>1601</v>
      </c>
      <c r="AI131" s="99">
        <f>'【国内】问卷调研-数据源（混合执行）  (2)'!AI131*1.8</f>
        <v>1.08</v>
      </c>
      <c r="AJ131" s="99">
        <v>0</v>
      </c>
      <c r="AK131" s="99">
        <f t="shared" si="72"/>
        <v>5.58933333333334</v>
      </c>
      <c r="AL131" s="274">
        <f t="shared" si="80"/>
        <v>6.4</v>
      </c>
      <c r="AM131" s="275">
        <f>'【国内】问卷调研-数据源（P3单独执行） '!AM131</f>
        <v>29.3686445971268</v>
      </c>
      <c r="AO131" s="276"/>
      <c r="AP131" s="1">
        <v>1601</v>
      </c>
      <c r="AQ131" s="99">
        <f>'【国内】问卷调研-数据源（混合执行）  (2)'!AQ131*1.8</f>
        <v>1.08</v>
      </c>
      <c r="AR131" s="99">
        <v>0</v>
      </c>
      <c r="AS131" s="99">
        <f t="shared" si="73"/>
        <v>6.156</v>
      </c>
      <c r="AT131" s="274">
        <f t="shared" si="81"/>
        <v>6.5</v>
      </c>
      <c r="AU131" s="275">
        <f>'【国内】问卷调研-数据源（P3单独执行） '!AU131</f>
        <v>31.8121174266084</v>
      </c>
      <c r="AV131" s="1"/>
      <c r="AW131" s="276"/>
      <c r="AX131" s="1">
        <v>1601</v>
      </c>
      <c r="AY131" s="99">
        <f>'【国内】问卷调研-数据源（混合执行）  (2)'!AY131*1.8</f>
        <v>1.08</v>
      </c>
      <c r="AZ131" s="99">
        <v>0</v>
      </c>
      <c r="BA131" s="99">
        <f t="shared" si="74"/>
        <v>6.72266666666667</v>
      </c>
      <c r="BB131" s="274">
        <f t="shared" si="82"/>
        <v>6.6</v>
      </c>
      <c r="BC131" s="275">
        <f>'【国内】问卷调研-数据源（P3单独执行） '!BC131</f>
        <v>34.2555902560899</v>
      </c>
    </row>
    <row r="132" spans="2:55">
      <c r="B132" s="1">
        <v>1801</v>
      </c>
      <c r="C132" s="99">
        <f>'【国内】问卷调研-数据源（混合执行）  (2)'!C132*1.8</f>
        <v>1.08</v>
      </c>
      <c r="D132" s="99">
        <v>0</v>
      </c>
      <c r="E132" s="99">
        <f t="shared" si="75"/>
        <v>4.524</v>
      </c>
      <c r="F132" s="274">
        <f t="shared" si="76"/>
        <v>6</v>
      </c>
      <c r="G132" s="275">
        <f>'【国内】问卷调研-数据源（P3单独执行） '!G132</f>
        <v>19.5518045530261</v>
      </c>
      <c r="I132" s="276"/>
      <c r="J132" s="1">
        <v>1801</v>
      </c>
      <c r="K132" s="99">
        <f>'【国内】问卷调研-数据源（混合执行）  (2)'!K132*1.8</f>
        <v>1.08</v>
      </c>
      <c r="L132" s="99">
        <v>0</v>
      </c>
      <c r="M132" s="99">
        <f t="shared" si="69"/>
        <v>4.80733333333333</v>
      </c>
      <c r="N132" s="274">
        <f t="shared" si="77"/>
        <v>6.1</v>
      </c>
      <c r="O132" s="275">
        <f>'【国内】问卷调研-数据源（P3单独执行） '!O132</f>
        <v>21.7572459744586</v>
      </c>
      <c r="Q132" s="276"/>
      <c r="R132" s="1">
        <v>1801</v>
      </c>
      <c r="S132" s="99">
        <f>'【国内】问卷调研-数据源（混合执行）  (2)'!S132*1.8</f>
        <v>1.08</v>
      </c>
      <c r="T132" s="99">
        <v>0</v>
      </c>
      <c r="U132" s="99">
        <f t="shared" si="70"/>
        <v>5.09066666666667</v>
      </c>
      <c r="V132" s="274">
        <f t="shared" si="78"/>
        <v>6.2</v>
      </c>
      <c r="W132" s="275">
        <f>'【国内】问卷调研-数据源（P3单独执行） '!W132</f>
        <v>23.9626873958912</v>
      </c>
      <c r="Y132" s="276"/>
      <c r="Z132" s="1">
        <v>1801</v>
      </c>
      <c r="AA132" s="99">
        <f>'【国内】问卷调研-数据源（混合执行）  (2)'!AA132*1.8</f>
        <v>1.08</v>
      </c>
      <c r="AB132" s="99">
        <v>0</v>
      </c>
      <c r="AC132" s="99">
        <f t="shared" si="71"/>
        <v>5.65733333333333</v>
      </c>
      <c r="AD132" s="274">
        <f t="shared" si="79"/>
        <v>6.3</v>
      </c>
      <c r="AE132" s="275">
        <f>'【国内】问卷调研-数据源（P3单独执行） '!AE132</f>
        <v>26.3569128262077</v>
      </c>
      <c r="AG132" s="276"/>
      <c r="AH132" s="1">
        <v>1801</v>
      </c>
      <c r="AI132" s="99">
        <f>'【国内】问卷调研-数据源（混合执行）  (2)'!AI132*1.8</f>
        <v>1.08</v>
      </c>
      <c r="AJ132" s="99">
        <v>0</v>
      </c>
      <c r="AK132" s="99">
        <f t="shared" si="72"/>
        <v>6.224</v>
      </c>
      <c r="AL132" s="274">
        <f t="shared" si="80"/>
        <v>6.4</v>
      </c>
      <c r="AM132" s="275">
        <f>'【国内】问卷调研-数据源（P3单独执行） '!AM132</f>
        <v>28.7511382565242</v>
      </c>
      <c r="AO132" s="276"/>
      <c r="AP132" s="1">
        <v>1801</v>
      </c>
      <c r="AQ132" s="99">
        <f>'【国内】问卷调研-数据源（混合执行）  (2)'!AQ132*1.8</f>
        <v>1.08</v>
      </c>
      <c r="AR132" s="99">
        <v>0</v>
      </c>
      <c r="AS132" s="99">
        <f t="shared" si="73"/>
        <v>6.79066666666667</v>
      </c>
      <c r="AT132" s="274">
        <f t="shared" si="81"/>
        <v>6.5</v>
      </c>
      <c r="AU132" s="275">
        <f>'【国内】问卷调研-数据源（P3单独执行） '!AU132</f>
        <v>31.1453636868406</v>
      </c>
      <c r="AV132" s="1"/>
      <c r="AW132" s="276"/>
      <c r="AX132" s="1">
        <v>1801</v>
      </c>
      <c r="AY132" s="99">
        <f>'【国内】问卷调研-数据源（混合执行）  (2)'!AY132*1.8</f>
        <v>1.08</v>
      </c>
      <c r="AZ132" s="99">
        <v>0</v>
      </c>
      <c r="BA132" s="99">
        <f t="shared" si="74"/>
        <v>7.35733333333333</v>
      </c>
      <c r="BB132" s="274">
        <f t="shared" si="82"/>
        <v>6.6</v>
      </c>
      <c r="BC132" s="275">
        <f>'【国内】问卷调研-数据源（P3单独执行） '!BC132</f>
        <v>33.5395891171571</v>
      </c>
    </row>
    <row r="133" spans="2:55">
      <c r="B133" s="1">
        <v>2001</v>
      </c>
      <c r="C133" s="99">
        <f>'【国内】问卷调研-数据源（混合执行）  (2)'!C133*1.8</f>
        <v>1.26</v>
      </c>
      <c r="D133" s="99">
        <v>0</v>
      </c>
      <c r="E133" s="99">
        <f t="shared" si="75"/>
        <v>4.76533333333333</v>
      </c>
      <c r="F133" s="274">
        <f t="shared" si="76"/>
        <v>6.2</v>
      </c>
      <c r="G133" s="275">
        <f>'【国内】问卷调研-数据源（P3单独执行） '!G133</f>
        <v>19.5024487756122</v>
      </c>
      <c r="I133" s="276"/>
      <c r="J133" s="1">
        <v>2001</v>
      </c>
      <c r="K133" s="99">
        <f>'【国内】问卷调研-数据源（混合执行）  (2)'!K133*1.8</f>
        <v>1.26</v>
      </c>
      <c r="L133" s="99">
        <v>0</v>
      </c>
      <c r="M133" s="99">
        <f t="shared" si="69"/>
        <v>5.04866666666667</v>
      </c>
      <c r="N133" s="274">
        <f t="shared" si="77"/>
        <v>6.3</v>
      </c>
      <c r="O133" s="275">
        <f>'【国内】问卷调研-数据源（P3单独执行） '!O133</f>
        <v>21.6873563218391</v>
      </c>
      <c r="Q133" s="276"/>
      <c r="R133" s="1">
        <v>2001</v>
      </c>
      <c r="S133" s="99">
        <f>'【国内】问卷调研-数据源（混合执行）  (2)'!S133*1.8</f>
        <v>1.26</v>
      </c>
      <c r="T133" s="99">
        <v>0</v>
      </c>
      <c r="U133" s="99">
        <f t="shared" si="70"/>
        <v>5.332</v>
      </c>
      <c r="V133" s="274">
        <f t="shared" si="78"/>
        <v>6.4</v>
      </c>
      <c r="W133" s="275">
        <f>'【国内】问卷调研-数据源（P3单独执行） '!W133</f>
        <v>23.872263868066</v>
      </c>
      <c r="Y133" s="276"/>
      <c r="Z133" s="1">
        <v>2001</v>
      </c>
      <c r="AA133" s="99">
        <f>'【国内】问卷调研-数据源（混合执行）  (2)'!AA133*1.8</f>
        <v>1.26</v>
      </c>
      <c r="AB133" s="99">
        <v>0</v>
      </c>
      <c r="AC133" s="99">
        <f t="shared" si="71"/>
        <v>5.89866666666667</v>
      </c>
      <c r="AD133" s="274">
        <f t="shared" si="79"/>
        <v>6.5</v>
      </c>
      <c r="AE133" s="275">
        <f>'【国内】问卷调研-数据源（P3单独执行） '!AE133</f>
        <v>26.2270864567716</v>
      </c>
      <c r="AG133" s="276"/>
      <c r="AH133" s="1">
        <v>2001</v>
      </c>
      <c r="AI133" s="99">
        <f>'【国内】问卷调研-数据源（混合执行）  (2)'!AI133*1.8</f>
        <v>1.26</v>
      </c>
      <c r="AJ133" s="99">
        <v>0</v>
      </c>
      <c r="AK133" s="99">
        <f t="shared" si="72"/>
        <v>6.46533333333334</v>
      </c>
      <c r="AL133" s="274">
        <f t="shared" si="80"/>
        <v>6.6</v>
      </c>
      <c r="AM133" s="275">
        <f>'【国内】问卷调研-数据源（P3单独执行） '!AM133</f>
        <v>28.5819090454773</v>
      </c>
      <c r="AO133" s="276"/>
      <c r="AP133" s="1">
        <v>2001</v>
      </c>
      <c r="AQ133" s="99">
        <f>'【国内】问卷调研-数据源（混合执行）  (2)'!AQ133*1.8</f>
        <v>1.26</v>
      </c>
      <c r="AR133" s="99">
        <v>0</v>
      </c>
      <c r="AS133" s="99">
        <f t="shared" si="73"/>
        <v>7.032</v>
      </c>
      <c r="AT133" s="274">
        <f t="shared" si="81"/>
        <v>6.7</v>
      </c>
      <c r="AU133" s="275">
        <f>'【国内】问卷调研-数据源（P3单独执行） '!AU133</f>
        <v>30.9367316341829</v>
      </c>
      <c r="AV133" s="1"/>
      <c r="AW133" s="276"/>
      <c r="AX133" s="1">
        <v>2001</v>
      </c>
      <c r="AY133" s="99">
        <f>'【国内】问卷调研-数据源（混合执行）  (2)'!AY133*1.8</f>
        <v>1.26</v>
      </c>
      <c r="AZ133" s="99">
        <v>0</v>
      </c>
      <c r="BA133" s="99">
        <f t="shared" si="74"/>
        <v>7.59866666666666</v>
      </c>
      <c r="BB133" s="274">
        <f t="shared" si="82"/>
        <v>6.8</v>
      </c>
      <c r="BC133" s="275">
        <f>'【国内】问卷调研-数据源（P3单独执行） '!BC133</f>
        <v>33.2915542228885</v>
      </c>
    </row>
    <row r="134" spans="2:55">
      <c r="B134" s="1">
        <v>2201</v>
      </c>
      <c r="C134" s="99">
        <f>'【国内】问卷调研-数据源（混合执行）  (2)'!C134*1.8</f>
        <v>1.26</v>
      </c>
      <c r="D134" s="99">
        <v>0</v>
      </c>
      <c r="E134" s="99">
        <f t="shared" si="75"/>
        <v>5.35</v>
      </c>
      <c r="F134" s="274">
        <f t="shared" si="76"/>
        <v>6.4</v>
      </c>
      <c r="G134" s="275">
        <f>'【国内】问卷调研-数据源（P3单独执行） '!G134</f>
        <v>19.1667423898228</v>
      </c>
      <c r="I134" s="276"/>
      <c r="J134" s="1">
        <v>2201</v>
      </c>
      <c r="K134" s="99">
        <f>'【国内】问卷调研-数据源（混合执行）  (2)'!K134*1.8</f>
        <v>1.26</v>
      </c>
      <c r="L134" s="99">
        <v>0</v>
      </c>
      <c r="M134" s="99">
        <f t="shared" si="69"/>
        <v>5.63333333333333</v>
      </c>
      <c r="N134" s="274">
        <f t="shared" si="77"/>
        <v>6.5</v>
      </c>
      <c r="O134" s="275">
        <f>'【国内】问卷调研-数据源（P3单独执行） '!O134</f>
        <v>21.3348477964562</v>
      </c>
      <c r="Q134" s="276"/>
      <c r="R134" s="1">
        <v>2201</v>
      </c>
      <c r="S134" s="99">
        <f>'【国内】问卷调研-数据源（混合执行）  (2)'!S134*1.8</f>
        <v>1.26</v>
      </c>
      <c r="T134" s="99">
        <v>0</v>
      </c>
      <c r="U134" s="99">
        <f t="shared" si="70"/>
        <v>5.91666666666667</v>
      </c>
      <c r="V134" s="274">
        <f t="shared" si="78"/>
        <v>6.6</v>
      </c>
      <c r="W134" s="275">
        <f>'【国内】问卷调研-数据源（P3单独执行） '!W134</f>
        <v>23.5029532030895</v>
      </c>
      <c r="Y134" s="276"/>
      <c r="Z134" s="1">
        <v>2201</v>
      </c>
      <c r="AA134" s="99">
        <f>'【国内】问卷调研-数据源（混合执行）  (2)'!AA134*1.8</f>
        <v>1.26</v>
      </c>
      <c r="AB134" s="99">
        <v>0</v>
      </c>
      <c r="AC134" s="99">
        <f t="shared" si="71"/>
        <v>6.48333333333333</v>
      </c>
      <c r="AD134" s="274">
        <f t="shared" si="79"/>
        <v>6.7</v>
      </c>
      <c r="AE134" s="275">
        <f>'【国内】问卷调研-数据源（P3单独执行） '!AE134</f>
        <v>25.8255338482508</v>
      </c>
      <c r="AG134" s="276"/>
      <c r="AH134" s="1">
        <v>2201</v>
      </c>
      <c r="AI134" s="99">
        <f>'【国内】问卷调研-数据源（混合执行）  (2)'!AI134*1.8</f>
        <v>1.26</v>
      </c>
      <c r="AJ134" s="99">
        <v>0</v>
      </c>
      <c r="AK134" s="99">
        <f t="shared" si="72"/>
        <v>7.05</v>
      </c>
      <c r="AL134" s="274">
        <f t="shared" si="80"/>
        <v>6.8</v>
      </c>
      <c r="AM134" s="275">
        <f>'【国内】问卷调研-数据源（P3单独执行） '!AM134</f>
        <v>28.1481144934121</v>
      </c>
      <c r="AO134" s="276"/>
      <c r="AP134" s="1">
        <v>2201</v>
      </c>
      <c r="AQ134" s="99">
        <f>'【国内】问卷调研-数据源（混合执行）  (2)'!AQ134*1.8</f>
        <v>1.26</v>
      </c>
      <c r="AR134" s="99">
        <v>0</v>
      </c>
      <c r="AS134" s="99">
        <f t="shared" si="73"/>
        <v>7.61666666666667</v>
      </c>
      <c r="AT134" s="274">
        <f t="shared" si="81"/>
        <v>6.9</v>
      </c>
      <c r="AU134" s="275">
        <f>'【国内】问卷调研-数据源（P3单独执行） '!AU134</f>
        <v>30.4706951385734</v>
      </c>
      <c r="AV134" s="1"/>
      <c r="AW134" s="276"/>
      <c r="AX134" s="1">
        <v>2201</v>
      </c>
      <c r="AY134" s="99">
        <f>'【国内】问卷调研-数据源（混合执行）  (2)'!AY134*1.8</f>
        <v>1.26</v>
      </c>
      <c r="AZ134" s="99">
        <v>0</v>
      </c>
      <c r="BA134" s="99">
        <f t="shared" si="74"/>
        <v>8.18333333333333</v>
      </c>
      <c r="BB134" s="274">
        <f t="shared" si="82"/>
        <v>7</v>
      </c>
      <c r="BC134" s="275">
        <f>'【国内】问卷调研-数据源（P3单独执行） '!BC134</f>
        <v>32.7932757837347</v>
      </c>
    </row>
    <row r="135" spans="2:55">
      <c r="B135" s="1">
        <v>2401</v>
      </c>
      <c r="C135" s="99">
        <f>'【国内】问卷调研-数据源（混合执行）  (2)'!C135*1.8</f>
        <v>1.26</v>
      </c>
      <c r="D135" s="99">
        <v>0</v>
      </c>
      <c r="E135" s="99">
        <f t="shared" si="75"/>
        <v>5.64233333333334</v>
      </c>
      <c r="F135" s="274">
        <f t="shared" si="76"/>
        <v>6.5</v>
      </c>
      <c r="G135" s="275">
        <f>'【国内】问卷调研-数据源（P3单独执行） '!G135</f>
        <v>18.7283631820075</v>
      </c>
      <c r="I135" s="276"/>
      <c r="J135" s="1">
        <v>2401</v>
      </c>
      <c r="K135" s="99">
        <f>'【国内】问卷调研-数据源（混合执行）  (2)'!K135*1.8</f>
        <v>1.26</v>
      </c>
      <c r="L135" s="99">
        <v>0</v>
      </c>
      <c r="M135" s="99">
        <f t="shared" si="69"/>
        <v>5.92566666666667</v>
      </c>
      <c r="N135" s="274">
        <f t="shared" si="77"/>
        <v>6.6</v>
      </c>
      <c r="O135" s="275">
        <f>'【国内】问卷调研-数据源（P3单独执行） '!O135</f>
        <v>20.882465639317</v>
      </c>
      <c r="Q135" s="276"/>
      <c r="R135" s="1">
        <v>2401</v>
      </c>
      <c r="S135" s="99">
        <f>'【国内】问卷调研-数据源（混合执行）  (2)'!S135*1.8</f>
        <v>1.26</v>
      </c>
      <c r="T135" s="99">
        <v>0</v>
      </c>
      <c r="U135" s="99">
        <f t="shared" si="70"/>
        <v>6.209</v>
      </c>
      <c r="V135" s="274">
        <f t="shared" si="78"/>
        <v>6.7</v>
      </c>
      <c r="W135" s="275">
        <f>'【国内】问卷调研-数据源（P3单独执行） '!W135</f>
        <v>23.0365680966264</v>
      </c>
      <c r="Y135" s="276"/>
      <c r="Z135" s="1">
        <v>2401</v>
      </c>
      <c r="AA135" s="99">
        <f>'【国内】问卷调研-数据源（混合执行）  (2)'!AA135*1.8</f>
        <v>1.26</v>
      </c>
      <c r="AB135" s="99">
        <v>0</v>
      </c>
      <c r="AC135" s="99">
        <f t="shared" si="71"/>
        <v>6.77566666666667</v>
      </c>
      <c r="AD135" s="274">
        <f t="shared" si="79"/>
        <v>6.8</v>
      </c>
      <c r="AE135" s="275">
        <f>'【国内】问卷调研-数据源（P3单独执行） '!AE135</f>
        <v>25.3322782174094</v>
      </c>
      <c r="AG135" s="276"/>
      <c r="AH135" s="1">
        <v>2401</v>
      </c>
      <c r="AI135" s="99">
        <f>'【国内】问卷调研-数据源（混合执行）  (2)'!AI135*1.8</f>
        <v>1.26</v>
      </c>
      <c r="AJ135" s="99">
        <v>0</v>
      </c>
      <c r="AK135" s="99">
        <f t="shared" si="72"/>
        <v>7.34233333333334</v>
      </c>
      <c r="AL135" s="274">
        <f t="shared" si="80"/>
        <v>6.9</v>
      </c>
      <c r="AM135" s="275">
        <f>'【国内】问卷调研-数据源（P3单独执行） '!AM135</f>
        <v>27.6279883381924</v>
      </c>
      <c r="AO135" s="276"/>
      <c r="AP135" s="1">
        <v>2401</v>
      </c>
      <c r="AQ135" s="99">
        <f>'【国内】问卷调研-数据源（混合执行）  (2)'!AQ135*1.8</f>
        <v>1.26</v>
      </c>
      <c r="AR135" s="99">
        <v>0</v>
      </c>
      <c r="AS135" s="99">
        <f t="shared" si="73"/>
        <v>7.909</v>
      </c>
      <c r="AT135" s="274">
        <f t="shared" si="81"/>
        <v>7</v>
      </c>
      <c r="AU135" s="275">
        <f>'【国内】问卷调研-数据源（P3单独执行） '!AU135</f>
        <v>29.9236984589754</v>
      </c>
      <c r="AV135" s="1"/>
      <c r="AW135" s="276"/>
      <c r="AX135" s="1">
        <v>2401</v>
      </c>
      <c r="AY135" s="99">
        <f>'【国内】问卷调研-数据源（混合执行）  (2)'!AY135*1.8</f>
        <v>1.26</v>
      </c>
      <c r="AZ135" s="99">
        <v>0</v>
      </c>
      <c r="BA135" s="99">
        <f t="shared" si="74"/>
        <v>8.47566666666667</v>
      </c>
      <c r="BB135" s="274">
        <f t="shared" si="82"/>
        <v>7.1</v>
      </c>
      <c r="BC135" s="275">
        <f>'【国内】问卷调研-数据源（P3单独执行） '!BC135</f>
        <v>32.2194085797584</v>
      </c>
    </row>
    <row r="136" spans="2:55">
      <c r="B136" s="1">
        <v>2601</v>
      </c>
      <c r="C136" s="99">
        <f>'【国内】问卷调研-数据源（混合执行）  (2)'!C136*1.8</f>
        <v>1.44</v>
      </c>
      <c r="D136" s="99">
        <v>0</v>
      </c>
      <c r="E136" s="99">
        <f t="shared" si="75"/>
        <v>5.54133333333333</v>
      </c>
      <c r="F136" s="274">
        <f t="shared" si="76"/>
        <v>6.6</v>
      </c>
      <c r="G136" s="275">
        <f>'【国内】问卷调研-数据源（P3单独执行） '!G136</f>
        <v>18.5842368319877</v>
      </c>
      <c r="I136" s="276"/>
      <c r="J136" s="1">
        <v>2601</v>
      </c>
      <c r="K136" s="99">
        <f>'【国内】问卷调研-数据源（混合执行）  (2)'!K136*1.8</f>
        <v>1.44</v>
      </c>
      <c r="L136" s="99">
        <v>0</v>
      </c>
      <c r="M136" s="99">
        <f t="shared" si="69"/>
        <v>5.82466666666666</v>
      </c>
      <c r="N136" s="274">
        <f t="shared" si="77"/>
        <v>6.7</v>
      </c>
      <c r="O136" s="275">
        <f>'【国内】问卷调研-数据源（P3单独执行） '!O136</f>
        <v>20.7264898116109</v>
      </c>
      <c r="Q136" s="276"/>
      <c r="R136" s="1">
        <v>2601</v>
      </c>
      <c r="S136" s="99">
        <f>'【国内】问卷调研-数据源（混合执行）  (2)'!S136*1.8</f>
        <v>1.44</v>
      </c>
      <c r="T136" s="99">
        <v>0</v>
      </c>
      <c r="U136" s="99">
        <f t="shared" si="70"/>
        <v>6.108</v>
      </c>
      <c r="V136" s="274">
        <f t="shared" si="78"/>
        <v>6.8</v>
      </c>
      <c r="W136" s="275">
        <f>'【国内】问卷调研-数据源（P3单独执行） '!W136</f>
        <v>22.8687427912341</v>
      </c>
      <c r="Y136" s="276"/>
      <c r="Z136" s="1">
        <v>2601</v>
      </c>
      <c r="AA136" s="99">
        <f>'【国内】问卷调研-数据源（混合执行）  (2)'!AA136*1.8</f>
        <v>1.44</v>
      </c>
      <c r="AB136" s="99">
        <v>0</v>
      </c>
      <c r="AC136" s="99">
        <f t="shared" si="71"/>
        <v>6.67466666666666</v>
      </c>
      <c r="AD136" s="274">
        <f t="shared" si="79"/>
        <v>6.9</v>
      </c>
      <c r="AE136" s="275">
        <f>'【国内】问卷调研-数据源（P3单独执行） '!AE136</f>
        <v>25.1417147251057</v>
      </c>
      <c r="AG136" s="276"/>
      <c r="AH136" s="1">
        <v>2601</v>
      </c>
      <c r="AI136" s="99">
        <f>'【国内】问卷调研-数据源（混合执行）  (2)'!AI136*1.8</f>
        <v>1.44</v>
      </c>
      <c r="AJ136" s="99">
        <v>0</v>
      </c>
      <c r="AK136" s="99">
        <f t="shared" si="72"/>
        <v>7.24133333333334</v>
      </c>
      <c r="AL136" s="274">
        <f t="shared" si="80"/>
        <v>7</v>
      </c>
      <c r="AM136" s="275">
        <f>'【国内】问卷调研-数据源（P3单独执行） '!AM136</f>
        <v>27.4146866589773</v>
      </c>
      <c r="AO136" s="276"/>
      <c r="AP136" s="1">
        <v>2601</v>
      </c>
      <c r="AQ136" s="99">
        <f>'【国内】问卷调研-数据源（混合执行）  (2)'!AQ136*1.8</f>
        <v>1.44</v>
      </c>
      <c r="AR136" s="99">
        <v>0</v>
      </c>
      <c r="AS136" s="99">
        <f t="shared" si="73"/>
        <v>7.808</v>
      </c>
      <c r="AT136" s="274">
        <f t="shared" si="81"/>
        <v>7.1</v>
      </c>
      <c r="AU136" s="275">
        <f>'【国内】问卷调研-数据源（P3单独执行） '!AU136</f>
        <v>29.6876585928489</v>
      </c>
      <c r="AV136" s="1"/>
      <c r="AW136" s="276"/>
      <c r="AX136" s="1">
        <v>2601</v>
      </c>
      <c r="AY136" s="99">
        <f>'【国内】问卷调研-数据源（混合执行）  (2)'!AY136*1.8</f>
        <v>1.44</v>
      </c>
      <c r="AZ136" s="99">
        <v>0</v>
      </c>
      <c r="BA136" s="99">
        <f t="shared" si="74"/>
        <v>8.37466666666667</v>
      </c>
      <c r="BB136" s="274">
        <f t="shared" si="82"/>
        <v>7.2</v>
      </c>
      <c r="BC136" s="275">
        <f>'【国内】问卷调研-数据源（P3单独执行） '!BC136</f>
        <v>31.9606305267205</v>
      </c>
    </row>
    <row r="137" spans="2:55">
      <c r="B137" s="1">
        <v>2801</v>
      </c>
      <c r="C137" s="99">
        <f>'【国内】问卷调研-数据源（混合执行）  (2)'!C137*1.8</f>
        <v>1.44</v>
      </c>
      <c r="D137" s="99">
        <v>0</v>
      </c>
      <c r="E137" s="99">
        <f t="shared" si="75"/>
        <v>6.71066666666666</v>
      </c>
      <c r="F137" s="274">
        <f t="shared" si="76"/>
        <v>7</v>
      </c>
      <c r="G137" s="275">
        <f>'【国内】问卷调研-数据源（P3单独执行） '!G137</f>
        <v>18.6579078900393</v>
      </c>
      <c r="I137" s="276"/>
      <c r="J137" s="1">
        <v>2801</v>
      </c>
      <c r="K137" s="99">
        <f>'【国内】问卷调研-数据源（混合执行）  (2)'!K137*1.8</f>
        <v>1.44</v>
      </c>
      <c r="L137" s="99">
        <v>0</v>
      </c>
      <c r="M137" s="99">
        <f t="shared" si="69"/>
        <v>6.99399999999999</v>
      </c>
      <c r="N137" s="274">
        <f t="shared" si="77"/>
        <v>7.1</v>
      </c>
      <c r="O137" s="275">
        <f>'【国内】问卷调研-数据源（P3单独执行） '!O137</f>
        <v>20.7900035701535</v>
      </c>
      <c r="Q137" s="276"/>
      <c r="R137" s="1">
        <v>2801</v>
      </c>
      <c r="S137" s="99">
        <f>'【国内】问卷调研-数据源（混合执行）  (2)'!S137*1.8</f>
        <v>1.44</v>
      </c>
      <c r="T137" s="99">
        <v>0</v>
      </c>
      <c r="U137" s="99">
        <f t="shared" si="70"/>
        <v>7.27733333333333</v>
      </c>
      <c r="V137" s="274">
        <f t="shared" si="78"/>
        <v>7.2</v>
      </c>
      <c r="W137" s="275">
        <f>'【国内】问卷调研-数据源（P3单独执行） '!W137</f>
        <v>22.9220992502678</v>
      </c>
      <c r="Y137" s="276"/>
      <c r="Z137" s="1">
        <v>2801</v>
      </c>
      <c r="AA137" s="99">
        <f>'【国内】问卷调研-数据源（混合执行）  (2)'!AA137*1.8</f>
        <v>1.44</v>
      </c>
      <c r="AB137" s="99">
        <v>0</v>
      </c>
      <c r="AC137" s="99">
        <f t="shared" si="71"/>
        <v>7.84399999999999</v>
      </c>
      <c r="AD137" s="274">
        <f t="shared" si="79"/>
        <v>7.3</v>
      </c>
      <c r="AE137" s="275">
        <f>'【国内】问卷调研-数据源（P3单独执行） '!AE137</f>
        <v>25.1755801499464</v>
      </c>
      <c r="AG137" s="276"/>
      <c r="AH137" s="1">
        <v>2801</v>
      </c>
      <c r="AI137" s="99">
        <f>'【国内】问卷调研-数据源（混合执行）  (2)'!AI137*1.8</f>
        <v>1.44</v>
      </c>
      <c r="AJ137" s="99">
        <v>0</v>
      </c>
      <c r="AK137" s="99">
        <f t="shared" si="72"/>
        <v>8.41066666666666</v>
      </c>
      <c r="AL137" s="274">
        <f t="shared" si="80"/>
        <v>7.4</v>
      </c>
      <c r="AM137" s="275">
        <f>'【国内】问卷调研-数据源（P3单独执行） '!AM137</f>
        <v>27.4290610496251</v>
      </c>
      <c r="AO137" s="276"/>
      <c r="AP137" s="1">
        <v>2801</v>
      </c>
      <c r="AQ137" s="99">
        <f>'【国内】问卷调研-数据源（混合执行）  (2)'!AQ137*1.8</f>
        <v>1.44</v>
      </c>
      <c r="AR137" s="99">
        <v>0</v>
      </c>
      <c r="AS137" s="99">
        <f t="shared" si="73"/>
        <v>8.97733333333332</v>
      </c>
      <c r="AT137" s="274">
        <f t="shared" si="81"/>
        <v>7.5</v>
      </c>
      <c r="AU137" s="275">
        <f>'【国内】问卷调研-数据源（P3单独执行） '!AU137</f>
        <v>29.6825419493038</v>
      </c>
      <c r="AV137" s="1"/>
      <c r="AW137" s="276"/>
      <c r="AX137" s="1">
        <v>2801</v>
      </c>
      <c r="AY137" s="99">
        <f>'【国内】问卷调研-数据源（混合执行）  (2)'!AY137*1.8</f>
        <v>1.44</v>
      </c>
      <c r="AZ137" s="99">
        <v>0</v>
      </c>
      <c r="BA137" s="99">
        <f t="shared" si="74"/>
        <v>9.544</v>
      </c>
      <c r="BB137" s="274">
        <f t="shared" si="82"/>
        <v>7.6</v>
      </c>
      <c r="BC137" s="275">
        <f>'【国内】问卷调研-数据源（P3单独执行） '!BC137</f>
        <v>31.9360228489825</v>
      </c>
    </row>
    <row r="142" spans="2:55">
      <c r="G142" s="1">
        <f>AVERAGE(G3,G25,G49,G72,G95,G118,O3,O26,O49,O72,O95,O118,W3,W26,W49,W72,W95,W118,AE3,AE26,AE49,AE72,AE95,AE118,AM3,AM26,AM49,AM72,AM95,AM118,AU3,AU26,AU49,AU72,AU95,AU118,)</f>
        <v>20.1668529740606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42"/>
  <sheetViews>
    <sheetView zoomScale="85" zoomScaleNormal="85" topLeftCell="H103" workbookViewId="0">
      <selection activeCell="G36" sqref="G36"/>
    </sheetView>
  </sheetViews>
  <sheetFormatPr defaultColWidth="9" defaultRowHeight="16.5"/>
  <cols>
    <col min="1" max="1" width="11.875" style="267" customWidth="1"/>
    <col min="2" max="3" width="12.5" style="267" customWidth="1"/>
    <col min="4" max="4" width="9.5" style="1" customWidth="1"/>
    <col min="5" max="5" width="14.125" style="1" customWidth="1"/>
    <col min="6" max="6" width="9.5" style="1" customWidth="1"/>
    <col min="7" max="7" width="13.875" style="1" customWidth="1"/>
    <col min="8" max="8" width="16.125" style="1" customWidth="1"/>
    <col min="9" max="9" width="3.125" style="121" customWidth="1"/>
    <col min="10" max="11" width="11.75" style="267" customWidth="1"/>
    <col min="12" max="12" width="9.5" style="1" customWidth="1"/>
    <col min="13" max="13" width="18.375" style="1" customWidth="1"/>
    <col min="14" max="14" width="9.5" style="1" customWidth="1"/>
    <col min="15" max="15" width="13.25" style="1" customWidth="1"/>
    <col min="16" max="16" width="15.625" style="1" customWidth="1"/>
    <col min="17" max="17" width="3.125" style="121" customWidth="1"/>
    <col min="18" max="19" width="11.75" style="267" customWidth="1"/>
    <col min="20" max="20" width="9.5" style="1" customWidth="1"/>
    <col min="21" max="21" width="12.5" style="1" customWidth="1"/>
    <col min="22" max="22" width="9.5" style="1" customWidth="1"/>
    <col min="23" max="23" width="11.875" style="1" customWidth="1"/>
    <col min="24" max="24" width="9.5" style="1" customWidth="1"/>
    <col min="25" max="25" width="3.25" style="121" customWidth="1"/>
    <col min="26" max="27" width="13.5" style="267" customWidth="1"/>
    <col min="28" max="32" width="9.5" style="1" customWidth="1"/>
    <col min="33" max="33" width="3.375" style="121" customWidth="1"/>
    <col min="34" max="35" width="13.25" style="267" customWidth="1"/>
    <col min="36" max="38" width="9.5" style="1" customWidth="1"/>
    <col min="39" max="39" width="19.125" style="1" customWidth="1"/>
    <col min="40" max="40" width="9.5" style="1" customWidth="1"/>
    <col min="41" max="41" width="3.375" style="121" customWidth="1"/>
    <col min="42" max="43" width="13.25" style="267" customWidth="1"/>
    <col min="44" max="45" width="9.5" style="1" customWidth="1"/>
    <col min="46" max="48" width="13" style="99" customWidth="1"/>
    <col min="49" max="49" width="3.375" style="121" customWidth="1"/>
    <col min="50" max="51" width="13.25" style="267" customWidth="1"/>
    <col min="52" max="53" width="9.5" style="1" customWidth="1"/>
    <col min="54" max="54" width="13" style="99" customWidth="1"/>
    <col min="55" max="55" width="9.25" style="267"/>
    <col min="56" max="57" width="9" style="267"/>
    <col min="58" max="58" width="12.625" style="267"/>
    <col min="59" max="16384" width="9" style="267"/>
  </cols>
  <sheetData>
    <row r="1" spans="1:55">
      <c r="B1" s="268" t="s">
        <v>91</v>
      </c>
      <c r="C1" s="268" t="s">
        <v>1</v>
      </c>
      <c r="I1" s="269"/>
      <c r="J1" s="268" t="s">
        <v>91</v>
      </c>
      <c r="K1" s="268"/>
      <c r="L1" s="268" t="s">
        <v>1</v>
      </c>
      <c r="Q1" s="269"/>
      <c r="R1" s="268" t="s">
        <v>91</v>
      </c>
      <c r="S1" s="268"/>
      <c r="T1" s="268" t="s">
        <v>1</v>
      </c>
      <c r="Y1" s="269"/>
      <c r="Z1" s="268" t="s">
        <v>91</v>
      </c>
      <c r="AA1" s="268"/>
      <c r="AB1" s="268" t="s">
        <v>1</v>
      </c>
      <c r="AG1" s="269"/>
      <c r="AH1" s="268" t="s">
        <v>91</v>
      </c>
      <c r="AI1" s="268"/>
      <c r="AJ1" s="268" t="s">
        <v>1</v>
      </c>
      <c r="AO1" s="269"/>
      <c r="AP1" s="268" t="s">
        <v>91</v>
      </c>
      <c r="AQ1" s="268"/>
      <c r="AR1" s="268" t="s">
        <v>1</v>
      </c>
      <c r="AW1" s="269"/>
      <c r="AX1" s="268" t="s">
        <v>91</v>
      </c>
      <c r="AY1" s="268"/>
      <c r="AZ1" s="268" t="s">
        <v>1</v>
      </c>
    </row>
    <row r="2" spans="1:55">
      <c r="B2" s="270" t="s">
        <v>92</v>
      </c>
      <c r="C2" s="270" t="s">
        <v>93</v>
      </c>
      <c r="I2" s="269"/>
      <c r="J2" s="270" t="s">
        <v>92</v>
      </c>
      <c r="K2" s="270"/>
      <c r="L2" s="270" t="s">
        <v>94</v>
      </c>
      <c r="Q2" s="269"/>
      <c r="R2" s="270" t="s">
        <v>92</v>
      </c>
      <c r="S2" s="270"/>
      <c r="T2" s="270" t="s">
        <v>95</v>
      </c>
      <c r="Y2" s="269"/>
      <c r="Z2" s="270" t="s">
        <v>92</v>
      </c>
      <c r="AA2" s="270"/>
      <c r="AB2" s="270" t="s">
        <v>96</v>
      </c>
      <c r="AG2" s="269"/>
      <c r="AH2" s="270" t="s">
        <v>92</v>
      </c>
      <c r="AI2" s="270"/>
      <c r="AJ2" s="270" t="s">
        <v>97</v>
      </c>
      <c r="AO2" s="269"/>
      <c r="AP2" s="270" t="s">
        <v>92</v>
      </c>
      <c r="AQ2" s="270"/>
      <c r="AR2" s="270" t="s">
        <v>98</v>
      </c>
      <c r="AW2" s="269"/>
      <c r="AX2" s="270" t="s">
        <v>92</v>
      </c>
      <c r="AY2" s="270"/>
      <c r="AZ2" s="270" t="s">
        <v>99</v>
      </c>
    </row>
    <row r="3" spans="1:55">
      <c r="B3" s="271" t="s">
        <v>100</v>
      </c>
      <c r="C3" s="271"/>
      <c r="D3" s="271">
        <v>2</v>
      </c>
      <c r="F3" s="59"/>
      <c r="G3" s="272">
        <f>AVERAGE(G7:G22)</f>
        <v>8.03022043790174</v>
      </c>
      <c r="H3" s="59"/>
      <c r="I3" s="269"/>
      <c r="J3" s="271" t="s">
        <v>100</v>
      </c>
      <c r="K3" s="271"/>
      <c r="L3" s="271">
        <v>3</v>
      </c>
      <c r="N3" s="59"/>
      <c r="O3" s="272">
        <f>AVERAGE(O7:O22)</f>
        <v>9.69085847034224</v>
      </c>
      <c r="P3" s="59"/>
      <c r="Q3" s="269"/>
      <c r="R3" s="271" t="s">
        <v>100</v>
      </c>
      <c r="S3" s="271"/>
      <c r="T3" s="271">
        <v>4</v>
      </c>
      <c r="V3" s="59"/>
      <c r="W3" s="272">
        <f>AVERAGE(W7:W22)</f>
        <v>11.3514965027827</v>
      </c>
      <c r="X3" s="59"/>
      <c r="Y3" s="269"/>
      <c r="Z3" s="271" t="s">
        <v>100</v>
      </c>
      <c r="AA3" s="271"/>
      <c r="AB3" s="271">
        <v>5</v>
      </c>
      <c r="AD3" s="59"/>
      <c r="AE3" s="272">
        <f>AVERAGE(AE7:AE22)</f>
        <v>12.8017384956193</v>
      </c>
      <c r="AF3" s="59"/>
      <c r="AG3" s="269"/>
      <c r="AH3" s="271" t="s">
        <v>100</v>
      </c>
      <c r="AI3" s="271"/>
      <c r="AJ3" s="271">
        <v>6</v>
      </c>
      <c r="AL3" s="59"/>
      <c r="AM3" s="272">
        <f>AVERAGE(AM7:AM22)</f>
        <v>14.4623765280598</v>
      </c>
      <c r="AN3" s="59"/>
      <c r="AO3" s="269"/>
      <c r="AP3" s="271" t="s">
        <v>100</v>
      </c>
      <c r="AQ3" s="271"/>
      <c r="AR3" s="271">
        <v>7</v>
      </c>
      <c r="AT3" s="273"/>
      <c r="AU3" s="272">
        <f>AVERAGE(AU7:AU22)</f>
        <v>16.1230145605003</v>
      </c>
      <c r="AV3" s="273"/>
      <c r="AW3" s="269"/>
      <c r="AX3" s="271" t="s">
        <v>100</v>
      </c>
      <c r="AY3" s="271"/>
      <c r="AZ3" s="271">
        <v>8</v>
      </c>
      <c r="BB3" s="273"/>
      <c r="BC3" s="272">
        <f>AVERAGE(BC7:BC22)</f>
        <v>17.7836525929408</v>
      </c>
    </row>
    <row r="4" spans="1:55">
      <c r="B4" s="1" t="s">
        <v>101</v>
      </c>
      <c r="C4" s="1" t="s">
        <v>8</v>
      </c>
      <c r="D4" s="1" t="s">
        <v>9</v>
      </c>
      <c r="E4" s="1" t="s">
        <v>10</v>
      </c>
      <c r="F4" s="1" t="s">
        <v>103</v>
      </c>
      <c r="G4" s="1" t="s">
        <v>104</v>
      </c>
      <c r="H4" s="269" t="s">
        <v>105</v>
      </c>
      <c r="I4" s="269"/>
      <c r="J4" s="1" t="s">
        <v>101</v>
      </c>
      <c r="K4" s="1" t="s">
        <v>8</v>
      </c>
      <c r="L4" s="1" t="s">
        <v>9</v>
      </c>
      <c r="M4" s="1" t="s">
        <v>10</v>
      </c>
      <c r="N4" s="1" t="s">
        <v>103</v>
      </c>
      <c r="O4" s="1" t="s">
        <v>104</v>
      </c>
      <c r="P4" s="269" t="s">
        <v>105</v>
      </c>
      <c r="Q4" s="269"/>
      <c r="R4" s="1" t="s">
        <v>101</v>
      </c>
      <c r="S4" s="1" t="s">
        <v>8</v>
      </c>
      <c r="T4" s="1" t="s">
        <v>9</v>
      </c>
      <c r="U4" s="1" t="s">
        <v>10</v>
      </c>
      <c r="V4" s="1" t="s">
        <v>103</v>
      </c>
      <c r="W4" s="1" t="s">
        <v>104</v>
      </c>
      <c r="X4" s="269" t="s">
        <v>105</v>
      </c>
      <c r="Y4" s="269"/>
      <c r="Z4" s="1" t="s">
        <v>101</v>
      </c>
      <c r="AA4" s="1" t="s">
        <v>8</v>
      </c>
      <c r="AB4" s="1" t="s">
        <v>9</v>
      </c>
      <c r="AC4" s="1" t="s">
        <v>10</v>
      </c>
      <c r="AD4" s="1" t="s">
        <v>103</v>
      </c>
      <c r="AE4" s="1" t="s">
        <v>104</v>
      </c>
      <c r="AF4" s="269" t="s">
        <v>105</v>
      </c>
      <c r="AG4" s="269"/>
      <c r="AH4" s="1" t="s">
        <v>101</v>
      </c>
      <c r="AI4" s="1" t="s">
        <v>8</v>
      </c>
      <c r="AJ4" s="1" t="s">
        <v>9</v>
      </c>
      <c r="AK4" s="1" t="s">
        <v>10</v>
      </c>
      <c r="AL4" s="1" t="s">
        <v>103</v>
      </c>
      <c r="AM4" s="1" t="s">
        <v>104</v>
      </c>
      <c r="AO4" s="269"/>
      <c r="AP4" s="1" t="s">
        <v>101</v>
      </c>
      <c r="AQ4" s="1" t="s">
        <v>8</v>
      </c>
      <c r="AR4" s="1" t="s">
        <v>9</v>
      </c>
      <c r="AS4" s="1" t="s">
        <v>10</v>
      </c>
      <c r="AT4" s="1" t="s">
        <v>103</v>
      </c>
      <c r="AW4" s="269"/>
      <c r="AX4" s="1" t="s">
        <v>101</v>
      </c>
      <c r="AY4" s="1" t="s">
        <v>8</v>
      </c>
      <c r="AZ4" s="1" t="s">
        <v>9</v>
      </c>
      <c r="BA4" s="1" t="s">
        <v>10</v>
      </c>
      <c r="BB4" s="1" t="s">
        <v>103</v>
      </c>
    </row>
    <row r="5" spans="1:55">
      <c r="B5" s="1">
        <v>0</v>
      </c>
      <c r="C5" s="99">
        <v>0</v>
      </c>
      <c r="D5" s="99">
        <f>'【国内】问卷调研-数据源（P3单独执行） '!E5*0.4</f>
        <v>0</v>
      </c>
      <c r="E5" s="99" t="e">
        <f>(G5*B5-$D$3*B5-C5*5900-D5*3400-F5*300)/1200</f>
        <v>#DIV/0!</v>
      </c>
      <c r="F5" s="274">
        <f>'【国内】问卷调研-数据源（P3单独执行） '!F5*1.3</f>
        <v>0</v>
      </c>
      <c r="G5" s="275" t="e">
        <f>'【国内】问卷调研-数据源（P3单独执行） '!G5</f>
        <v>#DIV/0!</v>
      </c>
      <c r="H5" s="1">
        <v>18</v>
      </c>
      <c r="I5" s="269"/>
      <c r="J5" s="1">
        <v>0</v>
      </c>
      <c r="K5" s="99">
        <v>0</v>
      </c>
      <c r="L5" s="99">
        <f>'【国内】问卷调研-数据源（P3单独执行） '!M5*0.4</f>
        <v>0</v>
      </c>
      <c r="M5" s="99" t="e">
        <f>(O5*J5-$L$3*J5-K5*5900-L5*3400-N5*300)/1200</f>
        <v>#DIV/0!</v>
      </c>
      <c r="N5" s="274">
        <f>'【国内】问卷调研-数据源（P3单独执行） '!N5*1.3</f>
        <v>0</v>
      </c>
      <c r="O5" s="275" t="e">
        <f>'【国内】问卷调研-数据源（P3单独执行） '!O5</f>
        <v>#DIV/0!</v>
      </c>
      <c r="P5" s="1">
        <v>18</v>
      </c>
      <c r="Q5" s="269"/>
      <c r="R5" s="1">
        <v>0</v>
      </c>
      <c r="S5" s="99">
        <v>0</v>
      </c>
      <c r="T5" s="99">
        <f>'【国内】问卷调研-数据源（P3单独执行） '!U5*0.4</f>
        <v>0</v>
      </c>
      <c r="U5" s="99" t="e">
        <f>(W5*R5-$T$3*R5-S5*5900-T5*3400-V5*300)/1200</f>
        <v>#DIV/0!</v>
      </c>
      <c r="V5" s="274">
        <f>'【国内】问卷调研-数据源（P3单独执行） '!V5*1.3</f>
        <v>0</v>
      </c>
      <c r="W5" s="275" t="e">
        <f>'【国内】问卷调研-数据源（P3单独执行） '!W5</f>
        <v>#DIV/0!</v>
      </c>
      <c r="X5" s="1">
        <v>18</v>
      </c>
      <c r="Y5" s="269"/>
      <c r="Z5" s="1">
        <v>0</v>
      </c>
      <c r="AA5" s="99">
        <v>0</v>
      </c>
      <c r="AB5" s="99">
        <f>'【国内】问卷调研-数据源（P3单独执行） '!AC5*0.4</f>
        <v>0</v>
      </c>
      <c r="AC5" s="99" t="e">
        <f>(AE5*Z5-$AB$3*Z5-AA5*5900-AB5*3400-AD5*300)/1200</f>
        <v>#DIV/0!</v>
      </c>
      <c r="AD5" s="274">
        <f>'【国内】问卷调研-数据源（P3单独执行） '!AD5*1.3</f>
        <v>0</v>
      </c>
      <c r="AE5" s="275" t="e">
        <f>'【国内】问卷调研-数据源（P3单独执行） '!AE5</f>
        <v>#DIV/0!</v>
      </c>
      <c r="AG5" s="269"/>
      <c r="AH5" s="1">
        <v>0</v>
      </c>
      <c r="AI5" s="99">
        <v>0</v>
      </c>
      <c r="AJ5" s="99">
        <f>'【国内】问卷调研-数据源（P3单独执行） '!AK5*0.4</f>
        <v>0</v>
      </c>
      <c r="AK5" s="99" t="e">
        <f>(AM5*AH5-$AJ$3*AH5-AI5*5900-AJ5*3400-AL5*300)/1200</f>
        <v>#DIV/0!</v>
      </c>
      <c r="AL5" s="274">
        <f>'【国内】问卷调研-数据源（P3单独执行） '!AL5*1.3</f>
        <v>0</v>
      </c>
      <c r="AM5" s="275" t="e">
        <f>'【国内】问卷调研-数据源（P3单独执行） '!AM5</f>
        <v>#DIV/0!</v>
      </c>
      <c r="AO5" s="269"/>
      <c r="AP5" s="1">
        <v>0</v>
      </c>
      <c r="AQ5" s="99">
        <v>0</v>
      </c>
      <c r="AR5" s="99">
        <f>'【国内】问卷调研-数据源（P3单独执行） '!AS5*0.4</f>
        <v>0</v>
      </c>
      <c r="AS5" s="99" t="e">
        <f>(AU5*AP5-$AR$3*AP5-AQ5*5900-AR5*3400-AT5*300)/1200</f>
        <v>#DIV/0!</v>
      </c>
      <c r="AT5" s="274">
        <f>'【国内】问卷调研-数据源（P3单独执行） '!AT5*1.3</f>
        <v>0</v>
      </c>
      <c r="AU5" s="275" t="e">
        <f>'【国内】问卷调研-数据源（P3单独执行） '!AU5</f>
        <v>#DIV/0!</v>
      </c>
      <c r="AV5" s="1"/>
      <c r="AW5" s="269"/>
      <c r="AX5" s="1">
        <v>0</v>
      </c>
      <c r="AY5" s="99">
        <v>0</v>
      </c>
      <c r="AZ5" s="99">
        <f>'【国内】问卷调研-数据源（P3单独执行） '!BA5*0.4</f>
        <v>0</v>
      </c>
      <c r="BA5" s="99" t="e">
        <f>(BC5*AX5-$AZ$3*AX5-AY5*5900-AZ5*3400-BB5*300)/1200</f>
        <v>#DIV/0!</v>
      </c>
      <c r="BB5" s="274">
        <f>'【国内】问卷调研-数据源（P3单独执行） '!BB5*1.3</f>
        <v>0</v>
      </c>
      <c r="BC5" s="275" t="e">
        <f>'【国内】问卷调研-数据源（P3单独执行） '!BC5</f>
        <v>#DIV/0!</v>
      </c>
    </row>
    <row r="6" spans="1:55">
      <c r="A6" s="1" t="s">
        <v>106</v>
      </c>
      <c r="B6" s="1">
        <v>1</v>
      </c>
      <c r="C6" s="99">
        <v>0</v>
      </c>
      <c r="D6" s="99">
        <f>'【国内】问卷调研-数据源（P3单独执行） '!E6*0.4</f>
        <v>0</v>
      </c>
      <c r="E6" s="99">
        <f t="shared" ref="E6:E22" si="0">(G6*B6-$D$3*B6-C6*5900-D6*3400-F6*300)/1200</f>
        <v>0</v>
      </c>
      <c r="F6" s="274">
        <f>'【国内】问卷调研-数据源（P3单独执行） '!F6*1.3</f>
        <v>0</v>
      </c>
      <c r="G6" s="275">
        <f>'【国内】问卷调研-数据源（P3单独执行） '!G6</f>
        <v>2</v>
      </c>
      <c r="H6" s="1">
        <v>18</v>
      </c>
      <c r="I6" s="276"/>
      <c r="J6" s="1">
        <v>1</v>
      </c>
      <c r="K6" s="99">
        <v>0</v>
      </c>
      <c r="L6" s="99">
        <f>'【国内】问卷调研-数据源（P3单独执行） '!M6*0.4</f>
        <v>0</v>
      </c>
      <c r="M6" s="99">
        <f t="shared" ref="M6:M22" si="1">(O6*J6-$L$3*J6-K6*5900-L6*3400-N6*300)/1200</f>
        <v>0</v>
      </c>
      <c r="N6" s="274">
        <f>'【国内】问卷调研-数据源（P3单独执行） '!N6*1.3</f>
        <v>0</v>
      </c>
      <c r="O6" s="275">
        <f>'【国内】问卷调研-数据源（P3单独执行） '!O6</f>
        <v>3</v>
      </c>
      <c r="P6" s="1">
        <v>18</v>
      </c>
      <c r="Q6" s="276"/>
      <c r="R6" s="1">
        <v>1</v>
      </c>
      <c r="S6" s="99">
        <v>0</v>
      </c>
      <c r="T6" s="99">
        <f>'【国内】问卷调研-数据源（P3单独执行） '!U6*0.4</f>
        <v>0</v>
      </c>
      <c r="U6" s="99">
        <f t="shared" ref="U6:U22" si="2">(W6*R6-$T$3*R6-S6*5900-T6*3400-V6*300)/1200</f>
        <v>0</v>
      </c>
      <c r="V6" s="274">
        <f>'【国内】问卷调研-数据源（P3单独执行） '!V6*1.3</f>
        <v>0</v>
      </c>
      <c r="W6" s="275">
        <f>'【国内】问卷调研-数据源（P3单独执行） '!W6</f>
        <v>4</v>
      </c>
      <c r="X6" s="1">
        <v>18</v>
      </c>
      <c r="Y6" s="276"/>
      <c r="Z6" s="1">
        <v>1</v>
      </c>
      <c r="AA6" s="99">
        <v>0</v>
      </c>
      <c r="AB6" s="99">
        <f>'【国内】问卷调研-数据源（P3单独执行） '!AC6*0.4</f>
        <v>0.2</v>
      </c>
      <c r="AC6" s="99">
        <f t="shared" ref="AC6:AC22" si="3">(AE6*Z6-$AB$3*Z6-AA6*5900-AB6*3400-AD6*300)/1200</f>
        <v>0.755833333333333</v>
      </c>
      <c r="AD6" s="274">
        <f>'【国内】问卷调研-数据源（P3单独执行） '!AD6*1.3</f>
        <v>1.56</v>
      </c>
      <c r="AE6" s="275">
        <f>'【国内】问卷调研-数据源（P3单独执行） '!AE6</f>
        <v>2060</v>
      </c>
      <c r="AG6" s="276"/>
      <c r="AH6" s="1">
        <v>1</v>
      </c>
      <c r="AI6" s="99">
        <v>0</v>
      </c>
      <c r="AJ6" s="99">
        <f>'【国内】问卷调研-数据源（P3单独执行） '!AK6*0.4</f>
        <v>0.24</v>
      </c>
      <c r="AK6" s="99">
        <f t="shared" ref="AK6:AK22" si="4">(AM6*AH6-$AJ$3*AH6-AI6*5900-AJ6*3400-AL6*300)/1200</f>
        <v>0.9225</v>
      </c>
      <c r="AL6" s="274">
        <f>'【国内】问卷调研-数据源（P3单独执行） '!AL6*1.3</f>
        <v>1.69</v>
      </c>
      <c r="AM6" s="275">
        <f>'【国内】问卷调研-数据源（P3单独执行） '!AM6</f>
        <v>2436</v>
      </c>
      <c r="AO6" s="276"/>
      <c r="AP6" s="1">
        <v>1</v>
      </c>
      <c r="AQ6" s="99">
        <v>0</v>
      </c>
      <c r="AR6" s="99">
        <f>'【国内】问卷调研-数据源（P3单独执行） '!AS6*0.4</f>
        <v>0.28</v>
      </c>
      <c r="AS6" s="99">
        <f t="shared" ref="AS6:AS22" si="5">(AU6*AP6-$AR$3*AP6-AQ6*5900-AR6*3400-AT6*300)/1200</f>
        <v>1.07916666666667</v>
      </c>
      <c r="AT6" s="274">
        <f>'【国内】问卷调研-数据源（P3单独执行） '!AT6*1.3</f>
        <v>1.82</v>
      </c>
      <c r="AU6" s="275">
        <f>'【国内】问卷调研-数据源（P3单独执行） '!AU6</f>
        <v>2800</v>
      </c>
      <c r="AV6" s="1"/>
      <c r="AW6" s="276"/>
      <c r="AX6" s="1">
        <v>1</v>
      </c>
      <c r="AY6" s="99">
        <v>0</v>
      </c>
      <c r="AZ6" s="99">
        <f>'【国内】问卷调研-数据源（P3单独执行） '!BA6*0.4</f>
        <v>0.32</v>
      </c>
      <c r="BA6" s="99">
        <f t="shared" ref="BA6:BA22" si="6">(BC6*AX6-$AZ$3*AX6-AY6*5900-AZ6*3400-BB6*300)/1200</f>
        <v>1.2475</v>
      </c>
      <c r="BB6" s="274">
        <f>'【国内】问卷调研-数据源（P3单独执行） '!BB6*1.3</f>
        <v>1.95</v>
      </c>
      <c r="BC6" s="275">
        <f>'【国内】问卷调研-数据源（P3单独执行） '!BC6</f>
        <v>3178</v>
      </c>
    </row>
    <row r="7" spans="1:55">
      <c r="A7" s="1" t="s">
        <v>107</v>
      </c>
      <c r="B7" s="1">
        <v>101</v>
      </c>
      <c r="C7" s="99">
        <v>0</v>
      </c>
      <c r="D7" s="99">
        <f>'【国内】问卷调研-数据源（P3单独执行） '!E7*0.4</f>
        <v>0.12</v>
      </c>
      <c r="E7" s="99">
        <f t="shared" si="0"/>
        <v>0.4425</v>
      </c>
      <c r="F7" s="274">
        <f>'【国内】问卷调研-数据源（P3单独执行） '!F7*1.3</f>
        <v>1.17</v>
      </c>
      <c r="G7" s="275">
        <f>'【国内】问卷调研-数据源（P3单独执行） '!G7</f>
        <v>14.7722772277228</v>
      </c>
      <c r="H7" s="1">
        <v>18</v>
      </c>
      <c r="I7" s="276"/>
      <c r="J7" s="1">
        <v>101</v>
      </c>
      <c r="K7" s="99">
        <v>0</v>
      </c>
      <c r="L7" s="99">
        <f>'【国内】问卷调研-数据源（P3单独执行） '!M7*0.4</f>
        <v>0.16</v>
      </c>
      <c r="M7" s="99">
        <f t="shared" si="1"/>
        <v>0.605</v>
      </c>
      <c r="N7" s="274">
        <f>'【国内】问卷调研-数据源（P3单独执行） '!N7*1.3</f>
        <v>1.3</v>
      </c>
      <c r="O7" s="275">
        <f>'【国内】问卷调研-数据源（P3单独执行） '!O7</f>
        <v>19.4356435643564</v>
      </c>
      <c r="P7" s="1">
        <v>18</v>
      </c>
      <c r="Q7" s="276"/>
      <c r="R7" s="1">
        <v>101</v>
      </c>
      <c r="S7" s="99">
        <v>0</v>
      </c>
      <c r="T7" s="99">
        <f>'【国内】问卷调研-数据源（P3单独执行） '!U7*0.4</f>
        <v>0.2</v>
      </c>
      <c r="U7" s="99">
        <f t="shared" si="2"/>
        <v>0.7675</v>
      </c>
      <c r="V7" s="274">
        <f>'【国内】问卷调研-数据源（P3单独执行） '!V7*1.3</f>
        <v>1.43</v>
      </c>
      <c r="W7" s="275">
        <f>'【国内】问卷调研-数据源（P3单独执行） '!W7</f>
        <v>24.0990099009901</v>
      </c>
      <c r="X7" s="1">
        <v>18</v>
      </c>
      <c r="Y7" s="276"/>
      <c r="Z7" s="1">
        <v>101</v>
      </c>
      <c r="AA7" s="99">
        <v>0</v>
      </c>
      <c r="AB7" s="99">
        <f>'【国内】问卷调研-数据源（P3单独执行） '!AC7*0.4</f>
        <v>0.2</v>
      </c>
      <c r="AC7" s="99">
        <f t="shared" si="3"/>
        <v>0.76</v>
      </c>
      <c r="AD7" s="274">
        <f>'【国内】问卷调研-数据源（P3单独执行） '!AD7*1.3</f>
        <v>1.56</v>
      </c>
      <c r="AE7" s="275">
        <f>'【国内】问卷调研-数据源（P3单独执行） '!AE7</f>
        <v>25.3960396039604</v>
      </c>
      <c r="AG7" s="276"/>
      <c r="AH7" s="1">
        <v>101</v>
      </c>
      <c r="AI7" s="99">
        <v>0</v>
      </c>
      <c r="AJ7" s="99">
        <f>'【国内】问卷调研-数据源（P3单独执行） '!AK7*0.4</f>
        <v>0.24</v>
      </c>
      <c r="AK7" s="99">
        <f t="shared" si="4"/>
        <v>0.9225</v>
      </c>
      <c r="AL7" s="274">
        <f>'【国内】问卷调研-数据源（P3单独执行） '!AL7*1.3</f>
        <v>1.69</v>
      </c>
      <c r="AM7" s="275">
        <f>'【国内】问卷调研-数据源（P3单独执行） '!AM7</f>
        <v>30.0594059405941</v>
      </c>
      <c r="AO7" s="276"/>
      <c r="AP7" s="1">
        <v>101</v>
      </c>
      <c r="AQ7" s="99">
        <v>0</v>
      </c>
      <c r="AR7" s="99">
        <f>'【国内】问卷调研-数据源（P3单独执行） '!AS7*0.4</f>
        <v>0.28</v>
      </c>
      <c r="AS7" s="99">
        <f t="shared" si="5"/>
        <v>1.085</v>
      </c>
      <c r="AT7" s="274">
        <f>'【国内】问卷调研-数据源（P3单独执行） '!AT7*1.3</f>
        <v>1.82</v>
      </c>
      <c r="AU7" s="275">
        <f>'【国内】问卷调研-数据源（P3单独执行） '!AU7</f>
        <v>34.7227722772277</v>
      </c>
      <c r="AV7" s="1"/>
      <c r="AW7" s="276"/>
      <c r="AX7" s="1">
        <v>101</v>
      </c>
      <c r="AY7" s="99">
        <v>0</v>
      </c>
      <c r="AZ7" s="99">
        <f>'【国内】问卷调研-数据源（P3单独执行） '!BA7*0.4</f>
        <v>0.32</v>
      </c>
      <c r="BA7" s="99">
        <f t="shared" si="6"/>
        <v>1.2475</v>
      </c>
      <c r="BB7" s="274">
        <f>'【国内】问卷调研-数据源（P3单独执行） '!BB7*1.3</f>
        <v>1.95</v>
      </c>
      <c r="BC7" s="275">
        <f>'【国内】问卷调研-数据源（P3单独执行） '!BC7</f>
        <v>39.3861386138614</v>
      </c>
    </row>
    <row r="8" spans="1:55">
      <c r="A8" s="1" t="s">
        <v>108</v>
      </c>
      <c r="B8" s="1">
        <v>201</v>
      </c>
      <c r="C8" s="99">
        <f>'【国内】问卷调研-数据源（P3单独执行） '!C8+0.1</f>
        <v>0.1</v>
      </c>
      <c r="D8" s="99">
        <f>'【国内】问卷调研-数据源（P3单独执行） '!E8*0.4</f>
        <v>0.16</v>
      </c>
      <c r="E8" s="99">
        <f t="shared" si="0"/>
        <v>0.120833333333333</v>
      </c>
      <c r="F8" s="274">
        <f>'【国内】问卷调研-数据源（P3单独执行） '!F8*1.3</f>
        <v>1.17</v>
      </c>
      <c r="G8" s="275">
        <f>'【国内】问卷调研-数据源（P3单独执行） '!G8</f>
        <v>10.1094527363184</v>
      </c>
      <c r="H8" s="1">
        <v>18</v>
      </c>
      <c r="I8" s="276"/>
      <c r="J8" s="1">
        <v>201</v>
      </c>
      <c r="K8" s="99">
        <f>'【国内】问卷调研-数据源（P3单独执行） '!K8+0.1</f>
        <v>0.1</v>
      </c>
      <c r="L8" s="99">
        <f>'【国内】问卷调研-数据源（P3单独执行） '!M8*0.4</f>
        <v>0.2</v>
      </c>
      <c r="M8" s="99">
        <f t="shared" si="1"/>
        <v>0.283333333333333</v>
      </c>
      <c r="N8" s="274">
        <f>'【国内】问卷调研-数据源（P3单独执行） '!N8*1.3</f>
        <v>1.3</v>
      </c>
      <c r="O8" s="275">
        <f>'【国内】问卷调研-数据源（P3单独执行） '!O8</f>
        <v>12.9502487562189</v>
      </c>
      <c r="P8" s="1">
        <v>18</v>
      </c>
      <c r="Q8" s="276"/>
      <c r="R8" s="1">
        <v>201</v>
      </c>
      <c r="S8" s="99">
        <f>'【国内】问卷调研-数据源（P3单独执行） '!S8+0.1</f>
        <v>0.1</v>
      </c>
      <c r="T8" s="99">
        <f>'【国内】问卷调研-数据源（P3单独执行） '!U8*0.4</f>
        <v>0.24</v>
      </c>
      <c r="U8" s="99">
        <f t="shared" si="2"/>
        <v>0.445833333333333</v>
      </c>
      <c r="V8" s="274">
        <f>'【国内】问卷调研-数据源（P3单独执行） '!V8*1.3</f>
        <v>1.43</v>
      </c>
      <c r="W8" s="275">
        <f>'【国内】问卷调研-数据源（P3单独执行） '!W8</f>
        <v>15.7910447761194</v>
      </c>
      <c r="X8" s="1">
        <v>18</v>
      </c>
      <c r="Y8" s="276"/>
      <c r="Z8" s="1">
        <v>201</v>
      </c>
      <c r="AA8" s="99">
        <f>'【国内】问卷调研-数据源（P3单独执行） '!AA8+0.1</f>
        <v>0.1</v>
      </c>
      <c r="AB8" s="99">
        <f>'【国内】问卷调研-数据源（P3单独执行） '!AC8*0.4</f>
        <v>0.28</v>
      </c>
      <c r="AC8" s="99">
        <f t="shared" si="3"/>
        <v>0.608333333333333</v>
      </c>
      <c r="AD8" s="274">
        <f>'【国内】问卷调研-数据源（P3单独执行） '!AD8*1.3</f>
        <v>1.56</v>
      </c>
      <c r="AE8" s="275">
        <f>'【国内】问卷调研-数据源（P3单独执行） '!AE8</f>
        <v>18.6318407960199</v>
      </c>
      <c r="AG8" s="276"/>
      <c r="AH8" s="1">
        <v>201</v>
      </c>
      <c r="AI8" s="99">
        <f>'【国内】问卷调研-数据源（P3单独执行） '!AI8+0.1</f>
        <v>0.1</v>
      </c>
      <c r="AJ8" s="99">
        <f>'【国内】问卷调研-数据源（P3单独执行） '!AK8*0.4</f>
        <v>0.32</v>
      </c>
      <c r="AK8" s="99">
        <f t="shared" si="4"/>
        <v>0.770833333333333</v>
      </c>
      <c r="AL8" s="274">
        <f>'【国内】问卷调研-数据源（P3单独执行） '!AL8*1.3</f>
        <v>1.69</v>
      </c>
      <c r="AM8" s="275">
        <f>'【国内】问卷调研-数据源（P3单独执行） '!AM8</f>
        <v>21.4726368159204</v>
      </c>
      <c r="AO8" s="276"/>
      <c r="AP8" s="1">
        <v>201</v>
      </c>
      <c r="AQ8" s="99">
        <f>'【国内】问卷调研-数据源（P3单独执行） '!AQ8+0.1</f>
        <v>0.1</v>
      </c>
      <c r="AR8" s="99">
        <f>'【国内】问卷调研-数据源（P3单独执行） '!AS8*0.4</f>
        <v>0.36</v>
      </c>
      <c r="AS8" s="99">
        <f t="shared" si="5"/>
        <v>0.933333333333333</v>
      </c>
      <c r="AT8" s="274">
        <f>'【国内】问卷调研-数据源（P3单独执行） '!AT8*1.3</f>
        <v>1.82</v>
      </c>
      <c r="AU8" s="275">
        <f>'【国内】问卷调研-数据源（P3单独执行） '!AU8</f>
        <v>24.3134328358209</v>
      </c>
      <c r="AV8" s="1"/>
      <c r="AW8" s="276"/>
      <c r="AX8" s="1">
        <v>201</v>
      </c>
      <c r="AY8" s="99">
        <f>'【国内】问卷调研-数据源（P3单独执行） '!AY8+0.1</f>
        <v>0.1</v>
      </c>
      <c r="AZ8" s="99">
        <f>'【国内】问卷调研-数据源（P3单独执行） '!BA8*0.4</f>
        <v>0.4</v>
      </c>
      <c r="BA8" s="99">
        <f t="shared" si="6"/>
        <v>1.09583333333333</v>
      </c>
      <c r="BB8" s="274">
        <f>'【国内】问卷调研-数据源（P3单独执行） '!BB8*1.3</f>
        <v>1.95</v>
      </c>
      <c r="BC8" s="275">
        <f>'【国内】问卷调研-数据源（P3单独执行） '!BC8</f>
        <v>27.1542288557214</v>
      </c>
    </row>
    <row r="9" spans="1:55">
      <c r="A9" s="1" t="s">
        <v>109</v>
      </c>
      <c r="B9" s="1">
        <v>301</v>
      </c>
      <c r="C9" s="99">
        <f>'【国内】问卷调研-数据源（P3单独执行） '!C9+0.1</f>
        <v>0.1</v>
      </c>
      <c r="D9" s="99">
        <f>'【国内】问卷调研-数据源（P3单独执行） '!E9*0.4</f>
        <v>0.2</v>
      </c>
      <c r="E9" s="99">
        <f t="shared" si="0"/>
        <v>0.290833333333333</v>
      </c>
      <c r="F9" s="274">
        <f>'【国内】问卷调研-数据源（P3单独执行） '!F9*1.3</f>
        <v>1.17</v>
      </c>
      <c r="G9" s="275">
        <f>'【国内】问卷调研-数据源（P3单独执行） '!G9</f>
        <v>8.54485049833887</v>
      </c>
      <c r="H9" s="1">
        <v>18</v>
      </c>
      <c r="I9" s="276"/>
      <c r="J9" s="1">
        <v>301</v>
      </c>
      <c r="K9" s="99">
        <f>'【国内】问卷调研-数据源（P3单独执行） '!K9+0.1</f>
        <v>0.1</v>
      </c>
      <c r="L9" s="99">
        <f>'【国内】问卷调研-数据源（P3单独执行） '!M9*0.4</f>
        <v>0.24</v>
      </c>
      <c r="M9" s="99">
        <f t="shared" si="1"/>
        <v>0.453333333333333</v>
      </c>
      <c r="N9" s="274">
        <f>'【国内】问卷调研-数据源（P3单独执行） '!N9*1.3</f>
        <v>1.3</v>
      </c>
      <c r="O9" s="275">
        <f>'【国内】问卷调研-数据源（P3单独执行） '!O9</f>
        <v>10.7740863787375</v>
      </c>
      <c r="P9" s="1">
        <v>18</v>
      </c>
      <c r="Q9" s="276"/>
      <c r="R9" s="1">
        <v>301</v>
      </c>
      <c r="S9" s="99">
        <f>'【国内】问卷调研-数据源（P3单独执行） '!S9+0.1</f>
        <v>0.1</v>
      </c>
      <c r="T9" s="99">
        <f>'【国内】问卷调研-数据源（P3单独执行） '!U9*0.4</f>
        <v>0.28</v>
      </c>
      <c r="U9" s="99">
        <f t="shared" si="2"/>
        <v>0.615833333333333</v>
      </c>
      <c r="V9" s="274">
        <f>'【国内】问卷调研-数据源（P3单独执行） '!V9*1.3</f>
        <v>1.43</v>
      </c>
      <c r="W9" s="275">
        <f>'【国内】问卷调研-数据源（P3单独执行） '!W9</f>
        <v>13.0033222591362</v>
      </c>
      <c r="X9" s="1">
        <v>18</v>
      </c>
      <c r="Y9" s="276"/>
      <c r="Z9" s="1">
        <v>301</v>
      </c>
      <c r="AA9" s="99">
        <f>'【国内】问卷调研-数据源（P3单独执行） '!AA9+0.1</f>
        <v>0.1</v>
      </c>
      <c r="AB9" s="99">
        <f>'【国内】问卷调研-数据源（P3单独执行） '!AC9*0.4</f>
        <v>0.32</v>
      </c>
      <c r="AC9" s="99">
        <f t="shared" si="3"/>
        <v>0.778333333333333</v>
      </c>
      <c r="AD9" s="274">
        <f>'【国内】问卷调研-数据源（P3单独执行） '!AD9*1.3</f>
        <v>1.56</v>
      </c>
      <c r="AE9" s="275">
        <f>'【国内】问卷调研-数据源（P3单独执行） '!AE9</f>
        <v>15.2325581395349</v>
      </c>
      <c r="AG9" s="276"/>
      <c r="AH9" s="1">
        <v>301</v>
      </c>
      <c r="AI9" s="99">
        <f>'【国内】问卷调研-数据源（P3单独执行） '!AI9+0.1</f>
        <v>0.1</v>
      </c>
      <c r="AJ9" s="99">
        <f>'【国内】问卷调研-数据源（P3单独执行） '!AK9*0.4</f>
        <v>0.36</v>
      </c>
      <c r="AK9" s="99">
        <f t="shared" si="4"/>
        <v>0.940833333333334</v>
      </c>
      <c r="AL9" s="274">
        <f>'【国内】问卷调研-数据源（P3单独执行） '!AL9*1.3</f>
        <v>1.69</v>
      </c>
      <c r="AM9" s="275">
        <f>'【国内】问卷调研-数据源（P3单独执行） '!AM9</f>
        <v>17.4617940199336</v>
      </c>
      <c r="AO9" s="276"/>
      <c r="AP9" s="1">
        <v>301</v>
      </c>
      <c r="AQ9" s="99">
        <f>'【国内】问卷调研-数据源（P3单独执行） '!AQ9+0.1</f>
        <v>0.1</v>
      </c>
      <c r="AR9" s="99">
        <f>'【国内】问卷调研-数据源（P3单独执行） '!AS9*0.4</f>
        <v>0.4</v>
      </c>
      <c r="AS9" s="99">
        <f t="shared" si="5"/>
        <v>1.10333333333333</v>
      </c>
      <c r="AT9" s="274">
        <f>'【国内】问卷调研-数据源（P3单独执行） '!AT9*1.3</f>
        <v>1.82</v>
      </c>
      <c r="AU9" s="275">
        <f>'【国内】问卷调研-数据源（P3单独执行） '!AU9</f>
        <v>19.6910299003322</v>
      </c>
      <c r="AV9" s="1"/>
      <c r="AW9" s="276"/>
      <c r="AX9" s="1">
        <v>301</v>
      </c>
      <c r="AY9" s="99">
        <f>'【国内】问卷调研-数据源（P3单独执行） '!AY9+0.1</f>
        <v>0.1</v>
      </c>
      <c r="AZ9" s="99">
        <f>'【国内】问卷调研-数据源（P3单独执行） '!BA9*0.4</f>
        <v>0.44</v>
      </c>
      <c r="BA9" s="99">
        <f t="shared" si="6"/>
        <v>1.26583333333333</v>
      </c>
      <c r="BB9" s="274">
        <f>'【国内】问卷调研-数据源（P3单独执行） '!BB9*1.3</f>
        <v>1.95</v>
      </c>
      <c r="BC9" s="275">
        <f>'【国内】问卷调研-数据源（P3单独执行） '!BC9</f>
        <v>21.9202657807309</v>
      </c>
    </row>
    <row r="10" spans="1:55">
      <c r="A10" s="1" t="s">
        <v>110</v>
      </c>
      <c r="B10" s="1">
        <v>501</v>
      </c>
      <c r="C10" s="99">
        <f>'【国内】问卷调研-数据源（P3单独执行） '!C10+0.1</f>
        <v>0.1</v>
      </c>
      <c r="D10" s="99">
        <f>'【国内】问卷调研-数据源（P3单独执行） '!E10*0.4</f>
        <v>0.36</v>
      </c>
      <c r="E10" s="99">
        <f t="shared" si="0"/>
        <v>0.970833333333333</v>
      </c>
      <c r="F10" s="274">
        <f>'【国内】问卷调研-数据源（P3单独执行） '!F10*1.3</f>
        <v>1.17</v>
      </c>
      <c r="G10" s="275">
        <f>'【国内】问卷调研-数据源（P3单独执行） '!G10</f>
        <v>8.64670658682635</v>
      </c>
      <c r="H10" s="1">
        <v>18</v>
      </c>
      <c r="I10" s="276"/>
      <c r="J10" s="1">
        <v>501</v>
      </c>
      <c r="K10" s="99">
        <f>'【国内】问卷调研-数据源（P3单独执行） '!K10+0.1</f>
        <v>0.1</v>
      </c>
      <c r="L10" s="99">
        <f>'【国内】问卷调研-数据源（P3单独执行） '!M10*0.4</f>
        <v>0.4</v>
      </c>
      <c r="M10" s="99">
        <f t="shared" si="1"/>
        <v>1.13333333333333</v>
      </c>
      <c r="N10" s="274">
        <f>'【国内】问卷调研-数据源（P3单独执行） '!N10*1.3</f>
        <v>1.3</v>
      </c>
      <c r="O10" s="275">
        <f>'【国内】问卷调研-数据源（P3单独执行） '!O10</f>
        <v>10.3852295409182</v>
      </c>
      <c r="P10" s="1">
        <v>18</v>
      </c>
      <c r="Q10" s="276"/>
      <c r="R10" s="1">
        <v>501</v>
      </c>
      <c r="S10" s="99">
        <f>'【国内】问卷调研-数据源（P3单独执行） '!S10+0.1</f>
        <v>0.1</v>
      </c>
      <c r="T10" s="99">
        <f>'【国内】问卷调研-数据源（P3单独执行） '!U10*0.4</f>
        <v>0.44</v>
      </c>
      <c r="U10" s="99">
        <f t="shared" si="2"/>
        <v>1.29583333333333</v>
      </c>
      <c r="V10" s="274">
        <f>'【国内】问卷调研-数据源（P3单独执行） '!V10*1.3</f>
        <v>1.43</v>
      </c>
      <c r="W10" s="275">
        <f>'【国内】问卷调研-数据源（P3单独执行） '!W10</f>
        <v>12.12375249501</v>
      </c>
      <c r="X10" s="1">
        <v>18</v>
      </c>
      <c r="Y10" s="276"/>
      <c r="Z10" s="1">
        <v>501</v>
      </c>
      <c r="AA10" s="99">
        <f>'【国内】问卷调研-数据源（P3单独执行） '!AA10+0.1</f>
        <v>0.1</v>
      </c>
      <c r="AB10" s="99">
        <f>'【国内】问卷调研-数据源（P3单独执行） '!AC10*0.4</f>
        <v>0.48</v>
      </c>
      <c r="AC10" s="99">
        <f t="shared" si="3"/>
        <v>1.45833333333333</v>
      </c>
      <c r="AD10" s="274">
        <f>'【国内】问卷调研-数据源（P3单独执行） '!AD10*1.3</f>
        <v>1.56</v>
      </c>
      <c r="AE10" s="275">
        <f>'【国内】问卷调研-数据源（P3单独执行） '!AE10</f>
        <v>13.8622754491018</v>
      </c>
      <c r="AG10" s="276"/>
      <c r="AH10" s="1">
        <v>501</v>
      </c>
      <c r="AI10" s="99">
        <f>'【国内】问卷调研-数据源（P3单独执行） '!AI10+0.1</f>
        <v>0.1</v>
      </c>
      <c r="AJ10" s="99">
        <f>'【国内】问卷调研-数据源（P3单独执行） '!AK10*0.4</f>
        <v>0.52</v>
      </c>
      <c r="AK10" s="99">
        <f t="shared" si="4"/>
        <v>1.62083333333333</v>
      </c>
      <c r="AL10" s="274">
        <f>'【国内】问卷调研-数据源（P3单独执行） '!AL10*1.3</f>
        <v>1.69</v>
      </c>
      <c r="AM10" s="275">
        <f>'【国内】问卷调研-数据源（P3单独执行） '!AM10</f>
        <v>15.6007984031936</v>
      </c>
      <c r="AO10" s="276"/>
      <c r="AP10" s="1">
        <v>501</v>
      </c>
      <c r="AQ10" s="99">
        <f>'【国内】问卷调研-数据源（P3单独执行） '!AQ10+0.1</f>
        <v>0.1</v>
      </c>
      <c r="AR10" s="99">
        <f>'【国内】问卷调研-数据源（P3单独执行） '!AS10*0.4</f>
        <v>0.56</v>
      </c>
      <c r="AS10" s="99">
        <f t="shared" si="5"/>
        <v>1.78333333333333</v>
      </c>
      <c r="AT10" s="274">
        <f>'【国内】问卷调研-数据源（P3单独执行） '!AT10*1.3</f>
        <v>1.82</v>
      </c>
      <c r="AU10" s="275">
        <f>'【国内】问卷调研-数据源（P3单独执行） '!AU10</f>
        <v>17.3393213572854</v>
      </c>
      <c r="AV10" s="1"/>
      <c r="AW10" s="276"/>
      <c r="AX10" s="1">
        <v>501</v>
      </c>
      <c r="AY10" s="99">
        <f>'【国内】问卷调研-数据源（P3单独执行） '!AY10+0.1</f>
        <v>0.1</v>
      </c>
      <c r="AZ10" s="99">
        <f>'【国内】问卷调研-数据源（P3单独执行） '!BA10*0.4</f>
        <v>0.6</v>
      </c>
      <c r="BA10" s="99">
        <f t="shared" si="6"/>
        <v>1.94583333333333</v>
      </c>
      <c r="BB10" s="274">
        <f>'【国内】问卷调研-数据源（P3单独执行） '!BB10*1.3</f>
        <v>1.95</v>
      </c>
      <c r="BC10" s="275">
        <f>'【国内】问卷调研-数据源（P3单独执行） '!BC10</f>
        <v>19.0778443113772</v>
      </c>
    </row>
    <row r="11" spans="1:55">
      <c r="A11" s="1" t="s">
        <v>111</v>
      </c>
      <c r="B11" s="1">
        <v>701</v>
      </c>
      <c r="C11" s="99">
        <f>'【国内】问卷调研-数据源（P3单独执行） '!C11+0.2</f>
        <v>0.2</v>
      </c>
      <c r="D11" s="99">
        <f>'【国内】问卷调研-数据源（P3单独执行） '!E11*0.4</f>
        <v>0.44</v>
      </c>
      <c r="E11" s="99">
        <f t="shared" si="0"/>
        <v>0.819166666666666</v>
      </c>
      <c r="F11" s="274">
        <f>'【国内】问卷调研-数据源（P3单独执行） '!F11*1.3</f>
        <v>1.17</v>
      </c>
      <c r="G11" s="275">
        <f>'【国内】问卷调研-数据源（P3单独执行） '!G11</f>
        <v>7.72039942938659</v>
      </c>
      <c r="H11" s="1">
        <v>18</v>
      </c>
      <c r="I11" s="276"/>
      <c r="J11" s="1">
        <v>701</v>
      </c>
      <c r="K11" s="99">
        <f>'【国内】问卷调研-数据源（P3单独执行） '!K11+0.2</f>
        <v>0.2</v>
      </c>
      <c r="L11" s="99">
        <f>'【国内】问卷调研-数据源（P3单独执行） '!M11*0.4</f>
        <v>0.48</v>
      </c>
      <c r="M11" s="99">
        <f t="shared" si="1"/>
        <v>0.981666666666666</v>
      </c>
      <c r="N11" s="274">
        <f>'【国内】问卷调研-数据源（P3单独执行） '!N11*1.3</f>
        <v>1.3</v>
      </c>
      <c r="O11" s="275">
        <f>'【国内】问卷调研-数据源（P3单独执行） '!O11</f>
        <v>9.24821683309558</v>
      </c>
      <c r="P11" s="1">
        <v>18</v>
      </c>
      <c r="Q11" s="276"/>
      <c r="R11" s="1">
        <v>701</v>
      </c>
      <c r="S11" s="99">
        <f>'【国内】问卷调研-数据源（P3单独执行） '!S11+0.2</f>
        <v>0.2</v>
      </c>
      <c r="T11" s="99">
        <f>'【国内】问卷调研-数据源（P3单独执行） '!U11*0.4</f>
        <v>0.52</v>
      </c>
      <c r="U11" s="99">
        <f t="shared" si="2"/>
        <v>1.14416666666667</v>
      </c>
      <c r="V11" s="274">
        <f>'【国内】问卷调研-数据源（P3单独执行） '!V11*1.3</f>
        <v>1.43</v>
      </c>
      <c r="W11" s="275">
        <f>'【国内】问卷调研-数据源（P3单独执行） '!W11</f>
        <v>10.7760342368046</v>
      </c>
      <c r="X11" s="1">
        <v>18</v>
      </c>
      <c r="Y11" s="276"/>
      <c r="Z11" s="1">
        <v>701</v>
      </c>
      <c r="AA11" s="99">
        <f>'【国内】问卷调研-数据源（P3单独执行） '!AA11+0.2</f>
        <v>0.2</v>
      </c>
      <c r="AB11" s="99">
        <f>'【国内】问卷调研-数据源（P3单独执行） '!AC11*0.4</f>
        <v>0.56</v>
      </c>
      <c r="AC11" s="99">
        <f t="shared" si="3"/>
        <v>1.30666666666667</v>
      </c>
      <c r="AD11" s="274">
        <f>'【国内】问卷调研-数据源（P3单独执行） '!AD11*1.3</f>
        <v>1.56</v>
      </c>
      <c r="AE11" s="275">
        <f>'【国内】问卷调研-数据源（P3单独执行） '!AE11</f>
        <v>12.3038516405136</v>
      </c>
      <c r="AG11" s="276"/>
      <c r="AH11" s="1">
        <v>701</v>
      </c>
      <c r="AI11" s="99">
        <f>'【国内】问卷调研-数据源（P3单独执行） '!AI11+0.2</f>
        <v>0.2</v>
      </c>
      <c r="AJ11" s="99">
        <f>'【国内】问卷调研-数据源（P3单独执行） '!AK11*0.4</f>
        <v>0.6</v>
      </c>
      <c r="AK11" s="99">
        <f t="shared" si="4"/>
        <v>1.46916666666667</v>
      </c>
      <c r="AL11" s="274">
        <f>'【国内】问卷调研-数据源（P3单独执行） '!AL11*1.3</f>
        <v>1.69</v>
      </c>
      <c r="AM11" s="275">
        <f>'【国内】问卷调研-数据源（P3单独执行） '!AM11</f>
        <v>13.8316690442225</v>
      </c>
      <c r="AO11" s="276"/>
      <c r="AP11" s="1">
        <v>701</v>
      </c>
      <c r="AQ11" s="99">
        <f>'【国内】问卷调研-数据源（P3单独执行） '!AQ11+0.2</f>
        <v>0.2</v>
      </c>
      <c r="AR11" s="99">
        <f>'【国内】问卷调研-数据源（P3单独执行） '!AS11*0.4</f>
        <v>0.64</v>
      </c>
      <c r="AS11" s="99">
        <f t="shared" si="5"/>
        <v>1.63166666666667</v>
      </c>
      <c r="AT11" s="274">
        <f>'【国内】问卷调研-数据源（P3单独执行） '!AT11*1.3</f>
        <v>1.82</v>
      </c>
      <c r="AU11" s="275">
        <f>'【国内】问卷调研-数据源（P3单独执行） '!AU11</f>
        <v>15.3594864479315</v>
      </c>
      <c r="AV11" s="1"/>
      <c r="AW11" s="276"/>
      <c r="AX11" s="1">
        <v>701</v>
      </c>
      <c r="AY11" s="99">
        <f>'【国内】问卷调研-数据源（P3单独执行） '!AY11+0.2</f>
        <v>0.2</v>
      </c>
      <c r="AZ11" s="99">
        <f>'【国内】问卷调研-数据源（P3单独执行） '!BA11*0.4</f>
        <v>0.68</v>
      </c>
      <c r="BA11" s="99">
        <f t="shared" si="6"/>
        <v>1.79416666666667</v>
      </c>
      <c r="BB11" s="274">
        <f>'【国内】问卷调研-数据源（P3单独执行） '!BB11*1.3</f>
        <v>1.95</v>
      </c>
      <c r="BC11" s="275">
        <f>'【国内】问卷调研-数据源（P3单独执行） '!BC11</f>
        <v>16.8873038516405</v>
      </c>
    </row>
    <row r="12" spans="1:55">
      <c r="A12" s="1" t="s">
        <v>112</v>
      </c>
      <c r="B12" s="1">
        <v>901</v>
      </c>
      <c r="C12" s="99">
        <f>'【国内】问卷调研-数据源（P3单独执行） '!C12+0.2</f>
        <v>0.2</v>
      </c>
      <c r="D12" s="99">
        <f>'【国内】问卷调研-数据源（P3单独执行） '!E12*0.4</f>
        <v>0.6</v>
      </c>
      <c r="E12" s="99">
        <f t="shared" si="0"/>
        <v>1.49916666666667</v>
      </c>
      <c r="F12" s="274">
        <f>'【国内】问卷调研-数据源（P3单独执行） '!F12*1.3</f>
        <v>1.17</v>
      </c>
      <c r="G12" s="275">
        <f>'【国内】问卷调研-数据源（P3单独执行） '!G12</f>
        <v>7.96004439511654</v>
      </c>
      <c r="H12" s="1">
        <v>18</v>
      </c>
      <c r="I12" s="276"/>
      <c r="J12" s="1">
        <v>901</v>
      </c>
      <c r="K12" s="99">
        <f>'【国内】问卷调研-数据源（P3单独执行） '!K12+0.2</f>
        <v>0.2</v>
      </c>
      <c r="L12" s="99">
        <f>'【国内】问卷调研-数据源（P3单独执行） '!M12*0.4</f>
        <v>0.64</v>
      </c>
      <c r="M12" s="99">
        <f t="shared" si="1"/>
        <v>1.66166666666667</v>
      </c>
      <c r="N12" s="274">
        <f>'【国内】问卷调研-数据源（P3单独执行） '!N12*1.3</f>
        <v>1.3</v>
      </c>
      <c r="O12" s="275">
        <f>'【国内】问卷调研-数据源（P3单独执行） '!O12</f>
        <v>9.37069922308546</v>
      </c>
      <c r="P12" s="1">
        <v>18</v>
      </c>
      <c r="Q12" s="276"/>
      <c r="R12" s="1">
        <v>901</v>
      </c>
      <c r="S12" s="99">
        <f>'【国内】问卷调研-数据源（P3单独执行） '!S12+0.2</f>
        <v>0.2</v>
      </c>
      <c r="T12" s="99">
        <f>'【国内】问卷调研-数据源（P3单独执行） '!U12*0.4</f>
        <v>0.68</v>
      </c>
      <c r="U12" s="99">
        <f t="shared" si="2"/>
        <v>1.82416666666667</v>
      </c>
      <c r="V12" s="274">
        <f>'【国内】问卷调研-数据源（P3单独执行） '!V12*1.3</f>
        <v>1.43</v>
      </c>
      <c r="W12" s="275">
        <f>'【国内】问卷调研-数据源（P3单独执行） '!W12</f>
        <v>10.7813540510544</v>
      </c>
      <c r="X12" s="1">
        <v>18</v>
      </c>
      <c r="Y12" s="276"/>
      <c r="Z12" s="1">
        <v>901</v>
      </c>
      <c r="AA12" s="99">
        <f>'【国内】问卷调研-数据源（P3单独执行） '!AA12+0.2</f>
        <v>0.2</v>
      </c>
      <c r="AB12" s="99">
        <f>'【国内】问卷调研-数据源（P3单独执行） '!AC12*0.4</f>
        <v>0.72</v>
      </c>
      <c r="AC12" s="99">
        <f t="shared" si="3"/>
        <v>1.98666666666667</v>
      </c>
      <c r="AD12" s="274">
        <f>'【国内】问卷调研-数据源（P3单独执行） '!AD12*1.3</f>
        <v>1.56</v>
      </c>
      <c r="AE12" s="275">
        <f>'【国内】问卷调研-数据源（P3单独执行） '!AE12</f>
        <v>12.1920088790233</v>
      </c>
      <c r="AG12" s="276"/>
      <c r="AH12" s="1">
        <v>901</v>
      </c>
      <c r="AI12" s="99">
        <f>'【国内】问卷调研-数据源（P3单独执行） '!AI12+0.2</f>
        <v>0.2</v>
      </c>
      <c r="AJ12" s="99">
        <f>'【国内】问卷调研-数据源（P3单独执行） '!AK12*0.4</f>
        <v>0.76</v>
      </c>
      <c r="AK12" s="99">
        <f t="shared" si="4"/>
        <v>2.14916666666667</v>
      </c>
      <c r="AL12" s="274">
        <f>'【国内】问卷调研-数据源（P3单独执行） '!AL12*1.3</f>
        <v>1.69</v>
      </c>
      <c r="AM12" s="275">
        <f>'【国内】问卷调研-数据源（P3单独执行） '!AM12</f>
        <v>13.6026637069922</v>
      </c>
      <c r="AO12" s="276"/>
      <c r="AP12" s="1">
        <v>901</v>
      </c>
      <c r="AQ12" s="99">
        <f>'【国内】问卷调研-数据源（P3单独执行） '!AQ12+0.2</f>
        <v>0.2</v>
      </c>
      <c r="AR12" s="99">
        <f>'【国内】问卷调研-数据源（P3单独执行） '!AS12*0.4</f>
        <v>0.8</v>
      </c>
      <c r="AS12" s="99">
        <f t="shared" si="5"/>
        <v>2.31166666666667</v>
      </c>
      <c r="AT12" s="274">
        <f>'【国内】问卷调研-数据源（P3单独执行） '!AT12*1.3</f>
        <v>1.82</v>
      </c>
      <c r="AU12" s="275">
        <f>'【国内】问卷调研-数据源（P3单独执行） '!AU12</f>
        <v>15.0133185349612</v>
      </c>
      <c r="AV12" s="1"/>
      <c r="AW12" s="276"/>
      <c r="AX12" s="1">
        <v>901</v>
      </c>
      <c r="AY12" s="99">
        <f>'【国内】问卷调研-数据源（P3单独执行） '!AY12+0.2</f>
        <v>0.2</v>
      </c>
      <c r="AZ12" s="99">
        <f>'【国内】问卷调研-数据源（P3单独执行） '!BA12*0.4</f>
        <v>0.84</v>
      </c>
      <c r="BA12" s="99">
        <f t="shared" si="6"/>
        <v>2.47416666666667</v>
      </c>
      <c r="BB12" s="274">
        <f>'【国内】问卷调研-数据源（P3单独执行） '!BB12*1.3</f>
        <v>1.95</v>
      </c>
      <c r="BC12" s="275">
        <f>'【国内】问卷调研-数据源（P3单独执行） '!BC12</f>
        <v>16.4239733629301</v>
      </c>
    </row>
    <row r="13" spans="1:55">
      <c r="A13" s="1" t="s">
        <v>113</v>
      </c>
      <c r="B13" s="1">
        <v>1001</v>
      </c>
      <c r="C13" s="99">
        <f>'【国内】问卷调研-数据源（P3单独执行） '!C13+0.2</f>
        <v>0.2</v>
      </c>
      <c r="D13" s="99">
        <f>'【国内】问卷调研-数据源（P3单独执行） '!E13*0.4</f>
        <v>0.72</v>
      </c>
      <c r="E13" s="99">
        <f t="shared" si="0"/>
        <v>1.93416666666667</v>
      </c>
      <c r="F13" s="274">
        <f>'【国内】问卷调研-数据源（P3单独执行） '!F13*1.3</f>
        <v>2.47</v>
      </c>
      <c r="G13" s="275">
        <f>'【国内】问卷调研-数据源（P3单独执行） '!G13</f>
        <v>8.68331668331668</v>
      </c>
      <c r="H13" s="1">
        <v>18</v>
      </c>
      <c r="I13" s="276"/>
      <c r="J13" s="1">
        <v>1001</v>
      </c>
      <c r="K13" s="99">
        <f>'【国内】问卷调研-数据源（P3单独执行） '!K13+0.2</f>
        <v>0.2</v>
      </c>
      <c r="L13" s="99">
        <f>'【国内】问卷调研-数据源（P3单独执行） '!M13*0.4</f>
        <v>0.76</v>
      </c>
      <c r="M13" s="99">
        <f t="shared" si="1"/>
        <v>2.09666666666667</v>
      </c>
      <c r="N13" s="274">
        <f>'【国内】问卷调研-数据源（P3单独执行） '!N13*1.3</f>
        <v>2.6</v>
      </c>
      <c r="O13" s="275">
        <f>'【国内】问卷调研-数据源（P3单独执行） '!O13</f>
        <v>10.0529470529471</v>
      </c>
      <c r="P13" s="1">
        <v>18</v>
      </c>
      <c r="Q13" s="276"/>
      <c r="R13" s="1">
        <v>1001</v>
      </c>
      <c r="S13" s="99">
        <f>'【国内】问卷调研-数据源（P3单独执行） '!S13+0.2</f>
        <v>0.2</v>
      </c>
      <c r="T13" s="99">
        <f>'【国内】问卷调研-数据源（P3单独执行） '!U13*0.4</f>
        <v>0.8</v>
      </c>
      <c r="U13" s="99">
        <f t="shared" si="2"/>
        <v>2.25916666666667</v>
      </c>
      <c r="V13" s="274">
        <f>'【国内】问卷调研-数据源（P3单独执行） '!V13*1.3</f>
        <v>2.73</v>
      </c>
      <c r="W13" s="275">
        <f>'【国内】问卷调研-数据源（P3单独执行） '!W13</f>
        <v>11.4225774225774</v>
      </c>
      <c r="X13" s="1">
        <v>18</v>
      </c>
      <c r="Y13" s="276"/>
      <c r="Z13" s="1">
        <v>1001</v>
      </c>
      <c r="AA13" s="99">
        <f>'【国内】问卷调研-数据源（P3单独执行） '!AA13+0.2</f>
        <v>0.2</v>
      </c>
      <c r="AB13" s="99">
        <f>'【国内】问卷调研-数据源（P3单独执行） '!AC13*0.4</f>
        <v>0.84</v>
      </c>
      <c r="AC13" s="99">
        <f t="shared" si="3"/>
        <v>2.42166666666667</v>
      </c>
      <c r="AD13" s="274">
        <f>'【国内】问卷调研-数据源（P3单独执行） '!AD13*1.3</f>
        <v>2.86</v>
      </c>
      <c r="AE13" s="275">
        <f>'【国内】问卷调研-数据源（P3单独执行） '!AE13</f>
        <v>12.7922077922078</v>
      </c>
      <c r="AG13" s="276"/>
      <c r="AH13" s="1">
        <v>1001</v>
      </c>
      <c r="AI13" s="99">
        <f>'【国内】问卷调研-数据源（P3单独执行） '!AI13+0.2</f>
        <v>0.2</v>
      </c>
      <c r="AJ13" s="99">
        <f>'【国内】问卷调研-数据源（P3单独执行） '!AK13*0.4</f>
        <v>0.88</v>
      </c>
      <c r="AK13" s="99">
        <f t="shared" si="4"/>
        <v>2.58416666666667</v>
      </c>
      <c r="AL13" s="274">
        <f>'【国内】问卷调研-数据源（P3单独执行） '!AL13*1.3</f>
        <v>2.99</v>
      </c>
      <c r="AM13" s="275">
        <f>'【国内】问卷调研-数据源（P3单独执行） '!AM13</f>
        <v>14.1618381618382</v>
      </c>
      <c r="AO13" s="276"/>
      <c r="AP13" s="1">
        <v>1001</v>
      </c>
      <c r="AQ13" s="99">
        <f>'【国内】问卷调研-数据源（P3单独执行） '!AQ13+0.2</f>
        <v>0.2</v>
      </c>
      <c r="AR13" s="99">
        <f>'【国内】问卷调研-数据源（P3单独执行） '!AS13*0.4</f>
        <v>0.92</v>
      </c>
      <c r="AS13" s="99">
        <f t="shared" si="5"/>
        <v>2.74666666666667</v>
      </c>
      <c r="AT13" s="274">
        <f>'【国内】问卷调研-数据源（P3单独执行） '!AT13*1.3</f>
        <v>3.12</v>
      </c>
      <c r="AU13" s="275">
        <f>'【国内】问卷调研-数据源（P3单独执行） '!AU13</f>
        <v>15.5314685314685</v>
      </c>
      <c r="AV13" s="1"/>
      <c r="AW13" s="276"/>
      <c r="AX13" s="1">
        <v>1001</v>
      </c>
      <c r="AY13" s="99">
        <f>'【国内】问卷调研-数据源（P3单独执行） '!AY13+0.2</f>
        <v>0.2</v>
      </c>
      <c r="AZ13" s="99">
        <f>'【国内】问卷调研-数据源（P3单独执行） '!BA13*0.4</f>
        <v>0.96</v>
      </c>
      <c r="BA13" s="99">
        <f t="shared" si="6"/>
        <v>2.90916666666667</v>
      </c>
      <c r="BB13" s="274">
        <f>'【国内】问卷调研-数据源（P3单独执行） '!BB13*1.3</f>
        <v>3.25</v>
      </c>
      <c r="BC13" s="275">
        <f>'【国内】问卷调研-数据源（P3单独执行） '!BC13</f>
        <v>16.9010989010989</v>
      </c>
    </row>
    <row r="14" spans="1:55">
      <c r="A14" s="1" t="s">
        <v>114</v>
      </c>
      <c r="B14" s="1">
        <v>1201</v>
      </c>
      <c r="C14" s="99">
        <f>'【国内】问卷调研-数据源（P3单独执行） '!C14+0.2</f>
        <v>0.2</v>
      </c>
      <c r="D14" s="99">
        <f>'【国内】问卷调研-数据源（P3单独执行） '!E14*0.4</f>
        <v>0.76</v>
      </c>
      <c r="E14" s="99">
        <f t="shared" si="0"/>
        <v>2.10416666666667</v>
      </c>
      <c r="F14" s="274">
        <f>'【国内】问卷调研-数据源（P3单独执行） '!F14*1.3</f>
        <v>2.47</v>
      </c>
      <c r="G14" s="275">
        <f>'【国内】问卷调研-数据源（P3单独执行） '!G14</f>
        <v>7.85345545378851</v>
      </c>
      <c r="H14" s="1">
        <v>18</v>
      </c>
      <c r="I14" s="276"/>
      <c r="J14" s="1">
        <v>1201</v>
      </c>
      <c r="K14" s="99">
        <f>'【国内】问卷调研-数据源（P3单独执行） '!K14+0.2</f>
        <v>0.2</v>
      </c>
      <c r="L14" s="99">
        <f>'【国内】问卷调研-数据源（P3单独执行） '!M14*0.4</f>
        <v>0.8</v>
      </c>
      <c r="M14" s="99">
        <f t="shared" si="1"/>
        <v>2.26666666666667</v>
      </c>
      <c r="N14" s="274">
        <f>'【国内】问卷调研-数据源（P3单独执行） '!N14*1.3</f>
        <v>2.6</v>
      </c>
      <c r="O14" s="275">
        <f>'【国内】问卷调研-数据源（P3单独执行） '!O14</f>
        <v>9.16153205661948</v>
      </c>
      <c r="P14" s="1">
        <v>18</v>
      </c>
      <c r="Q14" s="276"/>
      <c r="R14" s="1">
        <v>1201</v>
      </c>
      <c r="S14" s="99">
        <f>'【国内】问卷调研-数据源（P3单独执行） '!S14+0.2</f>
        <v>0.2</v>
      </c>
      <c r="T14" s="99">
        <f>'【国内】问卷调研-数据源（P3单独执行） '!U14*0.4</f>
        <v>0.84</v>
      </c>
      <c r="U14" s="99">
        <f t="shared" si="2"/>
        <v>2.42916666666667</v>
      </c>
      <c r="V14" s="274">
        <f>'【国内】问卷调研-数据源（P3单独执行） '!V14*1.3</f>
        <v>2.73</v>
      </c>
      <c r="W14" s="275">
        <f>'【国内】问卷调研-数据源（P3单独执行） '!W14</f>
        <v>10.4696086594505</v>
      </c>
      <c r="X14" s="1">
        <v>18</v>
      </c>
      <c r="Y14" s="276"/>
      <c r="Z14" s="1">
        <v>1201</v>
      </c>
      <c r="AA14" s="99">
        <f>'【国内】问卷调研-数据源（P3单独执行） '!AA14+0.2</f>
        <v>0.2</v>
      </c>
      <c r="AB14" s="99">
        <f>'【国内】问卷调研-数据源（P3单独执行） '!AC14*0.4</f>
        <v>0.88</v>
      </c>
      <c r="AC14" s="99">
        <f t="shared" si="3"/>
        <v>2.59166666666667</v>
      </c>
      <c r="AD14" s="274">
        <f>'【国内】问卷调研-数据源（P3单独执行） '!AD14*1.3</f>
        <v>2.86</v>
      </c>
      <c r="AE14" s="275">
        <f>'【国内】问卷调研-数据源（P3单独执行） '!AE14</f>
        <v>11.7776852622814</v>
      </c>
      <c r="AG14" s="276"/>
      <c r="AH14" s="1">
        <v>1201</v>
      </c>
      <c r="AI14" s="99">
        <f>'【国内】问卷调研-数据源（P3单独执行） '!AI14+0.2</f>
        <v>0.2</v>
      </c>
      <c r="AJ14" s="99">
        <f>'【国内】问卷调研-数据源（P3单独执行） '!AK14*0.4</f>
        <v>0.92</v>
      </c>
      <c r="AK14" s="99">
        <f t="shared" si="4"/>
        <v>2.75416666666667</v>
      </c>
      <c r="AL14" s="274">
        <f>'【国内】问卷调研-数据源（P3单独执行） '!AL14*1.3</f>
        <v>2.99</v>
      </c>
      <c r="AM14" s="275">
        <f>'【国内】问卷调研-数据源（P3单独执行） '!AM14</f>
        <v>13.0857618651124</v>
      </c>
      <c r="AO14" s="276"/>
      <c r="AP14" s="1">
        <v>1201</v>
      </c>
      <c r="AQ14" s="99">
        <f>'【国内】问卷调研-数据源（P3单独执行） '!AQ14+0.2</f>
        <v>0.2</v>
      </c>
      <c r="AR14" s="99">
        <f>'【国内】问卷调研-数据源（P3单独执行） '!AS14*0.4</f>
        <v>0.96</v>
      </c>
      <c r="AS14" s="99">
        <f t="shared" si="5"/>
        <v>2.91666666666667</v>
      </c>
      <c r="AT14" s="274">
        <f>'【国内】问卷调研-数据源（P3单独执行） '!AT14*1.3</f>
        <v>3.12</v>
      </c>
      <c r="AU14" s="275">
        <f>'【国内】问卷调研-数据源（P3单独执行） '!AU14</f>
        <v>14.3938384679434</v>
      </c>
      <c r="AV14" s="1"/>
      <c r="AW14" s="276"/>
      <c r="AX14" s="1">
        <v>1201</v>
      </c>
      <c r="AY14" s="99">
        <f>'【国内】问卷调研-数据源（P3单独执行） '!AY14+0.2</f>
        <v>0.2</v>
      </c>
      <c r="AZ14" s="99">
        <f>'【国内】问卷调研-数据源（P3单独执行） '!BA14*0.4</f>
        <v>1</v>
      </c>
      <c r="BA14" s="99">
        <f t="shared" si="6"/>
        <v>3.07916666666667</v>
      </c>
      <c r="BB14" s="274">
        <f>'【国内】问卷调研-数据源（P3单独执行） '!BB14*1.3</f>
        <v>3.25</v>
      </c>
      <c r="BC14" s="275">
        <f>'【国内】问卷调研-数据源（P3单独执行） '!BC14</f>
        <v>15.7019150707744</v>
      </c>
    </row>
    <row r="15" spans="1:55">
      <c r="A15" s="1" t="s">
        <v>115</v>
      </c>
      <c r="B15" s="1">
        <v>1401</v>
      </c>
      <c r="C15" s="99">
        <f>'【国内】问卷调研-数据源（P3单独执行） '!C15+0.2</f>
        <v>0.2</v>
      </c>
      <c r="D15" s="99">
        <f>'【国内】问卷调研-数据源（P3单独执行） '!E15*0.6</f>
        <v>1.2</v>
      </c>
      <c r="E15" s="99">
        <f t="shared" si="0"/>
        <v>1.14083333333333</v>
      </c>
      <c r="F15" s="274">
        <f>'【国内】问卷调研-数据源（P3单独执行） '!F15*1.3</f>
        <v>2.47</v>
      </c>
      <c r="G15" s="275">
        <f>'【国内】问卷调研-数据源（P3单独执行） '!G15</f>
        <v>7.26052819414704</v>
      </c>
      <c r="H15" s="1">
        <v>18</v>
      </c>
      <c r="I15" s="276"/>
      <c r="J15" s="1">
        <v>1401</v>
      </c>
      <c r="K15" s="99">
        <f>'【国内】问卷调研-数据源（P3单独执行） '!K15+0.2</f>
        <v>0.2</v>
      </c>
      <c r="L15" s="99">
        <f>'【国内】问卷调研-数据源（P3单独执行） '!M15*0.6</f>
        <v>1.26</v>
      </c>
      <c r="M15" s="99">
        <f t="shared" si="1"/>
        <v>1.24666666666667</v>
      </c>
      <c r="N15" s="274">
        <f>'【国内】问卷调研-数据源（P3单独执行） '!N15*1.3</f>
        <v>2.6</v>
      </c>
      <c r="O15" s="275">
        <f>'【国内】问卷调研-数据源（P3单独执行） '!O15</f>
        <v>8.52462526766595</v>
      </c>
      <c r="P15" s="1">
        <v>18</v>
      </c>
      <c r="Q15" s="276"/>
      <c r="R15" s="1">
        <v>1401</v>
      </c>
      <c r="S15" s="99">
        <f>'【国内】问卷调研-数据源（P3单独执行） '!S15+0.2</f>
        <v>0.2</v>
      </c>
      <c r="T15" s="99">
        <f>'【国内】问卷调研-数据源（P3单独执行） '!U15*0.6</f>
        <v>1.32</v>
      </c>
      <c r="U15" s="99">
        <f t="shared" si="2"/>
        <v>1.3525</v>
      </c>
      <c r="V15" s="274">
        <f>'【国内】问卷调研-数据源（P3单独执行） '!V15*1.3</f>
        <v>2.73</v>
      </c>
      <c r="W15" s="275">
        <f>'【国内】问卷调研-数据源（P3单独执行） '!W15</f>
        <v>9.78872234118487</v>
      </c>
      <c r="X15" s="1">
        <v>18</v>
      </c>
      <c r="Y15" s="276"/>
      <c r="Z15" s="1">
        <v>1401</v>
      </c>
      <c r="AA15" s="99">
        <f>'【国内】问卷调研-数据源（P3单独执行） '!AA15+0.2</f>
        <v>0.2</v>
      </c>
      <c r="AB15" s="99">
        <f>'【国内】问卷调研-数据源（P3单独执行） '!AC15*0.6</f>
        <v>1.38</v>
      </c>
      <c r="AC15" s="99">
        <f t="shared" si="3"/>
        <v>1.45833333333333</v>
      </c>
      <c r="AD15" s="274">
        <f>'【国内】问卷调研-数据源（P3单独执行） '!AD15*1.3</f>
        <v>2.86</v>
      </c>
      <c r="AE15" s="275">
        <f>'【国内】问卷调研-数据源（P3单独执行） '!AE15</f>
        <v>11.0528194147038</v>
      </c>
      <c r="AG15" s="276"/>
      <c r="AH15" s="1">
        <v>1401</v>
      </c>
      <c r="AI15" s="99">
        <f>'【国内】问卷调研-数据源（P3单独执行） '!AI15+0.2</f>
        <v>0.2</v>
      </c>
      <c r="AJ15" s="99">
        <f>'【国内】问卷调研-数据源（P3单独执行） '!AK15*0.6</f>
        <v>1.44</v>
      </c>
      <c r="AK15" s="99">
        <f t="shared" si="4"/>
        <v>1.56416666666667</v>
      </c>
      <c r="AL15" s="274">
        <f>'【国内】问卷调研-数据源（P3单独执行） '!AL15*1.3</f>
        <v>2.99</v>
      </c>
      <c r="AM15" s="275">
        <f>'【国内】问卷调研-数据源（P3单独执行） '!AM15</f>
        <v>12.3169164882227</v>
      </c>
      <c r="AO15" s="276"/>
      <c r="AP15" s="1">
        <v>1401</v>
      </c>
      <c r="AQ15" s="99">
        <f>'【国内】问卷调研-数据源（P3单独执行） '!AQ15+0.2</f>
        <v>0.2</v>
      </c>
      <c r="AR15" s="99">
        <f>'【国内】问卷调研-数据源（P3单独执行） '!AS15*0.6</f>
        <v>1.5</v>
      </c>
      <c r="AS15" s="99">
        <f t="shared" si="5"/>
        <v>1.67</v>
      </c>
      <c r="AT15" s="274">
        <f>'【国内】问卷调研-数据源（P3单独执行） '!AT15*1.3</f>
        <v>3.12</v>
      </c>
      <c r="AU15" s="275">
        <f>'【国内】问卷调研-数据源（P3单独执行） '!AU15</f>
        <v>13.5810135617416</v>
      </c>
      <c r="AV15" s="1"/>
      <c r="AW15" s="276"/>
      <c r="AX15" s="1">
        <v>1401</v>
      </c>
      <c r="AY15" s="99">
        <f>'【国内】问卷调研-数据源（P3单独执行） '!AY15+0.2</f>
        <v>0.2</v>
      </c>
      <c r="AZ15" s="99">
        <f>'【国内】问卷调研-数据源（P3单独执行） '!BA15*0.6</f>
        <v>1.56</v>
      </c>
      <c r="BA15" s="99">
        <f t="shared" si="6"/>
        <v>1.77583333333333</v>
      </c>
      <c r="BB15" s="274">
        <f>'【国内】问卷调研-数据源（P3单独执行） '!BB15*1.3</f>
        <v>3.25</v>
      </c>
      <c r="BC15" s="275">
        <f>'【国内】问卷调研-数据源（P3单独执行） '!BC15</f>
        <v>14.8451106352605</v>
      </c>
    </row>
    <row r="16" spans="1:55">
      <c r="A16" s="1" t="s">
        <v>116</v>
      </c>
      <c r="B16" s="1">
        <v>1601</v>
      </c>
      <c r="C16" s="99">
        <f>'【国内】问卷调研-数据源（P3单独执行） '!C16+0.2</f>
        <v>0.2</v>
      </c>
      <c r="D16" s="99">
        <f>'【国内】问卷调研-数据源（P3单独执行） '!E16*0.6</f>
        <v>1.32</v>
      </c>
      <c r="E16" s="99">
        <f t="shared" si="0"/>
        <v>1.3675</v>
      </c>
      <c r="F16" s="274">
        <f>'【国内】问卷调研-数据源（P3单独执行） '!F16*1.3</f>
        <v>2.47</v>
      </c>
      <c r="G16" s="275">
        <f>'【国内】问卷调研-数据源（P3单独执行） '!G16</f>
        <v>7.02810743285447</v>
      </c>
      <c r="H16" s="1">
        <v>18</v>
      </c>
      <c r="I16" s="276"/>
      <c r="J16" s="1">
        <v>1601</v>
      </c>
      <c r="K16" s="99">
        <f>'【国内】问卷调研-数据源（P3单独执行） '!K16+0.2</f>
        <v>0.2</v>
      </c>
      <c r="L16" s="99">
        <f>'【国内】问卷调研-数据源（P3单独执行） '!M16*0.6</f>
        <v>1.38</v>
      </c>
      <c r="M16" s="99">
        <f t="shared" si="1"/>
        <v>1.47333333333333</v>
      </c>
      <c r="N16" s="274">
        <f>'【国内】问卷调研-数据源（P3单独执行） '!N16*1.3</f>
        <v>2.6</v>
      </c>
      <c r="O16" s="275">
        <f>'【国内】问卷调研-数据源（P3单独执行） '!O16</f>
        <v>8.25921299188007</v>
      </c>
      <c r="P16" s="1">
        <v>18</v>
      </c>
      <c r="Q16" s="276"/>
      <c r="R16" s="1">
        <v>1601</v>
      </c>
      <c r="S16" s="99">
        <f>'【国内】问卷调研-数据源（P3单独执行） '!S16+0.2</f>
        <v>0.2</v>
      </c>
      <c r="T16" s="99">
        <f>'【国内】问卷调研-数据源（P3单独执行） '!U16*0.6</f>
        <v>1.44</v>
      </c>
      <c r="U16" s="99">
        <f t="shared" si="2"/>
        <v>1.57916666666667</v>
      </c>
      <c r="V16" s="274">
        <f>'【国内】问卷调研-数据源（P3单独执行） '!V16*1.3</f>
        <v>2.73</v>
      </c>
      <c r="W16" s="275">
        <f>'【国内】问卷调研-数据源（P3单独执行） '!W16</f>
        <v>9.49031855090568</v>
      </c>
      <c r="X16" s="1">
        <v>18</v>
      </c>
      <c r="Y16" s="276"/>
      <c r="Z16" s="1">
        <v>1601</v>
      </c>
      <c r="AA16" s="99">
        <f>'【国内】问卷调研-数据源（P3单独执行） '!AA16+0.2</f>
        <v>0.2</v>
      </c>
      <c r="AB16" s="99">
        <f>'【国内】问卷调研-数据源（P3单独执行） '!AC16*0.6</f>
        <v>1.5</v>
      </c>
      <c r="AC16" s="99">
        <f t="shared" si="3"/>
        <v>1.685</v>
      </c>
      <c r="AD16" s="274">
        <f>'【国内】问卷调研-数据源（P3单独执行） '!AD16*1.3</f>
        <v>2.86</v>
      </c>
      <c r="AE16" s="275">
        <f>'【国内】问卷调研-数据源（P3单独执行） '!AE16</f>
        <v>10.7214241099313</v>
      </c>
      <c r="AG16" s="276"/>
      <c r="AH16" s="1">
        <v>1601</v>
      </c>
      <c r="AI16" s="99">
        <f>'【国内】问卷调研-数据源（P3单独执行） '!AI16+0.2</f>
        <v>0.2</v>
      </c>
      <c r="AJ16" s="99">
        <f>'【国内】问卷调研-数据源（P3单独执行） '!AK16*0.6</f>
        <v>1.56</v>
      </c>
      <c r="AK16" s="99">
        <f t="shared" si="4"/>
        <v>1.79083333333333</v>
      </c>
      <c r="AL16" s="274">
        <f>'【国内】问卷调研-数据源（P3单独执行） '!AL16*1.3</f>
        <v>2.99</v>
      </c>
      <c r="AM16" s="275">
        <f>'【国内】问卷调研-数据源（P3单独执行） '!AM16</f>
        <v>11.9525296689569</v>
      </c>
      <c r="AO16" s="276"/>
      <c r="AP16" s="1">
        <v>1601</v>
      </c>
      <c r="AQ16" s="99">
        <f>'【国内】问卷调研-数据源（P3单独执行） '!AQ16+0.2</f>
        <v>0.2</v>
      </c>
      <c r="AR16" s="99">
        <f>'【国内】问卷调研-数据源（P3单独执行） '!AS16*0.6</f>
        <v>1.62</v>
      </c>
      <c r="AS16" s="99">
        <f t="shared" si="5"/>
        <v>1.89666666666667</v>
      </c>
      <c r="AT16" s="274">
        <f>'【国内】问卷调研-数据源（P3单独执行） '!AT16*1.3</f>
        <v>3.12</v>
      </c>
      <c r="AU16" s="275">
        <f>'【国内】问卷调研-数据源（P3单独执行） '!AU16</f>
        <v>13.1836352279825</v>
      </c>
      <c r="AV16" s="1"/>
      <c r="AW16" s="276"/>
      <c r="AX16" s="1">
        <v>1601</v>
      </c>
      <c r="AY16" s="99">
        <f>'【国内】问卷调研-数据源（P3单独执行） '!AY16+0.2</f>
        <v>0.2</v>
      </c>
      <c r="AZ16" s="99">
        <f>'【国内】问卷调研-数据源（P3单独执行） '!BA16*0.6</f>
        <v>1.68</v>
      </c>
      <c r="BA16" s="99">
        <f t="shared" si="6"/>
        <v>2.0025</v>
      </c>
      <c r="BB16" s="274">
        <f>'【国内】问卷调研-数据源（P3单独执行） '!BB16*1.3</f>
        <v>3.25</v>
      </c>
      <c r="BC16" s="275">
        <f>'【国内】问卷调研-数据源（P3单独执行） '!BC16</f>
        <v>14.4147407870081</v>
      </c>
    </row>
    <row r="17" spans="1:55">
      <c r="A17" s="1" t="s">
        <v>117</v>
      </c>
      <c r="B17" s="1">
        <v>1801</v>
      </c>
      <c r="C17" s="99">
        <f>'【国内】问卷调研-数据源（P3单独执行） '!C17+0.2</f>
        <v>0.2</v>
      </c>
      <c r="D17" s="99">
        <f>'【国内】问卷调研-数据源（P3单独执行） '!E17*0.6</f>
        <v>1.44</v>
      </c>
      <c r="E17" s="99">
        <f t="shared" si="0"/>
        <v>1.59416666666667</v>
      </c>
      <c r="F17" s="274">
        <f>'【国内】问卷调研-数据源（P3单独执行） '!F17*1.3</f>
        <v>2.47</v>
      </c>
      <c r="G17" s="275">
        <f>'【国内】问卷调研-数据源（P3单独执行） '!G17</f>
        <v>6.84730705163798</v>
      </c>
      <c r="H17" s="1">
        <v>18</v>
      </c>
      <c r="I17" s="276"/>
      <c r="J17" s="1">
        <v>1801</v>
      </c>
      <c r="K17" s="99">
        <f>'【国内】问卷调研-数据源（P3单独执行） '!K17+0.2</f>
        <v>0.2</v>
      </c>
      <c r="L17" s="99">
        <f>'【国内】问卷调研-数据源（P3单独执行） '!M17*0.6</f>
        <v>1.5</v>
      </c>
      <c r="M17" s="99">
        <f t="shared" si="1"/>
        <v>1.7</v>
      </c>
      <c r="N17" s="274">
        <f>'【国内】问卷调研-数据源（P3单独执行） '!N17*1.3</f>
        <v>2.6</v>
      </c>
      <c r="O17" s="275">
        <f>'【国内】问卷调研-数据源（P3单独执行） '!O17</f>
        <v>8.05274847307052</v>
      </c>
      <c r="P17" s="1">
        <v>18</v>
      </c>
      <c r="Q17" s="276"/>
      <c r="R17" s="1">
        <v>1801</v>
      </c>
      <c r="S17" s="99">
        <f>'【国内】问卷调研-数据源（P3单独执行） '!S17+0.2</f>
        <v>0.2</v>
      </c>
      <c r="T17" s="99">
        <f>'【国内】问卷调研-数据源（P3单独执行） '!U17*0.6</f>
        <v>1.56</v>
      </c>
      <c r="U17" s="99">
        <f t="shared" si="2"/>
        <v>1.80583333333333</v>
      </c>
      <c r="V17" s="274">
        <f>'【国内】问卷调研-数据源（P3单独执行） '!V17*1.3</f>
        <v>2.73</v>
      </c>
      <c r="W17" s="275">
        <f>'【国内】问卷调研-数据源（P3单独执行） '!W17</f>
        <v>9.25818989450305</v>
      </c>
      <c r="X17" s="1">
        <v>18</v>
      </c>
      <c r="Y17" s="276"/>
      <c r="Z17" s="1">
        <v>1801</v>
      </c>
      <c r="AA17" s="99">
        <f>'【国内】问卷调研-数据源（P3单独执行） '!AA17+0.2</f>
        <v>0.2</v>
      </c>
      <c r="AB17" s="99">
        <f>'【国内】问卷调研-数据源（P3单独执行） '!AC17*0.6</f>
        <v>1.62</v>
      </c>
      <c r="AC17" s="99">
        <f t="shared" si="3"/>
        <v>1.91166666666667</v>
      </c>
      <c r="AD17" s="274">
        <f>'【国内】问卷调研-数据源（P3单独执行） '!AD17*1.3</f>
        <v>2.86</v>
      </c>
      <c r="AE17" s="275">
        <f>'【国内】问卷调研-数据源（P3单独执行） '!AE17</f>
        <v>10.4636313159356</v>
      </c>
      <c r="AG17" s="276"/>
      <c r="AH17" s="1">
        <v>1801</v>
      </c>
      <c r="AI17" s="99">
        <f>'【国内】问卷调研-数据源（P3单独执行） '!AI17+0.2</f>
        <v>0.2</v>
      </c>
      <c r="AJ17" s="99">
        <f>'【国内】问卷调研-数据源（P3单独执行） '!AK17*0.6</f>
        <v>1.68</v>
      </c>
      <c r="AK17" s="99">
        <f t="shared" si="4"/>
        <v>2.0175</v>
      </c>
      <c r="AL17" s="274">
        <f>'【国内】问卷调研-数据源（P3单独执行） '!AL17*1.3</f>
        <v>2.99</v>
      </c>
      <c r="AM17" s="275">
        <f>'【国内】问卷调研-数据源（P3单独执行） '!AM17</f>
        <v>11.6690727373681</v>
      </c>
      <c r="AO17" s="276"/>
      <c r="AP17" s="1">
        <v>1801</v>
      </c>
      <c r="AQ17" s="99">
        <f>'【国内】问卷调研-数据源（P3单独执行） '!AQ17+0.2</f>
        <v>0.2</v>
      </c>
      <c r="AR17" s="99">
        <f>'【国内】问卷调研-数据源（P3单独执行） '!AS17*0.6</f>
        <v>1.74</v>
      </c>
      <c r="AS17" s="99">
        <f t="shared" si="5"/>
        <v>2.12333333333333</v>
      </c>
      <c r="AT17" s="274">
        <f>'【国内】问卷调研-数据源（P3单独执行） '!AT17*1.3</f>
        <v>3.12</v>
      </c>
      <c r="AU17" s="275">
        <f>'【国内】问卷调研-数据源（P3单独执行） '!AU17</f>
        <v>12.8745141588007</v>
      </c>
      <c r="AV17" s="1"/>
      <c r="AW17" s="276"/>
      <c r="AX17" s="1">
        <v>1801</v>
      </c>
      <c r="AY17" s="99">
        <f>'【国内】问卷调研-数据源（P3单独执行） '!AY17+0.2</f>
        <v>0.2</v>
      </c>
      <c r="AZ17" s="99">
        <f>'【国内】问卷调研-数据源（P3单独执行） '!BA17*0.6</f>
        <v>1.8</v>
      </c>
      <c r="BA17" s="99">
        <f t="shared" si="6"/>
        <v>2.22916666666667</v>
      </c>
      <c r="BB17" s="274">
        <f>'【国内】问卷调研-数据源（P3单独执行） '!BB17*1.3</f>
        <v>3.25</v>
      </c>
      <c r="BC17" s="275">
        <f>'【国内】问卷调研-数据源（P3单独执行） '!BC17</f>
        <v>14.0799555802332</v>
      </c>
    </row>
    <row r="18" spans="1:55">
      <c r="A18" s="1" t="s">
        <v>118</v>
      </c>
      <c r="B18" s="1">
        <v>2001</v>
      </c>
      <c r="C18" s="99">
        <f>'【国内】问卷调研-数据源（P3单独执行） '!C18+0.2</f>
        <v>0.3</v>
      </c>
      <c r="D18" s="99">
        <f>'【国内】问卷调研-数据源（P3单独执行） '!E18*0.6</f>
        <v>1.5</v>
      </c>
      <c r="E18" s="99">
        <f t="shared" si="0"/>
        <v>1.7075</v>
      </c>
      <c r="F18" s="274">
        <f>'【国内】问卷调研-数据源（P3单独执行） '!F18*1.3</f>
        <v>2.47</v>
      </c>
      <c r="G18" s="275">
        <f>'【国内】问卷调研-数据源（P3单独执行） '!G18</f>
        <v>6.82758620689655</v>
      </c>
      <c r="H18" s="1">
        <v>18</v>
      </c>
      <c r="I18" s="276"/>
      <c r="J18" s="1">
        <v>2001</v>
      </c>
      <c r="K18" s="99">
        <f>'【国内】问卷调研-数据源（P3单独执行） '!K18+0.2</f>
        <v>0.3</v>
      </c>
      <c r="L18" s="99">
        <f>'【国内】问卷调研-数据源（P3单独执行） '!M18*0.6</f>
        <v>1.56</v>
      </c>
      <c r="M18" s="99">
        <f t="shared" si="1"/>
        <v>1.81333333333333</v>
      </c>
      <c r="N18" s="274">
        <f>'【国内】问卷调研-数据源（P3单独执行） '!N18*1.3</f>
        <v>2.6</v>
      </c>
      <c r="O18" s="275">
        <f>'【国内】问卷调研-数据源（P3单独执行） '!O18</f>
        <v>8.01249375312344</v>
      </c>
      <c r="P18" s="1">
        <v>18</v>
      </c>
      <c r="Q18" s="276"/>
      <c r="R18" s="1">
        <v>2001</v>
      </c>
      <c r="S18" s="99">
        <f>'【国内】问卷调研-数据源（P3单独执行） '!S18+0.2</f>
        <v>0.3</v>
      </c>
      <c r="T18" s="99">
        <f>'【国内】问卷调研-数据源（P3单独执行） '!U18*0.6</f>
        <v>1.62</v>
      </c>
      <c r="U18" s="99">
        <f t="shared" si="2"/>
        <v>1.91916666666667</v>
      </c>
      <c r="V18" s="274">
        <f>'【国内】问卷调研-数据源（P3单独执行） '!V18*1.3</f>
        <v>2.73</v>
      </c>
      <c r="W18" s="275">
        <f>'【国内】问卷调研-数据源（P3单独执行） '!W18</f>
        <v>9.19740129935033</v>
      </c>
      <c r="X18" s="1">
        <v>18</v>
      </c>
      <c r="Y18" s="276"/>
      <c r="Z18" s="1">
        <v>2001</v>
      </c>
      <c r="AA18" s="99">
        <f>'【国内】问卷调研-数据源（P3单独执行） '!AA18+0.2</f>
        <v>0.3</v>
      </c>
      <c r="AB18" s="99">
        <f>'【国内】问卷调研-数据源（P3单独执行） '!AC18*0.6</f>
        <v>1.68</v>
      </c>
      <c r="AC18" s="99">
        <f t="shared" si="3"/>
        <v>2.025</v>
      </c>
      <c r="AD18" s="274">
        <f>'【国内】问卷调研-数据源（P3单独执行） '!AD18*1.3</f>
        <v>2.86</v>
      </c>
      <c r="AE18" s="275">
        <f>'【国内】问卷调研-数据源（P3单独执行） '!AE18</f>
        <v>10.3823088455772</v>
      </c>
      <c r="AG18" s="276"/>
      <c r="AH18" s="1">
        <v>2001</v>
      </c>
      <c r="AI18" s="99">
        <f>'【国内】问卷调研-数据源（P3单独执行） '!AI18+0.2</f>
        <v>0.3</v>
      </c>
      <c r="AJ18" s="99">
        <f>'【国内】问卷调研-数据源（P3单独执行） '!AK18*0.6</f>
        <v>1.74</v>
      </c>
      <c r="AK18" s="99">
        <f t="shared" si="4"/>
        <v>2.13083333333333</v>
      </c>
      <c r="AL18" s="274">
        <f>'【国内】问卷调研-数据源（P3单独执行） '!AL18*1.3</f>
        <v>2.99</v>
      </c>
      <c r="AM18" s="275">
        <f>'【国内】问卷调研-数据源（P3单独执行） '!AM18</f>
        <v>11.5672163918041</v>
      </c>
      <c r="AO18" s="276"/>
      <c r="AP18" s="1">
        <v>2001</v>
      </c>
      <c r="AQ18" s="99">
        <f>'【国内】问卷调研-数据源（P3单独执行） '!AQ18+0.2</f>
        <v>0.3</v>
      </c>
      <c r="AR18" s="99">
        <f>'【国内】问卷调研-数据源（P3单独执行） '!AS18*0.6</f>
        <v>1.8</v>
      </c>
      <c r="AS18" s="99">
        <f t="shared" si="5"/>
        <v>2.23666666666667</v>
      </c>
      <c r="AT18" s="274">
        <f>'【国内】问卷调研-数据源（P3单独执行） '!AT18*1.3</f>
        <v>3.12</v>
      </c>
      <c r="AU18" s="275">
        <f>'【国内】问卷调研-数据源（P3单独执行） '!AU18</f>
        <v>12.752123938031</v>
      </c>
      <c r="AV18" s="1"/>
      <c r="AW18" s="276"/>
      <c r="AX18" s="1">
        <v>2001</v>
      </c>
      <c r="AY18" s="99">
        <f>'【国内】问卷调研-数据源（P3单独执行） '!AY18+0.2</f>
        <v>0.3</v>
      </c>
      <c r="AZ18" s="99">
        <f>'【国内】问卷调研-数据源（P3单独执行） '!BA18*0.6</f>
        <v>1.86</v>
      </c>
      <c r="BA18" s="99">
        <f t="shared" si="6"/>
        <v>2.3425</v>
      </c>
      <c r="BB18" s="274">
        <f>'【国内】问卷调研-数据源（P3单独执行） '!BB18*1.3</f>
        <v>3.25</v>
      </c>
      <c r="BC18" s="275">
        <f>'【国内】问卷调研-数据源（P3单独执行） '!BC18</f>
        <v>13.9370314842579</v>
      </c>
    </row>
    <row r="19" spans="1:55">
      <c r="A19" s="1" t="s">
        <v>119</v>
      </c>
      <c r="B19" s="1">
        <v>2201</v>
      </c>
      <c r="C19" s="99">
        <f>'【国内】问卷调研-数据源（P3单独执行） '!C19+0.2</f>
        <v>0.3</v>
      </c>
      <c r="D19" s="99">
        <f>'【国内】问卷调研-数据源（P3单独执行） '!E19*0.6</f>
        <v>1.68</v>
      </c>
      <c r="E19" s="99">
        <f t="shared" si="0"/>
        <v>2.0475</v>
      </c>
      <c r="F19" s="274">
        <f>'【国内】问卷调研-数据源（P3单独执行） '!F19*1.3</f>
        <v>2.47</v>
      </c>
      <c r="G19" s="275">
        <f>'【国内】问卷调研-数据源（P3单独执行） '!G19</f>
        <v>6.85233984552476</v>
      </c>
      <c r="H19" s="1">
        <v>18</v>
      </c>
      <c r="I19" s="276"/>
      <c r="J19" s="1">
        <v>2201</v>
      </c>
      <c r="K19" s="99">
        <f>'【国内】问卷调研-数据源（P3单独执行） '!K19+0.2</f>
        <v>0.3</v>
      </c>
      <c r="L19" s="99">
        <f>'【国内】问卷调研-数据源（P3单独执行） '!M19*0.6</f>
        <v>1.74</v>
      </c>
      <c r="M19" s="99">
        <f t="shared" si="1"/>
        <v>2.15333333333333</v>
      </c>
      <c r="N19" s="274">
        <f>'【国内】问卷调研-数据源（P3单独执行） '!N19*1.3</f>
        <v>2.6</v>
      </c>
      <c r="O19" s="275">
        <f>'【国内】问卷调研-数据源（P3单独执行） '!O19</f>
        <v>8.02044525215811</v>
      </c>
      <c r="P19" s="1">
        <v>18</v>
      </c>
      <c r="Q19" s="276"/>
      <c r="R19" s="1">
        <v>2201</v>
      </c>
      <c r="S19" s="99">
        <f>'【国内】问卷调研-数据源（P3单独执行） '!S19+0.2</f>
        <v>0.3</v>
      </c>
      <c r="T19" s="99">
        <f>'【国内】问卷调研-数据源（P3单独执行） '!U19*0.6</f>
        <v>1.8</v>
      </c>
      <c r="U19" s="99">
        <f t="shared" si="2"/>
        <v>2.25916666666667</v>
      </c>
      <c r="V19" s="274">
        <f>'【国内】问卷调研-数据源（P3单独执行） '!V19*1.3</f>
        <v>2.73</v>
      </c>
      <c r="W19" s="275">
        <f>'【国内】问卷调研-数据源（P3单独执行） '!W19</f>
        <v>9.18855065879146</v>
      </c>
      <c r="X19" s="1">
        <v>18</v>
      </c>
      <c r="Y19" s="276"/>
      <c r="Z19" s="1">
        <v>2201</v>
      </c>
      <c r="AA19" s="99">
        <f>'【国内】问卷调研-数据源（P3单独执行） '!AA19+0.2</f>
        <v>0.3</v>
      </c>
      <c r="AB19" s="99">
        <f>'【国内】问卷调研-数据源（P3单独执行） '!AC19*0.6</f>
        <v>1.86</v>
      </c>
      <c r="AC19" s="99">
        <f t="shared" si="3"/>
        <v>2.365</v>
      </c>
      <c r="AD19" s="274">
        <f>'【国内】问卷调研-数据源（P3单独执行） '!AD19*1.3</f>
        <v>2.86</v>
      </c>
      <c r="AE19" s="275">
        <f>'【国内】问卷调研-数据源（P3单独执行） '!AE19</f>
        <v>10.3566560654248</v>
      </c>
      <c r="AG19" s="276"/>
      <c r="AH19" s="1">
        <v>2201</v>
      </c>
      <c r="AI19" s="99">
        <f>'【国内】问卷调研-数据源（P3单独执行） '!AI19+0.2</f>
        <v>0.3</v>
      </c>
      <c r="AJ19" s="99">
        <f>'【国内】问卷调研-数据源（P3单独执行） '!AK19*0.6</f>
        <v>1.92</v>
      </c>
      <c r="AK19" s="99">
        <f t="shared" si="4"/>
        <v>2.47083333333333</v>
      </c>
      <c r="AL19" s="274">
        <f>'【国内】问卷调研-数据源（P3单独执行） '!AL19*1.3</f>
        <v>2.99</v>
      </c>
      <c r="AM19" s="275">
        <f>'【国内】问卷调研-数据源（P3单独执行） '!AM19</f>
        <v>11.5247614720582</v>
      </c>
      <c r="AO19" s="276"/>
      <c r="AP19" s="1">
        <v>2201</v>
      </c>
      <c r="AQ19" s="99">
        <f>'【国内】问卷调研-数据源（P3单独执行） '!AQ19+0.2</f>
        <v>0.3</v>
      </c>
      <c r="AR19" s="99">
        <f>'【国内】问卷调研-数据源（P3单独执行） '!AS19*0.6</f>
        <v>1.98</v>
      </c>
      <c r="AS19" s="99">
        <f t="shared" si="5"/>
        <v>2.57666666666667</v>
      </c>
      <c r="AT19" s="274">
        <f>'【国内】问卷调研-数据源（P3单独执行） '!AT19*1.3</f>
        <v>3.12</v>
      </c>
      <c r="AU19" s="275">
        <f>'【国内】问卷调研-数据源（P3单独执行） '!AU19</f>
        <v>12.6928668786915</v>
      </c>
      <c r="AV19" s="1"/>
      <c r="AW19" s="276"/>
      <c r="AX19" s="1">
        <v>2201</v>
      </c>
      <c r="AY19" s="99">
        <f>'【国内】问卷调研-数据源（P3单独执行） '!AY19+0.2</f>
        <v>0.3</v>
      </c>
      <c r="AZ19" s="99">
        <f>'【国内】问卷调研-数据源（P3单独执行） '!BA19*0.6</f>
        <v>2.04</v>
      </c>
      <c r="BA19" s="99">
        <f t="shared" si="6"/>
        <v>2.6825</v>
      </c>
      <c r="BB19" s="274">
        <f>'【国内】问卷调研-数据源（P3单独执行） '!BB19*1.3</f>
        <v>3.25</v>
      </c>
      <c r="BC19" s="275">
        <f>'【国内】问卷调研-数据源（P3单独执行） '!BC19</f>
        <v>13.8609722853249</v>
      </c>
    </row>
    <row r="20" spans="1:55">
      <c r="A20" s="1" t="s">
        <v>120</v>
      </c>
      <c r="B20" s="1">
        <v>2401</v>
      </c>
      <c r="C20" s="99">
        <f>'【国内】问卷调研-数据源（P3单独执行） '!C20+0.2</f>
        <v>0.3</v>
      </c>
      <c r="D20" s="99">
        <f>'【国内】问卷调研-数据源（P3单独执行） '!E20*0.6</f>
        <v>1.74</v>
      </c>
      <c r="E20" s="99">
        <f t="shared" si="0"/>
        <v>2.16083333333333</v>
      </c>
      <c r="F20" s="274">
        <f>'【国内】问卷调研-数据源（P3单独执行） '!F20*1.3</f>
        <v>2.47</v>
      </c>
      <c r="G20" s="275">
        <f>'【国内】问卷调研-数据源（P3单独执行） '!G20</f>
        <v>6.58975426905456</v>
      </c>
      <c r="H20" s="1">
        <v>18</v>
      </c>
      <c r="I20" s="276"/>
      <c r="J20" s="1">
        <v>2401</v>
      </c>
      <c r="K20" s="99">
        <f>'【国内】问卷调研-数据源（P3单独执行） '!K20+0.2</f>
        <v>0.3</v>
      </c>
      <c r="L20" s="99">
        <f>'【国内】问卷调研-数据源（P3单独执行） '!M20*0.6</f>
        <v>1.8</v>
      </c>
      <c r="M20" s="99">
        <f t="shared" si="1"/>
        <v>2.26666666666667</v>
      </c>
      <c r="N20" s="274">
        <f>'【国内】问卷调研-数据源（P3单独执行） '!N20*1.3</f>
        <v>2.6</v>
      </c>
      <c r="O20" s="275">
        <f>'【国内】问卷调研-数据源（P3单独执行） '!O20</f>
        <v>7.74385672636402</v>
      </c>
      <c r="P20" s="1">
        <v>18</v>
      </c>
      <c r="Q20" s="276"/>
      <c r="R20" s="1">
        <v>2401</v>
      </c>
      <c r="S20" s="99">
        <f>'【国内】问卷调研-数据源（P3单独执行） '!S20+0.2</f>
        <v>0.3</v>
      </c>
      <c r="T20" s="99">
        <f>'【国内】问卷调研-数据源（P3单独执行） '!U20*0.6</f>
        <v>1.86</v>
      </c>
      <c r="U20" s="99">
        <f t="shared" si="2"/>
        <v>2.3725</v>
      </c>
      <c r="V20" s="274">
        <f>'【国内】问卷调研-数据源（P3单独执行） '!V20*1.3</f>
        <v>2.73</v>
      </c>
      <c r="W20" s="275">
        <f>'【国内】问卷调研-数据源（P3单独执行） '!W20</f>
        <v>8.89795918367347</v>
      </c>
      <c r="X20" s="1">
        <v>18</v>
      </c>
      <c r="Y20" s="276"/>
      <c r="Z20" s="1">
        <v>2401</v>
      </c>
      <c r="AA20" s="99">
        <f>'【国内】问卷调研-数据源（P3单独执行） '!AA20+0.2</f>
        <v>0.3</v>
      </c>
      <c r="AB20" s="99">
        <f>'【国内】问卷调研-数据源（P3单独执行） '!AC20*0.6</f>
        <v>1.92</v>
      </c>
      <c r="AC20" s="99">
        <f t="shared" si="3"/>
        <v>2.47833333333333</v>
      </c>
      <c r="AD20" s="274">
        <f>'【国内】问卷调研-数据源（P3单独执行） '!AD20*1.3</f>
        <v>2.86</v>
      </c>
      <c r="AE20" s="275">
        <f>'【国内】问卷调研-数据源（P3单独执行） '!AE20</f>
        <v>10.0520616409829</v>
      </c>
      <c r="AG20" s="276"/>
      <c r="AH20" s="1">
        <v>2401</v>
      </c>
      <c r="AI20" s="99">
        <f>'【国内】问卷调研-数据源（P3单独执行） '!AI20+0.2</f>
        <v>0.3</v>
      </c>
      <c r="AJ20" s="99">
        <f>'【国内】问卷调研-数据源（P3单独执行） '!AK20*0.6</f>
        <v>1.98</v>
      </c>
      <c r="AK20" s="99">
        <f t="shared" si="4"/>
        <v>2.58416666666667</v>
      </c>
      <c r="AL20" s="274">
        <f>'【国内】问卷调研-数据源（P3单独执行） '!AL20*1.3</f>
        <v>2.99</v>
      </c>
      <c r="AM20" s="275">
        <f>'【国内】问卷调研-数据源（P3单独执行） '!AM20</f>
        <v>11.2061640982924</v>
      </c>
      <c r="AO20" s="276"/>
      <c r="AP20" s="1">
        <v>2401</v>
      </c>
      <c r="AQ20" s="99">
        <f>'【国内】问卷调研-数据源（P3单独执行） '!AQ20+0.2</f>
        <v>0.3</v>
      </c>
      <c r="AR20" s="99">
        <f>'【国内】问卷调研-数据源（P3单独执行） '!AS20*0.6</f>
        <v>2.04</v>
      </c>
      <c r="AS20" s="99">
        <f t="shared" si="5"/>
        <v>2.69</v>
      </c>
      <c r="AT20" s="274">
        <f>'【国内】问卷调研-数据源（P3单独执行） '!AT20*1.3</f>
        <v>3.12</v>
      </c>
      <c r="AU20" s="275">
        <f>'【国内】问卷调研-数据源（P3单独执行） '!AU20</f>
        <v>12.3602665556018</v>
      </c>
      <c r="AV20" s="1"/>
      <c r="AW20" s="276"/>
      <c r="AX20" s="1">
        <v>2401</v>
      </c>
      <c r="AY20" s="99">
        <f>'【国内】问卷调研-数据源（P3单独执行） '!AY20+0.2</f>
        <v>0.3</v>
      </c>
      <c r="AZ20" s="99">
        <f>'【国内】问卷调研-数据源（P3单独执行） '!BA20*0.6</f>
        <v>2.1</v>
      </c>
      <c r="BA20" s="99">
        <f t="shared" si="6"/>
        <v>2.79583333333333</v>
      </c>
      <c r="BB20" s="274">
        <f>'【国内】问卷调研-数据源（P3单独执行） '!BB20*1.3</f>
        <v>3.25</v>
      </c>
      <c r="BC20" s="275">
        <f>'【国内】问卷调研-数据源（P3单独执行） '!BC20</f>
        <v>13.5143690129113</v>
      </c>
    </row>
    <row r="21" spans="1:55">
      <c r="A21" s="1" t="s">
        <v>121</v>
      </c>
      <c r="B21" s="1">
        <v>2601</v>
      </c>
      <c r="C21" s="99">
        <f>'【国内】问卷调研-数据源（P3单独执行） '!C21+0.2</f>
        <v>0.3</v>
      </c>
      <c r="D21" s="99">
        <f>'【国内】问卷调研-数据源（P3单独执行） '!E21*0.6</f>
        <v>1.8</v>
      </c>
      <c r="E21" s="99">
        <f t="shared" si="0"/>
        <v>2.27416666666667</v>
      </c>
      <c r="F21" s="274">
        <f>'【国内】问卷调研-数据源（P3单独执行） '!F21*1.3</f>
        <v>2.47</v>
      </c>
      <c r="G21" s="275">
        <f>'【国内】问卷调研-数据源（P3单独执行） '!G21</f>
        <v>6.36755094194541</v>
      </c>
      <c r="H21" s="1">
        <v>18</v>
      </c>
      <c r="I21" s="276"/>
      <c r="J21" s="1">
        <v>2601</v>
      </c>
      <c r="K21" s="99">
        <f>'【国内】问卷调研-数据源（P3单独执行） '!K21+0.2</f>
        <v>0.3</v>
      </c>
      <c r="L21" s="99">
        <f>'【国内】问卷调研-数据源（P3单独执行） '!M21*0.6</f>
        <v>1.86</v>
      </c>
      <c r="M21" s="99">
        <f t="shared" si="1"/>
        <v>2.38</v>
      </c>
      <c r="N21" s="274">
        <f>'【国内】问卷调研-数据源（P3单独执行） '!N21*1.3</f>
        <v>2.6</v>
      </c>
      <c r="O21" s="275">
        <f>'【国内】问卷调研-数据源（P3单独执行） '!O21</f>
        <v>7.50980392156863</v>
      </c>
      <c r="P21" s="1">
        <v>18</v>
      </c>
      <c r="Q21" s="276"/>
      <c r="R21" s="1">
        <v>2601</v>
      </c>
      <c r="S21" s="99">
        <f>'【国内】问卷调研-数据源（P3单独执行） '!S21+0.2</f>
        <v>0.3</v>
      </c>
      <c r="T21" s="99">
        <f>'【国内】问卷调研-数据源（P3单独执行） '!U21*0.6</f>
        <v>1.92</v>
      </c>
      <c r="U21" s="99">
        <f t="shared" si="2"/>
        <v>2.48583333333334</v>
      </c>
      <c r="V21" s="274">
        <f>'【国内】问卷调研-数据源（P3单独执行） '!V21*1.3</f>
        <v>2.73</v>
      </c>
      <c r="W21" s="275">
        <f>'【国内】问卷调研-数据源（P3单独执行） '!W21</f>
        <v>8.65205690119185</v>
      </c>
      <c r="X21" s="1">
        <v>18</v>
      </c>
      <c r="Y21" s="276"/>
      <c r="Z21" s="1">
        <v>2601</v>
      </c>
      <c r="AA21" s="99">
        <f>'【国内】问卷调研-数据源（P3单独执行） '!AA21+0.2</f>
        <v>0.3</v>
      </c>
      <c r="AB21" s="99">
        <f>'【国内】问卷调研-数据源（P3单独执行） '!AC21*0.6</f>
        <v>1.98</v>
      </c>
      <c r="AC21" s="99">
        <f t="shared" si="3"/>
        <v>2.59166666666667</v>
      </c>
      <c r="AD21" s="274">
        <f>'【国内】问卷调研-数据源（P3单独执行） '!AD21*1.3</f>
        <v>2.86</v>
      </c>
      <c r="AE21" s="275">
        <f>'【国内】问卷调研-数据源（P3单独执行） '!AE21</f>
        <v>9.79430988081507</v>
      </c>
      <c r="AG21" s="276"/>
      <c r="AH21" s="1">
        <v>2601</v>
      </c>
      <c r="AI21" s="99">
        <f>'【国内】问卷调研-数据源（P3单独执行） '!AI21+0.2</f>
        <v>0.3</v>
      </c>
      <c r="AJ21" s="99">
        <f>'【国内】问卷调研-数据源（P3单独执行） '!AK21*0.6</f>
        <v>2.04</v>
      </c>
      <c r="AK21" s="99">
        <f t="shared" si="4"/>
        <v>2.6975</v>
      </c>
      <c r="AL21" s="274">
        <f>'【国内】问卷调研-数据源（P3单独执行） '!AL21*1.3</f>
        <v>2.99</v>
      </c>
      <c r="AM21" s="275">
        <f>'【国内】问卷调研-数据源（P3单独执行） '!AM21</f>
        <v>10.9365628604383</v>
      </c>
      <c r="AO21" s="276"/>
      <c r="AP21" s="1">
        <v>2601</v>
      </c>
      <c r="AQ21" s="99">
        <f>'【国内】问卷调研-数据源（P3单独执行） '!AQ21+0.2</f>
        <v>0.3</v>
      </c>
      <c r="AR21" s="99">
        <f>'【国内】问卷调研-数据源（P3单独执行） '!AS21*0.6</f>
        <v>2.1</v>
      </c>
      <c r="AS21" s="99">
        <f t="shared" si="5"/>
        <v>2.80333333333333</v>
      </c>
      <c r="AT21" s="274">
        <f>'【国内】问卷调研-数据源（P3单独执行） '!AT21*1.3</f>
        <v>3.12</v>
      </c>
      <c r="AU21" s="275">
        <f>'【国内】问卷调研-数据源（P3单独执行） '!AU21</f>
        <v>12.0788158400615</v>
      </c>
      <c r="AV21" s="1"/>
      <c r="AW21" s="276"/>
      <c r="AX21" s="1">
        <v>2601</v>
      </c>
      <c r="AY21" s="99">
        <f>'【国内】问卷调研-数据源（P3单独执行） '!AY21+0.2</f>
        <v>0.3</v>
      </c>
      <c r="AZ21" s="99">
        <f>'【国内】问卷调研-数据源（P3单独执行） '!BA21*0.6</f>
        <v>2.16</v>
      </c>
      <c r="BA21" s="99">
        <f t="shared" si="6"/>
        <v>2.90916666666667</v>
      </c>
      <c r="BB21" s="274">
        <f>'【国内】问卷调研-数据源（P3单独执行） '!BB21*1.3</f>
        <v>3.25</v>
      </c>
      <c r="BC21" s="275">
        <f>'【国内】问卷调研-数据源（P3单独执行） '!BC21</f>
        <v>13.2210688196847</v>
      </c>
    </row>
    <row r="22" spans="1:55">
      <c r="A22" s="1" t="s">
        <v>122</v>
      </c>
      <c r="B22" s="1">
        <v>2801</v>
      </c>
      <c r="C22" s="99">
        <f>'【国内】问卷调研-数据源（P3单独执行） '!C22+0.2</f>
        <v>0.3</v>
      </c>
      <c r="D22" s="99">
        <f>'【国内】问卷调研-数据源（P3单独执行） '!E22*0.6</f>
        <v>1.98</v>
      </c>
      <c r="E22" s="99">
        <f t="shared" si="0"/>
        <v>2.61416666666667</v>
      </c>
      <c r="F22" s="274">
        <f>'【国内】问卷调研-数据源（P3单独执行） '!F22*1.3</f>
        <v>2.47</v>
      </c>
      <c r="G22" s="275">
        <f>'【国内】问卷调研-数据源（P3单独执行） '!G22</f>
        <v>6.4198500535523</v>
      </c>
      <c r="H22" s="1">
        <v>18</v>
      </c>
      <c r="I22" s="276"/>
      <c r="J22" s="1">
        <v>2801</v>
      </c>
      <c r="K22" s="99">
        <f>'【国内】问卷调研-数据源（P3单独执行） '!K22+0.2</f>
        <v>0.3</v>
      </c>
      <c r="L22" s="99">
        <f>'【国内】问卷调研-数据源（P3单独执行） '!M22*0.6</f>
        <v>2.04</v>
      </c>
      <c r="M22" s="99">
        <f t="shared" si="1"/>
        <v>2.72</v>
      </c>
      <c r="N22" s="274">
        <f>'【国内】问卷调研-数据源（P3单独执行） '!N22*1.3</f>
        <v>2.6</v>
      </c>
      <c r="O22" s="275">
        <f>'【国内】问卷调研-数据源（P3单独执行） '!O22</f>
        <v>7.55194573366655</v>
      </c>
      <c r="P22" s="1">
        <v>18</v>
      </c>
      <c r="Q22" s="276"/>
      <c r="R22" s="1">
        <v>2801</v>
      </c>
      <c r="S22" s="99">
        <f>'【国内】问卷调研-数据源（P3单独执行） '!S22+0.2</f>
        <v>0.3</v>
      </c>
      <c r="T22" s="99">
        <f>'【国内】问卷调研-数据源（P3单独执行） '!U22*0.6</f>
        <v>2.1</v>
      </c>
      <c r="U22" s="99">
        <f t="shared" si="2"/>
        <v>2.82583333333334</v>
      </c>
      <c r="V22" s="274">
        <f>'【国内】问卷调研-数据源（P3单独执行） '!V22*1.3</f>
        <v>2.73</v>
      </c>
      <c r="W22" s="275">
        <f>'【国内】问卷调研-数据源（P3单独执行） '!W22</f>
        <v>8.68404141378079</v>
      </c>
      <c r="X22" s="1">
        <v>18</v>
      </c>
      <c r="Y22" s="276"/>
      <c r="Z22" s="1">
        <v>2801</v>
      </c>
      <c r="AA22" s="99">
        <f>'【国内】问卷调研-数据源（P3单独执行） '!AA22+0.2</f>
        <v>0.3</v>
      </c>
      <c r="AB22" s="99">
        <f>'【国内】问卷调研-数据源（P3单独执行） '!AC22*0.6</f>
        <v>2.16</v>
      </c>
      <c r="AC22" s="99">
        <f t="shared" si="3"/>
        <v>2.93166666666667</v>
      </c>
      <c r="AD22" s="274">
        <f>'【国内】问卷调研-数据源（P3单独执行） '!AD22*1.3</f>
        <v>2.86</v>
      </c>
      <c r="AE22" s="275">
        <f>'【国内】问卷调研-数据源（P3单独执行） '!AE22</f>
        <v>9.81613709389504</v>
      </c>
      <c r="AG22" s="276"/>
      <c r="AH22" s="1">
        <v>2801</v>
      </c>
      <c r="AI22" s="99">
        <f>'【国内】问卷调研-数据源（P3单独执行） '!AI22+0.2</f>
        <v>0.3</v>
      </c>
      <c r="AJ22" s="99">
        <f>'【国内】问卷调研-数据源（P3单独执行） '!AK22*0.6</f>
        <v>2.22</v>
      </c>
      <c r="AK22" s="99">
        <f t="shared" si="4"/>
        <v>3.0375</v>
      </c>
      <c r="AL22" s="274">
        <f>'【国内】问卷调研-数据源（P3单独执行） '!AL22*1.3</f>
        <v>2.99</v>
      </c>
      <c r="AM22" s="275">
        <f>'【国内】问卷调研-数据源（P3单独执行） '!AM22</f>
        <v>10.9482327740093</v>
      </c>
      <c r="AO22" s="276"/>
      <c r="AP22" s="1">
        <v>2801</v>
      </c>
      <c r="AQ22" s="99">
        <f>'【国内】问卷调研-数据源（P3单独执行） '!AQ22+0.2</f>
        <v>0.3</v>
      </c>
      <c r="AR22" s="99">
        <f>'【国内】问卷调研-数据源（P3单独执行） '!AS22*0.6</f>
        <v>2.28</v>
      </c>
      <c r="AS22" s="99">
        <f t="shared" si="5"/>
        <v>3.14333333333333</v>
      </c>
      <c r="AT22" s="274">
        <f>'【国内】问卷调研-数据源（P3单独执行） '!AT22*1.3</f>
        <v>3.12</v>
      </c>
      <c r="AU22" s="275">
        <f>'【国内】问卷调研-数据源（P3单独执行） '!AU22</f>
        <v>12.0803284541235</v>
      </c>
      <c r="AV22" s="1"/>
      <c r="AW22" s="276"/>
      <c r="AX22" s="1">
        <v>2801</v>
      </c>
      <c r="AY22" s="99">
        <f>'【国内】问卷调研-数据源（P3单独执行） '!AY22+0.2</f>
        <v>0.3</v>
      </c>
      <c r="AZ22" s="99">
        <f>'【国内】问卷调研-数据源（P3单独执行） '!BA22*0.6</f>
        <v>2.34</v>
      </c>
      <c r="BA22" s="99">
        <f t="shared" si="6"/>
        <v>3.24916666666667</v>
      </c>
      <c r="BB22" s="274">
        <f>'【国内】问卷调研-数据源（P3单独执行） '!BB22*1.3</f>
        <v>3.25</v>
      </c>
      <c r="BC22" s="275">
        <f>'【国内】问卷调研-数据源（P3单独执行） '!BC22</f>
        <v>13.2124241342378</v>
      </c>
    </row>
    <row r="23" spans="1:55">
      <c r="I23" s="269"/>
      <c r="Q23" s="269"/>
      <c r="Y23" s="269"/>
      <c r="AG23" s="269"/>
      <c r="AO23" s="269"/>
      <c r="AW23" s="269"/>
    </row>
    <row r="24" spans="1:55">
      <c r="B24" s="268" t="s">
        <v>91</v>
      </c>
      <c r="C24" s="268" t="s">
        <v>3</v>
      </c>
      <c r="I24" s="269"/>
      <c r="J24" s="268" t="s">
        <v>91</v>
      </c>
      <c r="K24" s="268"/>
      <c r="L24" s="268" t="s">
        <v>3</v>
      </c>
      <c r="Q24" s="269"/>
      <c r="R24" s="268" t="s">
        <v>91</v>
      </c>
      <c r="S24" s="268"/>
      <c r="T24" s="268" t="s">
        <v>3</v>
      </c>
      <c r="Y24" s="269"/>
      <c r="Z24" s="268" t="s">
        <v>91</v>
      </c>
      <c r="AA24" s="268"/>
      <c r="AB24" s="268" t="s">
        <v>3</v>
      </c>
      <c r="AG24" s="269"/>
      <c r="AH24" s="268" t="s">
        <v>91</v>
      </c>
      <c r="AI24" s="268"/>
      <c r="AJ24" s="268" t="s">
        <v>3</v>
      </c>
      <c r="AO24" s="269"/>
      <c r="AP24" s="268" t="s">
        <v>91</v>
      </c>
      <c r="AQ24" s="268"/>
      <c r="AR24" s="268" t="s">
        <v>3</v>
      </c>
      <c r="AW24" s="269"/>
      <c r="AX24" s="268" t="s">
        <v>91</v>
      </c>
      <c r="AY24" s="268"/>
      <c r="AZ24" s="268" t="s">
        <v>3</v>
      </c>
    </row>
    <row r="25" spans="1:55">
      <c r="B25" s="270" t="s">
        <v>92</v>
      </c>
      <c r="C25" s="270" t="s">
        <v>93</v>
      </c>
      <c r="G25" s="272">
        <f>AVERAGE(G30:G45)</f>
        <v>10.5291157099978</v>
      </c>
      <c r="I25" s="269"/>
      <c r="J25" s="270" t="s">
        <v>92</v>
      </c>
      <c r="K25" s="270"/>
      <c r="L25" s="270" t="s">
        <v>94</v>
      </c>
      <c r="Q25" s="269"/>
      <c r="R25" s="270" t="s">
        <v>92</v>
      </c>
      <c r="S25" s="270"/>
      <c r="T25" s="270" t="s">
        <v>95</v>
      </c>
      <c r="Y25" s="269"/>
      <c r="Z25" s="270" t="s">
        <v>92</v>
      </c>
      <c r="AA25" s="270"/>
      <c r="AB25" s="270" t="s">
        <v>96</v>
      </c>
      <c r="AG25" s="269"/>
      <c r="AH25" s="270" t="s">
        <v>92</v>
      </c>
      <c r="AI25" s="270"/>
      <c r="AJ25" s="270" t="s">
        <v>97</v>
      </c>
      <c r="AO25" s="269"/>
      <c r="AP25" s="270" t="s">
        <v>92</v>
      </c>
      <c r="AQ25" s="270"/>
      <c r="AR25" s="270" t="s">
        <v>98</v>
      </c>
      <c r="AW25" s="269"/>
      <c r="AX25" s="270" t="s">
        <v>92</v>
      </c>
      <c r="AY25" s="270"/>
      <c r="AZ25" s="270" t="s">
        <v>99</v>
      </c>
    </row>
    <row r="26" spans="1:55">
      <c r="B26" s="271" t="s">
        <v>100</v>
      </c>
      <c r="C26" s="271"/>
      <c r="D26" s="271">
        <f>D3+1</f>
        <v>3</v>
      </c>
      <c r="F26" s="59"/>
      <c r="G26" s="1" t="s">
        <v>104</v>
      </c>
      <c r="H26" s="269" t="s">
        <v>105</v>
      </c>
      <c r="I26" s="269"/>
      <c r="J26" s="271" t="s">
        <v>100</v>
      </c>
      <c r="K26" s="271"/>
      <c r="L26" s="271">
        <f>L3+1</f>
        <v>4</v>
      </c>
      <c r="N26" s="59"/>
      <c r="O26" s="272">
        <f>AVERAGE(O30:O45)</f>
        <v>12.1897537424383</v>
      </c>
      <c r="P26" s="59"/>
      <c r="Q26" s="269"/>
      <c r="R26" s="271" t="s">
        <v>100</v>
      </c>
      <c r="S26" s="271"/>
      <c r="T26" s="271">
        <f>T3+1</f>
        <v>5</v>
      </c>
      <c r="V26" s="59"/>
      <c r="W26" s="272">
        <f>AVERAGE(W30:W45)</f>
        <v>13.8503917748788</v>
      </c>
      <c r="X26" s="59"/>
      <c r="Y26" s="269"/>
      <c r="Z26" s="271" t="s">
        <v>100</v>
      </c>
      <c r="AA26" s="271"/>
      <c r="AB26" s="271">
        <f>AB3+1</f>
        <v>6</v>
      </c>
      <c r="AD26" s="59"/>
      <c r="AE26" s="272">
        <f>AVERAGE(AE30:AE45)</f>
        <v>15.3006337677153</v>
      </c>
      <c r="AF26" s="59"/>
      <c r="AG26" s="269"/>
      <c r="AH26" s="271" t="s">
        <v>100</v>
      </c>
      <c r="AI26" s="271"/>
      <c r="AJ26" s="271">
        <f>AJ3+1</f>
        <v>7</v>
      </c>
      <c r="AL26" s="59"/>
      <c r="AM26" s="272">
        <f>AVERAGE(AM30:AM45)</f>
        <v>16.9612718001558</v>
      </c>
      <c r="AN26" s="59"/>
      <c r="AO26" s="269"/>
      <c r="AP26" s="271" t="s">
        <v>100</v>
      </c>
      <c r="AQ26" s="271"/>
      <c r="AR26" s="271">
        <f>AR3+1</f>
        <v>8</v>
      </c>
      <c r="AT26" s="273"/>
      <c r="AU26" s="272">
        <f>AVERAGE(AU30:AU45)</f>
        <v>18.6219098325963</v>
      </c>
      <c r="AV26" s="273"/>
      <c r="AW26" s="269"/>
      <c r="AX26" s="271" t="s">
        <v>100</v>
      </c>
      <c r="AY26" s="271"/>
      <c r="AZ26" s="271">
        <f>AZ3+1</f>
        <v>9</v>
      </c>
      <c r="BB26" s="273"/>
      <c r="BC26" s="272">
        <f>AVERAGE(BC30:BC45)</f>
        <v>20.2825478650369</v>
      </c>
    </row>
    <row r="27" spans="1:55">
      <c r="B27" s="1" t="s">
        <v>101</v>
      </c>
      <c r="C27" s="1" t="s">
        <v>8</v>
      </c>
      <c r="D27" s="1" t="s">
        <v>9</v>
      </c>
      <c r="E27" s="1" t="s">
        <v>10</v>
      </c>
      <c r="F27" s="1" t="s">
        <v>103</v>
      </c>
      <c r="I27" s="269"/>
      <c r="J27" s="1" t="s">
        <v>101</v>
      </c>
      <c r="K27" s="1" t="s">
        <v>8</v>
      </c>
      <c r="L27" s="1" t="s">
        <v>9</v>
      </c>
      <c r="M27" s="1" t="s">
        <v>10</v>
      </c>
      <c r="N27" s="1" t="s">
        <v>103</v>
      </c>
      <c r="O27" s="1" t="s">
        <v>104</v>
      </c>
      <c r="Q27" s="269"/>
      <c r="R27" s="1" t="s">
        <v>101</v>
      </c>
      <c r="S27" s="1" t="s">
        <v>8</v>
      </c>
      <c r="T27" s="1" t="s">
        <v>9</v>
      </c>
      <c r="U27" s="1" t="s">
        <v>10</v>
      </c>
      <c r="V27" s="1" t="s">
        <v>103</v>
      </c>
      <c r="W27" s="1" t="s">
        <v>104</v>
      </c>
      <c r="Y27" s="269"/>
      <c r="Z27" s="1" t="s">
        <v>101</v>
      </c>
      <c r="AA27" s="1" t="s">
        <v>8</v>
      </c>
      <c r="AB27" s="1" t="s">
        <v>9</v>
      </c>
      <c r="AC27" s="1" t="s">
        <v>10</v>
      </c>
      <c r="AD27" s="1" t="s">
        <v>103</v>
      </c>
      <c r="AG27" s="269"/>
      <c r="AH27" s="1" t="s">
        <v>101</v>
      </c>
      <c r="AI27" s="1" t="s">
        <v>8</v>
      </c>
      <c r="AJ27" s="1" t="s">
        <v>9</v>
      </c>
      <c r="AK27" s="1" t="s">
        <v>10</v>
      </c>
      <c r="AL27" s="1" t="s">
        <v>103</v>
      </c>
      <c r="AO27" s="269"/>
      <c r="AP27" s="1" t="s">
        <v>101</v>
      </c>
      <c r="AQ27" s="1" t="s">
        <v>8</v>
      </c>
      <c r="AR27" s="1" t="s">
        <v>9</v>
      </c>
      <c r="AS27" s="1" t="s">
        <v>10</v>
      </c>
      <c r="AT27" s="99" t="s">
        <v>103</v>
      </c>
      <c r="AW27" s="269"/>
      <c r="AX27" s="1" t="s">
        <v>101</v>
      </c>
      <c r="AY27" s="1" t="s">
        <v>8</v>
      </c>
      <c r="AZ27" s="1" t="s">
        <v>9</v>
      </c>
      <c r="BA27" s="1" t="s">
        <v>10</v>
      </c>
      <c r="BB27" s="99" t="s">
        <v>103</v>
      </c>
    </row>
    <row r="28" spans="1:55">
      <c r="B28" s="1">
        <v>0</v>
      </c>
      <c r="C28" s="99">
        <v>0</v>
      </c>
      <c r="D28" s="99">
        <f>'【国内】问卷调研-数据源（P3单独执行） '!E28*0.4</f>
        <v>0</v>
      </c>
      <c r="E28" s="99" t="e">
        <f>(G28*B28-$D$26*B28-C28*5900-D28*3400-F28*300)/1200</f>
        <v>#DIV/0!</v>
      </c>
      <c r="F28" s="274">
        <f>'【国内】问卷调研-数据源（P3单独执行） '!F28*1.3</f>
        <v>0</v>
      </c>
      <c r="G28" s="275" t="e">
        <f>'【国内】问卷调研-数据源（P3单独执行） '!G28</f>
        <v>#DIV/0!</v>
      </c>
      <c r="I28" s="269"/>
      <c r="J28" s="1">
        <v>0</v>
      </c>
      <c r="K28" s="99">
        <v>0</v>
      </c>
      <c r="L28" s="99">
        <f>'【国内】问卷调研-数据源（P3单独执行） '!M28*0.4</f>
        <v>0</v>
      </c>
      <c r="M28" s="99" t="e">
        <f>(O28*J28-$L$26*J28-K28*5900-L28*3400-N28*300)/1200</f>
        <v>#DIV/0!</v>
      </c>
      <c r="N28" s="274">
        <f>'【国内】问卷调研-数据源（P3单独执行） '!N28*1.3</f>
        <v>0</v>
      </c>
      <c r="O28" s="275" t="e">
        <f>'【国内】问卷调研-数据源（P3单独执行） '!O28</f>
        <v>#DIV/0!</v>
      </c>
      <c r="Q28" s="269"/>
      <c r="R28" s="1">
        <v>0</v>
      </c>
      <c r="S28" s="99">
        <v>0</v>
      </c>
      <c r="T28" s="99">
        <f>'【国内】问卷调研-数据源（P3单独执行） '!U28*0.4</f>
        <v>0</v>
      </c>
      <c r="U28" s="99" t="e">
        <f>(W28*R28-$T$26*R28-S28*5900-T28*3400-V28*300)/1200</f>
        <v>#DIV/0!</v>
      </c>
      <c r="V28" s="274">
        <f>'【国内】问卷调研-数据源（P3单独执行） '!V28*1.3</f>
        <v>0</v>
      </c>
      <c r="W28" s="275" t="e">
        <f>'【国内】问卷调研-数据源（P3单独执行） '!W28</f>
        <v>#DIV/0!</v>
      </c>
      <c r="Y28" s="269"/>
      <c r="Z28" s="1">
        <v>0</v>
      </c>
      <c r="AA28" s="99">
        <v>0</v>
      </c>
      <c r="AB28" s="99">
        <f>'【国内】问卷调研-数据源（P3单独执行） '!AC28*0.4</f>
        <v>0</v>
      </c>
      <c r="AC28" s="99" t="e">
        <f>(AE28*Z28-$AB$26*Z28-AA28*5900-AB28*3400-AD28*300)/1200</f>
        <v>#DIV/0!</v>
      </c>
      <c r="AD28" s="274">
        <f>'【国内】问卷调研-数据源（P3单独执行） '!AD28*1.3</f>
        <v>0.13</v>
      </c>
      <c r="AE28" s="275" t="e">
        <f>'【国内】问卷调研-数据源（P3单独执行） '!AE28</f>
        <v>#DIV/0!</v>
      </c>
      <c r="AG28" s="269"/>
      <c r="AH28" s="1">
        <v>0</v>
      </c>
      <c r="AI28" s="99">
        <v>0</v>
      </c>
      <c r="AJ28" s="99">
        <f>'【国内】问卷调研-数据源（P3单独执行） '!AK28*0.4</f>
        <v>0</v>
      </c>
      <c r="AK28" s="99" t="e">
        <f>(AM28*AH28-$AJ$26*AH28-AI28*5900-AJ28*3400-AL28*300)/1200</f>
        <v>#DIV/0!</v>
      </c>
      <c r="AL28" s="274">
        <f>'【国内】问卷调研-数据源（P3单独执行） '!AL28*1.3</f>
        <v>0.26</v>
      </c>
      <c r="AM28" s="275" t="e">
        <f>'【国内】问卷调研-数据源（P3单独执行） '!AM28</f>
        <v>#DIV/0!</v>
      </c>
      <c r="AO28" s="269"/>
      <c r="AP28" s="1">
        <v>0</v>
      </c>
      <c r="AQ28" s="99">
        <v>0</v>
      </c>
      <c r="AR28" s="99">
        <f>'【国内】问卷调研-数据源（P3单独执行） '!AS28*0.4</f>
        <v>0</v>
      </c>
      <c r="AS28" s="99" t="e">
        <f>(AU28*AP28-$AR$26*AP28-AQ28*5900-AR28*3400-AT28*300)/1200</f>
        <v>#DIV/0!</v>
      </c>
      <c r="AT28" s="274">
        <f>'【国内】问卷调研-数据源（P3单独执行） '!AT28*1.3</f>
        <v>0.39</v>
      </c>
      <c r="AU28" s="275" t="e">
        <f>'【国内】问卷调研-数据源（P3单独执行） '!AU28</f>
        <v>#DIV/0!</v>
      </c>
      <c r="AV28" s="1"/>
      <c r="AW28" s="269"/>
      <c r="AX28" s="1">
        <v>0</v>
      </c>
      <c r="AY28" s="99">
        <v>0</v>
      </c>
      <c r="AZ28" s="99">
        <f>'【国内】问卷调研-数据源（P3单独执行） '!BA28*0.4</f>
        <v>0</v>
      </c>
      <c r="BA28" s="99" t="e">
        <f>(BC28*AX28-$AZ$26*AX28-AY28*5900-AZ28*3400-BB28*300)/1200</f>
        <v>#DIV/0!</v>
      </c>
      <c r="BB28" s="274">
        <f>'【国内】问卷调研-数据源（P3单独执行） '!BB28*1.3</f>
        <v>0.52</v>
      </c>
      <c r="BC28" s="275" t="e">
        <f>'【国内】问卷调研-数据源（P3单独执行） '!BC28</f>
        <v>#DIV/0!</v>
      </c>
    </row>
    <row r="29" spans="1:55">
      <c r="A29" s="1" t="s">
        <v>106</v>
      </c>
      <c r="B29" s="1">
        <v>1</v>
      </c>
      <c r="C29" s="99">
        <v>0</v>
      </c>
      <c r="D29" s="99">
        <f>'【国内】问卷调研-数据源（P3单独执行） '!E29*0.4</f>
        <v>0.16</v>
      </c>
      <c r="E29" s="99">
        <f t="shared" ref="E29:E45" si="7">(G29*B29-$D$26*B29-C29*5900-D29*3400-F29*300)/1200</f>
        <v>0.635</v>
      </c>
      <c r="F29" s="274">
        <f>'【国内】问卷调研-数据源（P3单独执行） '!F29*1.3</f>
        <v>0.78</v>
      </c>
      <c r="G29" s="275">
        <f>'【国内】问卷调研-数据源（P3单独执行） '!G29</f>
        <v>1543</v>
      </c>
      <c r="I29" s="276"/>
      <c r="J29" s="1">
        <v>1</v>
      </c>
      <c r="K29" s="99">
        <v>0</v>
      </c>
      <c r="L29" s="99">
        <f>'【国内】问卷调研-数据源（P3单独执行） '!M29*0.4</f>
        <v>0.2</v>
      </c>
      <c r="M29" s="99">
        <f t="shared" ref="M29:M45" si="8">(O29*J29-$L$26*J29-K29*5900-L29*3400-N29*300)/1200</f>
        <v>0.7975</v>
      </c>
      <c r="N29" s="274">
        <f>'【国内】问卷调研-数据源（P3单独执行） '!N29*1.3</f>
        <v>0.91</v>
      </c>
      <c r="O29" s="275">
        <f>'【国内】问卷调研-数据源（P3单独执行） '!O29</f>
        <v>1914</v>
      </c>
      <c r="Q29" s="276"/>
      <c r="R29" s="1">
        <v>1</v>
      </c>
      <c r="S29" s="99">
        <v>0</v>
      </c>
      <c r="T29" s="99">
        <f>'【国内】问卷调研-数据源（P3单独执行） '!U29*0.4</f>
        <v>0.24</v>
      </c>
      <c r="U29" s="99">
        <f t="shared" ref="U29:U45" si="9">(W29*R29-$T$26*R29-S29*5900-T29*3400-V29*300)/1200</f>
        <v>0.96</v>
      </c>
      <c r="V29" s="274">
        <f>'【国内】问卷调研-数据源（P3单独执行） '!V29*1.3</f>
        <v>1.04</v>
      </c>
      <c r="W29" s="275">
        <f>'【国内】问卷调研-数据源（P3单独执行） '!W29</f>
        <v>2285</v>
      </c>
      <c r="Y29" s="276"/>
      <c r="Z29" s="1">
        <v>1</v>
      </c>
      <c r="AA29" s="99">
        <v>0</v>
      </c>
      <c r="AB29" s="99">
        <f>'【国内】问卷调研-数据源（P3单独执行） '!AC29*0.4</f>
        <v>0.28</v>
      </c>
      <c r="AC29" s="99">
        <f t="shared" ref="AC29:AC45" si="10">(AE29*Z29-$AB$26*Z29-AA29*5900-AB29*3400-AD29*300)/1200</f>
        <v>1.1225</v>
      </c>
      <c r="AD29" s="274">
        <f>'【国内】问卷调研-数据源（P3单独执行） '!AD29*1.3</f>
        <v>1.17</v>
      </c>
      <c r="AE29" s="275">
        <f>'【国内】问卷调研-数据源（P3单独执行） '!AE29</f>
        <v>2656</v>
      </c>
      <c r="AG29" s="276"/>
      <c r="AH29" s="1">
        <v>1</v>
      </c>
      <c r="AI29" s="99">
        <v>0</v>
      </c>
      <c r="AJ29" s="99">
        <f>'【国内】问卷调研-数据源（P3单独执行） '!AK29*0.4</f>
        <v>0.32</v>
      </c>
      <c r="AK29" s="99">
        <f t="shared" ref="AK29:AK38" si="11">(AM29*AH29-$AJ$26*AH29-AI29*5900-AJ29*3400-AL29*300)/1200</f>
        <v>1.285</v>
      </c>
      <c r="AL29" s="274">
        <f>'【国内】问卷调研-数据源（P3单独执行） '!AL29*1.3</f>
        <v>1.3</v>
      </c>
      <c r="AM29" s="275">
        <f>'【国内】问卷调研-数据源（P3单独执行） '!AM29</f>
        <v>3027</v>
      </c>
      <c r="AO29" s="276"/>
      <c r="AP29" s="1">
        <v>1</v>
      </c>
      <c r="AQ29" s="99">
        <v>0</v>
      </c>
      <c r="AR29" s="99">
        <f>'【国内】问卷调研-数据源（P3单独执行） '!AS29*0.4</f>
        <v>0.36</v>
      </c>
      <c r="AS29" s="99">
        <f t="shared" ref="AS29:AS38" si="12">(AU29*AP29-$AR$26*AP29-AQ29*5900-AR29*3400-AT29*300)/1200</f>
        <v>1.4475</v>
      </c>
      <c r="AT29" s="274">
        <f>'【国内】问卷调研-数据源（P3单独执行） '!AT29*1.3</f>
        <v>1.43</v>
      </c>
      <c r="AU29" s="275">
        <f>'【国内】问卷调研-数据源（P3单独执行） '!AU29</f>
        <v>3398</v>
      </c>
      <c r="AV29" s="1"/>
      <c r="AW29" s="276"/>
      <c r="AX29" s="1">
        <v>1</v>
      </c>
      <c r="AY29" s="99">
        <v>0</v>
      </c>
      <c r="AZ29" s="99">
        <f>'【国内】问卷调研-数据源（P3单独执行） '!BA29*0.4</f>
        <v>0.36</v>
      </c>
      <c r="BA29" s="99">
        <f t="shared" ref="BA29:BA38" si="13">(BC29*AX29-$AZ$26*AX29-AY29*5900-AZ29*3400-BB29*300)/1200</f>
        <v>1.44</v>
      </c>
      <c r="BB29" s="274">
        <f>'【国内】问卷调研-数据源（P3单独执行） '!BB29*1.3</f>
        <v>1.56</v>
      </c>
      <c r="BC29" s="275">
        <f>'【国内】问卷调研-数据源（P3单独执行） '!BC29</f>
        <v>3429</v>
      </c>
    </row>
    <row r="30" spans="1:55">
      <c r="A30" s="1" t="s">
        <v>107</v>
      </c>
      <c r="B30" s="1">
        <v>101</v>
      </c>
      <c r="C30" s="99">
        <v>0</v>
      </c>
      <c r="D30" s="99">
        <f>'【国内】问卷调研-数据源（P3单独执行） '!E30*0.4</f>
        <v>0.16</v>
      </c>
      <c r="E30" s="99">
        <f t="shared" si="7"/>
        <v>0.635</v>
      </c>
      <c r="F30" s="274">
        <f>'【国内】问卷调研-数据源（P3单独执行） '!F30*1.3</f>
        <v>0.78</v>
      </c>
      <c r="G30" s="275">
        <f>'【国内】问卷调研-数据源（P3单独执行） '!G30</f>
        <v>18.2475247524752</v>
      </c>
      <c r="I30" s="276"/>
      <c r="J30" s="1">
        <v>101</v>
      </c>
      <c r="K30" s="99">
        <v>0</v>
      </c>
      <c r="L30" s="99">
        <f>'【国内】问卷调研-数据源（P3单独执行） '!M30*0.4</f>
        <v>0.2</v>
      </c>
      <c r="M30" s="99">
        <f t="shared" si="8"/>
        <v>0.7975</v>
      </c>
      <c r="N30" s="274">
        <f>'【国内】问卷调研-数据源（P3单独执行） '!N30*1.3</f>
        <v>0.91</v>
      </c>
      <c r="O30" s="275">
        <f>'【国内】问卷调研-数据源（P3单独执行） '!O30</f>
        <v>22.9108910891089</v>
      </c>
      <c r="Q30" s="276"/>
      <c r="R30" s="1">
        <v>101</v>
      </c>
      <c r="S30" s="99">
        <v>0</v>
      </c>
      <c r="T30" s="99">
        <f>'【国内】问卷调研-数据源（P3单独执行） '!U30*0.4</f>
        <v>0.24</v>
      </c>
      <c r="U30" s="99">
        <f t="shared" si="9"/>
        <v>0.96</v>
      </c>
      <c r="V30" s="274">
        <f>'【国内】问卷调研-数据源（P3单独执行） '!V30*1.3</f>
        <v>1.04</v>
      </c>
      <c r="W30" s="275">
        <f>'【国内】问卷调研-数据源（P3单独执行） '!W30</f>
        <v>27.5742574257426</v>
      </c>
      <c r="Y30" s="276"/>
      <c r="Z30" s="1">
        <v>101</v>
      </c>
      <c r="AA30" s="99">
        <v>0</v>
      </c>
      <c r="AB30" s="99">
        <f>'【国内】问卷调研-数据源（P3单独执行） '!AC30*0.4</f>
        <v>0.24</v>
      </c>
      <c r="AC30" s="99">
        <f t="shared" si="10"/>
        <v>0.9525</v>
      </c>
      <c r="AD30" s="274">
        <f>'【国内】问卷调研-数据源（P3单独执行） '!AD30*1.3</f>
        <v>1.17</v>
      </c>
      <c r="AE30" s="275">
        <f>'【国内】问卷调研-数据源（P3单独执行） '!AE30</f>
        <v>28.8712871287129</v>
      </c>
      <c r="AG30" s="276"/>
      <c r="AH30" s="1">
        <v>101</v>
      </c>
      <c r="AI30" s="99">
        <v>0</v>
      </c>
      <c r="AJ30" s="99">
        <f>'【国内】问卷调研-数据源（P3单独执行） '!AK30*0.4</f>
        <v>0.28</v>
      </c>
      <c r="AK30" s="99">
        <f t="shared" si="11"/>
        <v>1.115</v>
      </c>
      <c r="AL30" s="274">
        <f>'【国内】问卷调研-数据源（P3单独执行） '!AL30*1.3</f>
        <v>1.3</v>
      </c>
      <c r="AM30" s="275">
        <f>'【国内】问卷调研-数据源（P3单独执行） '!AM30</f>
        <v>33.5346534653465</v>
      </c>
      <c r="AO30" s="276"/>
      <c r="AP30" s="1">
        <v>101</v>
      </c>
      <c r="AQ30" s="99">
        <v>0</v>
      </c>
      <c r="AR30" s="99">
        <f>'【国内】问卷调研-数据源（P3单独执行） '!AS30*0.4</f>
        <v>0.32</v>
      </c>
      <c r="AS30" s="99">
        <f t="shared" si="12"/>
        <v>1.2775</v>
      </c>
      <c r="AT30" s="274">
        <f>'【国内】问卷调研-数据源（P3单独执行） '!AT30*1.3</f>
        <v>1.43</v>
      </c>
      <c r="AU30" s="275">
        <f>'【国内】问卷调研-数据源（P3单独执行） '!AU30</f>
        <v>38.1980198019802</v>
      </c>
      <c r="AV30" s="1"/>
      <c r="AW30" s="276"/>
      <c r="AX30" s="1">
        <v>101</v>
      </c>
      <c r="AY30" s="99">
        <v>0</v>
      </c>
      <c r="AZ30" s="99">
        <f>'【国内】问卷调研-数据源（P3单独执行） '!BA30*0.4</f>
        <v>0.36</v>
      </c>
      <c r="BA30" s="99">
        <f t="shared" si="13"/>
        <v>1.44</v>
      </c>
      <c r="BB30" s="274">
        <f>'【国内】问卷调研-数据源（P3单独执行） '!BB30*1.3</f>
        <v>1.56</v>
      </c>
      <c r="BC30" s="275">
        <f>'【国内】问卷调研-数据源（P3单独执行） '!BC30</f>
        <v>42.8613861386139</v>
      </c>
    </row>
    <row r="31" spans="1:55">
      <c r="A31" s="1" t="s">
        <v>108</v>
      </c>
      <c r="B31" s="1">
        <v>201</v>
      </c>
      <c r="C31" s="99">
        <f>'【国内】问卷调研-数据源（P3单独执行） '!C31+0.1</f>
        <v>0.1</v>
      </c>
      <c r="D31" s="99">
        <f>'【国内】问卷调研-数据源（P3单独执行） '!E31*0.4</f>
        <v>0.28</v>
      </c>
      <c r="E31" s="99">
        <f t="shared" si="7"/>
        <v>0.623333333333333</v>
      </c>
      <c r="F31" s="274">
        <f>'【国内】问卷调研-数据源（P3单独执行） '!F31*1.3</f>
        <v>1.3</v>
      </c>
      <c r="G31" s="275">
        <f>'【国内】问卷调研-数据源（P3单独执行） '!G31</f>
        <v>16.3333333333333</v>
      </c>
      <c r="I31" s="276"/>
      <c r="J31" s="1">
        <v>201</v>
      </c>
      <c r="K31" s="99">
        <f>'【国内】问卷调研-数据源（P3单独执行） '!K31+0.1</f>
        <v>0.1</v>
      </c>
      <c r="L31" s="99">
        <f>'【国内】问卷调研-数据源（P3单独执行） '!M31*0.4</f>
        <v>0.32</v>
      </c>
      <c r="M31" s="99">
        <f t="shared" si="8"/>
        <v>0.785833333333333</v>
      </c>
      <c r="N31" s="274">
        <f>'【国内】问卷调研-数据源（P3单独执行） '!N31*1.3</f>
        <v>1.43</v>
      </c>
      <c r="O31" s="275">
        <f>'【国内】问卷调研-数据源（P3单独执行） '!O31</f>
        <v>19.1741293532338</v>
      </c>
      <c r="Q31" s="276"/>
      <c r="R31" s="1">
        <v>201</v>
      </c>
      <c r="S31" s="99">
        <f>'【国内】问卷调研-数据源（P3单独执行） '!S31+0.1</f>
        <v>0.1</v>
      </c>
      <c r="T31" s="99">
        <f>'【国内】问卷调研-数据源（P3单独执行） '!U31*0.4</f>
        <v>0.36</v>
      </c>
      <c r="U31" s="99">
        <f t="shared" si="9"/>
        <v>0.948333333333333</v>
      </c>
      <c r="V31" s="274">
        <f>'【国内】问卷调研-数据源（P3单独执行） '!V31*1.3</f>
        <v>1.56</v>
      </c>
      <c r="W31" s="275">
        <f>'【国内】问卷调研-数据源（P3单独执行） '!W31</f>
        <v>22.0149253731343</v>
      </c>
      <c r="Y31" s="276"/>
      <c r="Z31" s="1">
        <v>201</v>
      </c>
      <c r="AA31" s="99">
        <f>'【国内】问卷调研-数据源（P3单独执行） '!AA31+0.1</f>
        <v>0.1</v>
      </c>
      <c r="AB31" s="99">
        <f>'【国内】问卷调研-数据源（P3单独执行） '!AC31*0.4</f>
        <v>0.4</v>
      </c>
      <c r="AC31" s="99">
        <f t="shared" si="10"/>
        <v>1.11083333333333</v>
      </c>
      <c r="AD31" s="274">
        <f>'【国内】问卷调研-数据源（P3单独执行） '!AD31*1.3</f>
        <v>1.69</v>
      </c>
      <c r="AE31" s="275">
        <f>'【国内】问卷调研-数据源（P3单独执行） '!AE31</f>
        <v>24.8557213930348</v>
      </c>
      <c r="AG31" s="276"/>
      <c r="AH31" s="1">
        <v>201</v>
      </c>
      <c r="AI31" s="99">
        <f>'【国内】问卷调研-数据源（P3单独执行） '!AI31+0.1</f>
        <v>0.1</v>
      </c>
      <c r="AJ31" s="99">
        <f>'【国内】问卷调研-数据源（P3单独执行） '!AK31*0.4</f>
        <v>0.44</v>
      </c>
      <c r="AK31" s="99">
        <f t="shared" si="11"/>
        <v>1.27333333333333</v>
      </c>
      <c r="AL31" s="274">
        <f>'【国内】问卷调研-数据源（P3单独执行） '!AL31*1.3</f>
        <v>1.82</v>
      </c>
      <c r="AM31" s="275">
        <f>'【国内】问卷调研-数据源（P3单独执行） '!AM31</f>
        <v>27.6965174129353</v>
      </c>
      <c r="AO31" s="276"/>
      <c r="AP31" s="1">
        <v>201</v>
      </c>
      <c r="AQ31" s="99">
        <f>'【国内】问卷调研-数据源（P3单独执行） '!AQ31+0.1</f>
        <v>0.1</v>
      </c>
      <c r="AR31" s="99">
        <f>'【国内】问卷调研-数据源（P3单独执行） '!AS31*0.4</f>
        <v>0.48</v>
      </c>
      <c r="AS31" s="99">
        <f t="shared" si="12"/>
        <v>1.43583333333333</v>
      </c>
      <c r="AT31" s="274">
        <f>'【国内】问卷调研-数据源（P3单独执行） '!AT31*1.3</f>
        <v>1.95</v>
      </c>
      <c r="AU31" s="275">
        <f>'【国内】问卷调研-数据源（P3单独执行） '!AU31</f>
        <v>30.5373134328358</v>
      </c>
      <c r="AV31" s="1"/>
      <c r="AW31" s="276"/>
      <c r="AX31" s="1">
        <v>201</v>
      </c>
      <c r="AY31" s="99">
        <f>'【国内】问卷调研-数据源（P3单独执行） '!AY31+0.1</f>
        <v>0.1</v>
      </c>
      <c r="AZ31" s="99">
        <f>'【国内】问卷调研-数据源（P3单独执行） '!BA31*0.4</f>
        <v>0.52</v>
      </c>
      <c r="BA31" s="99">
        <f t="shared" si="13"/>
        <v>1.59833333333333</v>
      </c>
      <c r="BB31" s="274">
        <f>'【国内】问卷调研-数据源（P3单独执行） '!BB31*1.3</f>
        <v>2.08</v>
      </c>
      <c r="BC31" s="275">
        <f>'【国内】问卷调研-数据源（P3单独执行） '!BC31</f>
        <v>33.3781094527363</v>
      </c>
    </row>
    <row r="32" spans="1:55">
      <c r="A32" s="1" t="s">
        <v>109</v>
      </c>
      <c r="B32" s="1">
        <v>301</v>
      </c>
      <c r="C32" s="99">
        <f>'【国内】问卷调研-数据源（P3单独执行） '!C32+0.1</f>
        <v>0.1</v>
      </c>
      <c r="D32" s="99">
        <f>'【国内】问卷调研-数据源（P3单独执行） '!E32*0.4</f>
        <v>0.36</v>
      </c>
      <c r="E32" s="99">
        <f t="shared" si="7"/>
        <v>0.955833333333333</v>
      </c>
      <c r="F32" s="274">
        <f>'【国内】问卷调研-数据源（P3单独执行） '!F32*1.3</f>
        <v>1.43</v>
      </c>
      <c r="G32" s="275">
        <f>'【国内】问卷调研-数据源（P3单独执行） '!G32</f>
        <v>14.2624584717608</v>
      </c>
      <c r="I32" s="276"/>
      <c r="J32" s="1">
        <v>301</v>
      </c>
      <c r="K32" s="99">
        <f>'【国内】问卷调研-数据源（P3单独执行） '!K32+0.1</f>
        <v>0.1</v>
      </c>
      <c r="L32" s="99">
        <f>'【国内】问卷调研-数据源（P3单独执行） '!M32*0.4</f>
        <v>0.4</v>
      </c>
      <c r="M32" s="99">
        <f t="shared" si="8"/>
        <v>1.11833333333333</v>
      </c>
      <c r="N32" s="274">
        <f>'【国内】问卷调研-数据源（P3单独执行） '!N32*1.3</f>
        <v>1.56</v>
      </c>
      <c r="O32" s="275">
        <f>'【国内】问卷调研-数据源（P3单独执行） '!O32</f>
        <v>16.4916943521595</v>
      </c>
      <c r="Q32" s="276"/>
      <c r="R32" s="1">
        <v>301</v>
      </c>
      <c r="S32" s="99">
        <f>'【国内】问卷调研-数据源（P3单独执行） '!S32+0.1</f>
        <v>0.1</v>
      </c>
      <c r="T32" s="99">
        <f>'【国内】问卷调研-数据源（P3单独执行） '!U32*0.4</f>
        <v>0.44</v>
      </c>
      <c r="U32" s="99">
        <f t="shared" si="9"/>
        <v>1.28083333333333</v>
      </c>
      <c r="V32" s="274">
        <f>'【国内】问卷调研-数据源（P3单独执行） '!V32*1.3</f>
        <v>1.69</v>
      </c>
      <c r="W32" s="275">
        <f>'【国内】问卷调研-数据源（P3单独执行） '!W32</f>
        <v>18.7209302325581</v>
      </c>
      <c r="Y32" s="276"/>
      <c r="Z32" s="1">
        <v>301</v>
      </c>
      <c r="AA32" s="99">
        <f>'【国内】问卷调研-数据源（P3单独执行） '!AA32+0.1</f>
        <v>0.1</v>
      </c>
      <c r="AB32" s="99">
        <f>'【国内】问卷调研-数据源（P3单独执行） '!AC32*0.4</f>
        <v>0.48</v>
      </c>
      <c r="AC32" s="99">
        <f t="shared" si="10"/>
        <v>1.44333333333333</v>
      </c>
      <c r="AD32" s="274">
        <f>'【国内】问卷调研-数据源（P3单独执行） '!AD32*1.3</f>
        <v>1.82</v>
      </c>
      <c r="AE32" s="275">
        <f>'【国内】问卷调研-数据源（P3单独执行） '!AE32</f>
        <v>20.9501661129568</v>
      </c>
      <c r="AG32" s="276"/>
      <c r="AH32" s="1">
        <v>301</v>
      </c>
      <c r="AI32" s="99">
        <f>'【国内】问卷调研-数据源（P3单独执行） '!AI32+0.1</f>
        <v>0.1</v>
      </c>
      <c r="AJ32" s="99">
        <f>'【国内】问卷调研-数据源（P3单独执行） '!AK32*0.4</f>
        <v>0.52</v>
      </c>
      <c r="AK32" s="99">
        <f t="shared" si="11"/>
        <v>1.60583333333333</v>
      </c>
      <c r="AL32" s="274">
        <f>'【国内】问卷调研-数据源（P3单独执行） '!AL32*1.3</f>
        <v>1.95</v>
      </c>
      <c r="AM32" s="275">
        <f>'【国内】问卷调研-数据源（P3单独执行） '!AM32</f>
        <v>23.1794019933555</v>
      </c>
      <c r="AO32" s="276"/>
      <c r="AP32" s="1">
        <v>301</v>
      </c>
      <c r="AQ32" s="99">
        <f>'【国内】问卷调研-数据源（P3单独执行） '!AQ32+0.1</f>
        <v>0.1</v>
      </c>
      <c r="AR32" s="99">
        <f>'【国内】问卷调研-数据源（P3单独执行） '!AS32*0.4</f>
        <v>0.56</v>
      </c>
      <c r="AS32" s="99">
        <f t="shared" si="12"/>
        <v>1.76833333333333</v>
      </c>
      <c r="AT32" s="274">
        <f>'【国内】问卷调研-数据源（P3单独执行） '!AT32*1.3</f>
        <v>2.08</v>
      </c>
      <c r="AU32" s="275">
        <f>'【国内】问卷调研-数据源（P3单独执行） '!AU32</f>
        <v>25.4086378737542</v>
      </c>
      <c r="AV32" s="1"/>
      <c r="AW32" s="276"/>
      <c r="AX32" s="1">
        <v>301</v>
      </c>
      <c r="AY32" s="99">
        <f>'【国内】问卷调研-数据源（P3单独执行） '!AY32+0.1</f>
        <v>0.1</v>
      </c>
      <c r="AZ32" s="99">
        <f>'【国内】问卷调研-数据源（P3单独执行） '!BA32*0.4</f>
        <v>0.6</v>
      </c>
      <c r="BA32" s="99">
        <f t="shared" si="13"/>
        <v>1.93083333333333</v>
      </c>
      <c r="BB32" s="274">
        <f>'【国内】问卷调研-数据源（P3单独执行） '!BB32*1.3</f>
        <v>2.21</v>
      </c>
      <c r="BC32" s="275">
        <f>'【国内】问卷调研-数据源（P3单独执行） '!BC32</f>
        <v>27.6378737541528</v>
      </c>
    </row>
    <row r="33" spans="1:55">
      <c r="A33" s="1" t="s">
        <v>110</v>
      </c>
      <c r="B33" s="1">
        <v>501</v>
      </c>
      <c r="C33" s="99">
        <f>'【国内】问卷调研-数据源（P3单独执行） '!C33+0.1</f>
        <v>0.1</v>
      </c>
      <c r="D33" s="99">
        <f>'【国内】问卷调研-数据源（P3单独执行） '!E33*0.4</f>
        <v>0.48</v>
      </c>
      <c r="E33" s="99">
        <f t="shared" si="7"/>
        <v>1.45833333333333</v>
      </c>
      <c r="F33" s="274">
        <f>'【国内】问卷调研-数据源（P3单独执行） '!F33*1.3</f>
        <v>1.56</v>
      </c>
      <c r="G33" s="275">
        <f>'【国内】问卷调研-数据源（P3单独执行） '!G33</f>
        <v>11.8622754491018</v>
      </c>
      <c r="I33" s="276"/>
      <c r="J33" s="1">
        <v>501</v>
      </c>
      <c r="K33" s="99">
        <f>'【国内】问卷调研-数据源（P3单独执行） '!K33+0.1</f>
        <v>0.1</v>
      </c>
      <c r="L33" s="99">
        <f>'【国内】问卷调研-数据源（P3单独执行） '!M33*0.4</f>
        <v>0.52</v>
      </c>
      <c r="M33" s="99">
        <f t="shared" si="8"/>
        <v>1.62083333333333</v>
      </c>
      <c r="N33" s="274">
        <f>'【国内】问卷调研-数据源（P3单独执行） '!N33*1.3</f>
        <v>1.69</v>
      </c>
      <c r="O33" s="275">
        <f>'【国内】问卷调研-数据源（P3单独执行） '!O33</f>
        <v>13.6007984031936</v>
      </c>
      <c r="Q33" s="276"/>
      <c r="R33" s="1">
        <v>501</v>
      </c>
      <c r="S33" s="99">
        <f>'【国内】问卷调研-数据源（P3单独执行） '!S33+0.1</f>
        <v>0.1</v>
      </c>
      <c r="T33" s="99">
        <f>'【国内】问卷调研-数据源（P3单独执行） '!U33*0.4</f>
        <v>0.56</v>
      </c>
      <c r="U33" s="99">
        <f t="shared" si="9"/>
        <v>1.78333333333333</v>
      </c>
      <c r="V33" s="274">
        <f>'【国内】问卷调研-数据源（P3单独执行） '!V33*1.3</f>
        <v>1.82</v>
      </c>
      <c r="W33" s="275">
        <f>'【国内】问卷调研-数据源（P3单独执行） '!W33</f>
        <v>15.3393213572854</v>
      </c>
      <c r="Y33" s="276"/>
      <c r="Z33" s="1">
        <v>501</v>
      </c>
      <c r="AA33" s="99">
        <f>'【国内】问卷调研-数据源（P3单独执行） '!AA33+0.1</f>
        <v>0.1</v>
      </c>
      <c r="AB33" s="99">
        <f>'【国内】问卷调研-数据源（P3单独执行） '!AC33*0.4</f>
        <v>0.6</v>
      </c>
      <c r="AC33" s="99">
        <f t="shared" si="10"/>
        <v>1.94583333333333</v>
      </c>
      <c r="AD33" s="274">
        <f>'【国内】问卷调研-数据源（P3单独执行） '!AD33*1.3</f>
        <v>1.95</v>
      </c>
      <c r="AE33" s="275">
        <f>'【国内】问卷调研-数据源（P3单独执行） '!AE33</f>
        <v>17.0778443113772</v>
      </c>
      <c r="AG33" s="276"/>
      <c r="AH33" s="1">
        <v>501</v>
      </c>
      <c r="AI33" s="99">
        <f>'【国内】问卷调研-数据源（P3单独执行） '!AI33+0.1</f>
        <v>0.1</v>
      </c>
      <c r="AJ33" s="99">
        <f>'【国内】问卷调研-数据源（P3单独执行） '!AK33*0.4</f>
        <v>0.64</v>
      </c>
      <c r="AK33" s="99">
        <f t="shared" si="11"/>
        <v>2.10833333333333</v>
      </c>
      <c r="AL33" s="274">
        <f>'【国内】问卷调研-数据源（P3单独执行） '!AL33*1.3</f>
        <v>2.08</v>
      </c>
      <c r="AM33" s="275">
        <f>'【国内】问卷调研-数据源（P3单独执行） '!AM33</f>
        <v>18.8163672654691</v>
      </c>
      <c r="AO33" s="276"/>
      <c r="AP33" s="1">
        <v>501</v>
      </c>
      <c r="AQ33" s="99">
        <f>'【国内】问卷调研-数据源（P3单独执行） '!AQ33+0.1</f>
        <v>0.1</v>
      </c>
      <c r="AR33" s="99">
        <f>'【国内】问卷调研-数据源（P3单独执行） '!AS33*0.4</f>
        <v>0.68</v>
      </c>
      <c r="AS33" s="99">
        <f t="shared" si="12"/>
        <v>2.27083333333333</v>
      </c>
      <c r="AT33" s="274">
        <f>'【国内】问卷调研-数据源（P3单独执行） '!AT33*1.3</f>
        <v>2.21</v>
      </c>
      <c r="AU33" s="275">
        <f>'【国内】问卷调研-数据源（P3单独执行） '!AU33</f>
        <v>20.5548902195609</v>
      </c>
      <c r="AV33" s="1"/>
      <c r="AW33" s="276"/>
      <c r="AX33" s="1">
        <v>501</v>
      </c>
      <c r="AY33" s="99">
        <f>'【国内】问卷调研-数据源（P3单独执行） '!AY33+0.1</f>
        <v>0.1</v>
      </c>
      <c r="AZ33" s="99">
        <f>'【国内】问卷调研-数据源（P3单独执行） '!BA33*0.4</f>
        <v>0.72</v>
      </c>
      <c r="BA33" s="99">
        <f t="shared" si="13"/>
        <v>2.43333333333333</v>
      </c>
      <c r="BB33" s="274">
        <f>'【国内】问卷调研-数据源（P3单独执行） '!BB33*1.3</f>
        <v>2.34</v>
      </c>
      <c r="BC33" s="275">
        <f>'【国内】问卷调研-数据源（P3单独执行） '!BC33</f>
        <v>22.2934131736527</v>
      </c>
    </row>
    <row r="34" spans="1:55">
      <c r="A34" s="1" t="s">
        <v>111</v>
      </c>
      <c r="B34" s="1">
        <v>701</v>
      </c>
      <c r="C34" s="99">
        <f>'【国内】问卷调研-数据源（P3单独执行） '!C34+0.2</f>
        <v>0.3</v>
      </c>
      <c r="D34" s="99">
        <f>'【国内】问卷调研-数据源（P3单独执行） '!E34*0.4</f>
        <v>0.56</v>
      </c>
      <c r="E34" s="99">
        <f t="shared" si="7"/>
        <v>1.29916666666667</v>
      </c>
      <c r="F34" s="274">
        <f>'【国内】问卷调研-数据源（P3单独执行） '!F34*1.3</f>
        <v>1.69</v>
      </c>
      <c r="G34" s="275">
        <f>'【国内】问卷调研-数据源（P3单独执行） '!G34</f>
        <v>11.188302425107</v>
      </c>
      <c r="I34" s="276"/>
      <c r="J34" s="1">
        <v>701</v>
      </c>
      <c r="K34" s="99">
        <f>'【国内】问卷调研-数据源（P3单独执行） '!K34+0.2</f>
        <v>0.3</v>
      </c>
      <c r="L34" s="99">
        <f>'【国内】问卷调研-数据源（P3单独执行） '!M34*0.4</f>
        <v>0.6</v>
      </c>
      <c r="M34" s="99">
        <f t="shared" si="8"/>
        <v>1.46166666666667</v>
      </c>
      <c r="N34" s="274">
        <f>'【国内】问卷调研-数据源（P3单独执行） '!N34*1.3</f>
        <v>1.82</v>
      </c>
      <c r="O34" s="275">
        <f>'【国内】问卷调研-数据源（P3单独执行） '!O34</f>
        <v>12.716119828816</v>
      </c>
      <c r="Q34" s="276"/>
      <c r="R34" s="1">
        <v>701</v>
      </c>
      <c r="S34" s="99">
        <f>'【国内】问卷调研-数据源（P3单独执行） '!S34+0.2</f>
        <v>0.3</v>
      </c>
      <c r="T34" s="99">
        <f>'【国内】问卷调研-数据源（P3单独执行） '!U34*0.4</f>
        <v>0.64</v>
      </c>
      <c r="U34" s="99">
        <f t="shared" si="9"/>
        <v>1.62416666666667</v>
      </c>
      <c r="V34" s="274">
        <f>'【国内】问卷调研-数据源（P3单独执行） '!V34*1.3</f>
        <v>1.95</v>
      </c>
      <c r="W34" s="275">
        <f>'【国内】问卷调研-数据源（P3单独执行） '!W34</f>
        <v>14.243937232525</v>
      </c>
      <c r="Y34" s="276"/>
      <c r="Z34" s="1">
        <v>701</v>
      </c>
      <c r="AA34" s="99">
        <f>'【国内】问卷调研-数据源（P3单独执行） '!AA34+0.2</f>
        <v>0.3</v>
      </c>
      <c r="AB34" s="99">
        <f>'【国内】问卷调研-数据源（P3单独执行） '!AC34*0.4</f>
        <v>0.68</v>
      </c>
      <c r="AC34" s="99">
        <f t="shared" si="10"/>
        <v>1.78666666666667</v>
      </c>
      <c r="AD34" s="274">
        <f>'【国内】问卷调研-数据源（P3单独执行） '!AD34*1.3</f>
        <v>2.08</v>
      </c>
      <c r="AE34" s="275">
        <f>'【国内】问卷调研-数据源（P3单独执行） '!AE34</f>
        <v>15.771754636234</v>
      </c>
      <c r="AG34" s="276"/>
      <c r="AH34" s="1">
        <v>701</v>
      </c>
      <c r="AI34" s="99">
        <f>'【国内】问卷调研-数据源（P3单独执行） '!AI34+0.2</f>
        <v>0.3</v>
      </c>
      <c r="AJ34" s="99">
        <f>'【国内】问卷调研-数据源（P3单独执行） '!AK34*0.4</f>
        <v>0.72</v>
      </c>
      <c r="AK34" s="99">
        <f t="shared" si="11"/>
        <v>1.94916666666666</v>
      </c>
      <c r="AL34" s="274">
        <f>'【国内】问卷调研-数据源（P3单独执行） '!AL34*1.3</f>
        <v>2.21</v>
      </c>
      <c r="AM34" s="275">
        <f>'【国内】问卷调研-数据源（P3单独执行） '!AM34</f>
        <v>17.2995720399429</v>
      </c>
      <c r="AO34" s="276"/>
      <c r="AP34" s="1">
        <v>701</v>
      </c>
      <c r="AQ34" s="99">
        <f>'【国内】问卷调研-数据源（P3单独执行） '!AQ34+0.2</f>
        <v>0.3</v>
      </c>
      <c r="AR34" s="99">
        <f>'【国内】问卷调研-数据源（P3单独执行） '!AS34*0.4</f>
        <v>0.76</v>
      </c>
      <c r="AS34" s="99">
        <f t="shared" si="12"/>
        <v>2.11166666666666</v>
      </c>
      <c r="AT34" s="274">
        <f>'【国内】问卷调研-数据源（P3单独执行） '!AT34*1.3</f>
        <v>2.34</v>
      </c>
      <c r="AU34" s="275">
        <f>'【国内】问卷调研-数据源（P3单独执行） '!AU34</f>
        <v>18.8273894436519</v>
      </c>
      <c r="AV34" s="1"/>
      <c r="AW34" s="276"/>
      <c r="AX34" s="1">
        <v>701</v>
      </c>
      <c r="AY34" s="99">
        <f>'【国内】问卷调研-数据源（P3单独执行） '!AY34+0.2</f>
        <v>0.3</v>
      </c>
      <c r="AZ34" s="99">
        <f>'【国内】问卷调研-数据源（P3单独执行） '!BA34*0.4</f>
        <v>0.8</v>
      </c>
      <c r="BA34" s="99">
        <f t="shared" si="13"/>
        <v>2.27416666666667</v>
      </c>
      <c r="BB34" s="274">
        <f>'【国内】问卷调研-数据源（P3单独执行） '!BB34*1.3</f>
        <v>2.47</v>
      </c>
      <c r="BC34" s="275">
        <f>'【国内】问卷调研-数据源（P3单独执行） '!BC34</f>
        <v>20.3552068473609</v>
      </c>
    </row>
    <row r="35" spans="1:55">
      <c r="A35" s="1" t="s">
        <v>112</v>
      </c>
      <c r="B35" s="1">
        <v>901</v>
      </c>
      <c r="C35" s="99">
        <f>'【国内】问卷调研-数据源（P3单独执行） '!C35+0.2</f>
        <v>0.2</v>
      </c>
      <c r="D35" s="99">
        <f>'【国内】问卷调研-数据源（P3单独执行） '!E35*0.4</f>
        <v>0.68</v>
      </c>
      <c r="E35" s="99">
        <f t="shared" si="7"/>
        <v>1.80916666666667</v>
      </c>
      <c r="F35" s="274">
        <f>'【国内】问卷调研-数据源（P3单独执行） '!F35*1.3</f>
        <v>1.69</v>
      </c>
      <c r="G35" s="275">
        <f>'【国内】问卷调研-数据源（P3单独执行） '!G35</f>
        <v>9.84794672586015</v>
      </c>
      <c r="I35" s="276"/>
      <c r="J35" s="1">
        <v>901</v>
      </c>
      <c r="K35" s="99">
        <f>'【国内】问卷调研-数据源（P3单独执行） '!K35+0.2</f>
        <v>0.2</v>
      </c>
      <c r="L35" s="99">
        <f>'【国内】问卷调研-数据源（P3单独执行） '!M35*0.4</f>
        <v>0.72</v>
      </c>
      <c r="M35" s="99">
        <f t="shared" si="8"/>
        <v>1.97166666666667</v>
      </c>
      <c r="N35" s="274">
        <f>'【国内】问卷调研-数据源（P3单独执行） '!N35*1.3</f>
        <v>1.82</v>
      </c>
      <c r="O35" s="275">
        <f>'【国内】问卷调研-数据源（P3单独执行） '!O35</f>
        <v>11.2586015538291</v>
      </c>
      <c r="Q35" s="276"/>
      <c r="R35" s="1">
        <v>901</v>
      </c>
      <c r="S35" s="99">
        <f>'【国内】问卷调研-数据源（P3单独执行） '!S35+0.2</f>
        <v>0.2</v>
      </c>
      <c r="T35" s="99">
        <f>'【国内】问卷调研-数据源（P3单独执行） '!U35*0.4</f>
        <v>0.76</v>
      </c>
      <c r="U35" s="99">
        <f t="shared" si="9"/>
        <v>2.13416666666667</v>
      </c>
      <c r="V35" s="274">
        <f>'【国内】问卷调研-数据源（P3单独执行） '!V35*1.3</f>
        <v>1.95</v>
      </c>
      <c r="W35" s="275">
        <f>'【国内】问卷调研-数据源（P3单独执行） '!W35</f>
        <v>12.669256381798</v>
      </c>
      <c r="Y35" s="276"/>
      <c r="Z35" s="1">
        <v>901</v>
      </c>
      <c r="AA35" s="99">
        <f>'【国内】问卷调研-数据源（P3单独执行） '!AA35+0.2</f>
        <v>0.2</v>
      </c>
      <c r="AB35" s="99">
        <f>'【国内】问卷调研-数据源（P3单独执行） '!AC35*0.4</f>
        <v>0.8</v>
      </c>
      <c r="AC35" s="99">
        <f t="shared" si="10"/>
        <v>2.29666666666667</v>
      </c>
      <c r="AD35" s="274">
        <f>'【国内】问卷调研-数据源（P3单独执行） '!AD35*1.3</f>
        <v>2.08</v>
      </c>
      <c r="AE35" s="275">
        <f>'【国内】问卷调研-数据源（P3单独执行） '!AE35</f>
        <v>14.0799112097669</v>
      </c>
      <c r="AG35" s="276"/>
      <c r="AH35" s="1">
        <v>901</v>
      </c>
      <c r="AI35" s="99">
        <f>'【国内】问卷调研-数据源（P3单独执行） '!AI35+0.2</f>
        <v>0.2</v>
      </c>
      <c r="AJ35" s="99">
        <f>'【国内】问卷调研-数据源（P3单独执行） '!AK35*0.4</f>
        <v>0.84</v>
      </c>
      <c r="AK35" s="99">
        <f t="shared" si="11"/>
        <v>2.45916666666667</v>
      </c>
      <c r="AL35" s="274">
        <f>'【国内】问卷调研-数据源（P3单独执行） '!AL35*1.3</f>
        <v>2.21</v>
      </c>
      <c r="AM35" s="275">
        <f>'【国内】问卷调研-数据源（P3单独执行） '!AM35</f>
        <v>15.4905660377358</v>
      </c>
      <c r="AO35" s="276"/>
      <c r="AP35" s="1">
        <v>901</v>
      </c>
      <c r="AQ35" s="99">
        <f>'【国内】问卷调研-数据源（P3单独执行） '!AQ35+0.2</f>
        <v>0.2</v>
      </c>
      <c r="AR35" s="99">
        <f>'【国内】问卷调研-数据源（P3单独执行） '!AS35*0.4</f>
        <v>0.88</v>
      </c>
      <c r="AS35" s="99">
        <f t="shared" si="12"/>
        <v>2.62166666666667</v>
      </c>
      <c r="AT35" s="274">
        <f>'【国内】问卷调研-数据源（P3单独执行） '!AT35*1.3</f>
        <v>2.34</v>
      </c>
      <c r="AU35" s="275">
        <f>'【国内】问卷调研-数据源（P3单独执行） '!AU35</f>
        <v>16.9012208657048</v>
      </c>
      <c r="AV35" s="1"/>
      <c r="AW35" s="276"/>
      <c r="AX35" s="1">
        <v>901</v>
      </c>
      <c r="AY35" s="99">
        <f>'【国内】问卷调研-数据源（P3单独执行） '!AY35+0.2</f>
        <v>0.2</v>
      </c>
      <c r="AZ35" s="99">
        <f>'【国内】问卷调研-数据源（P3单独执行） '!BA35*0.4</f>
        <v>0.92</v>
      </c>
      <c r="BA35" s="99">
        <f t="shared" si="13"/>
        <v>2.78416666666667</v>
      </c>
      <c r="BB35" s="274">
        <f>'【国内】问卷调研-数据源（P3单独执行） '!BB35*1.3</f>
        <v>2.47</v>
      </c>
      <c r="BC35" s="275">
        <f>'【国内】问卷调研-数据源（P3单独执行） '!BC35</f>
        <v>18.3118756936737</v>
      </c>
    </row>
    <row r="36" spans="1:55">
      <c r="A36" s="1" t="s">
        <v>113</v>
      </c>
      <c r="B36" s="1">
        <v>1001</v>
      </c>
      <c r="C36" s="99">
        <f>'【国内】问卷调研-数据源（P3单独执行） '!C36+0.2</f>
        <v>0.3</v>
      </c>
      <c r="D36" s="99">
        <f>'【国内】问卷调研-数据源（P3单独执行） '!E36*0.4</f>
        <v>0.76</v>
      </c>
      <c r="E36" s="99">
        <f t="shared" si="7"/>
        <v>2.13416666666667</v>
      </c>
      <c r="F36" s="274">
        <f>'【国内】问卷调研-数据源（P3单独执行） '!F36*1.3</f>
        <v>1.95</v>
      </c>
      <c r="G36" s="275">
        <f>'【国内】问卷调研-数据源（P3单独执行） '!G36</f>
        <v>10.4925074925075</v>
      </c>
      <c r="I36" s="276"/>
      <c r="J36" s="1">
        <v>1001</v>
      </c>
      <c r="K36" s="99">
        <f>'【国内】问卷调研-数据源（P3单独执行） '!K36+0.2</f>
        <v>0.3</v>
      </c>
      <c r="L36" s="99">
        <f>'【国内】问卷调研-数据源（P3单独执行） '!M36*0.4</f>
        <v>0.8</v>
      </c>
      <c r="M36" s="99">
        <f t="shared" si="8"/>
        <v>2.29666666666667</v>
      </c>
      <c r="N36" s="274">
        <f>'【国内】问卷调研-数据源（P3单独执行） '!N36*1.3</f>
        <v>2.08</v>
      </c>
      <c r="O36" s="275">
        <f>'【国内】问卷调研-数据源（P3单独执行） '!O36</f>
        <v>11.8621378621379</v>
      </c>
      <c r="Q36" s="276"/>
      <c r="R36" s="1">
        <v>1001</v>
      </c>
      <c r="S36" s="99">
        <f>'【国内】问卷调研-数据源（P3单独执行） '!S36+0.2</f>
        <v>0.3</v>
      </c>
      <c r="T36" s="99">
        <f>'【国内】问卷调研-数据源（P3单独执行） '!U36*0.4</f>
        <v>0.84</v>
      </c>
      <c r="U36" s="99">
        <f t="shared" si="9"/>
        <v>2.45916666666667</v>
      </c>
      <c r="V36" s="274">
        <f>'【国内】问卷调研-数据源（P3单独执行） '!V36*1.3</f>
        <v>2.21</v>
      </c>
      <c r="W36" s="275">
        <f>'【国内】问卷调研-数据源（P3单独执行） '!W36</f>
        <v>13.2317682317682</v>
      </c>
      <c r="Y36" s="276"/>
      <c r="Z36" s="1">
        <v>1001</v>
      </c>
      <c r="AA36" s="99">
        <f>'【国内】问卷调研-数据源（P3单独执行） '!AA36+0.2</f>
        <v>0.3</v>
      </c>
      <c r="AB36" s="99">
        <f>'【国内】问卷调研-数据源（P3单独执行） '!AC36*0.4</f>
        <v>0.88</v>
      </c>
      <c r="AC36" s="99">
        <f t="shared" si="10"/>
        <v>2.62166666666667</v>
      </c>
      <c r="AD36" s="274">
        <f>'【国内】问卷调研-数据源（P3单独执行） '!AD36*1.3</f>
        <v>2.34</v>
      </c>
      <c r="AE36" s="275">
        <f>'【国内】问卷调研-数据源（P3单独执行） '!AE36</f>
        <v>14.6013986013986</v>
      </c>
      <c r="AG36" s="276"/>
      <c r="AH36" s="1">
        <v>1001</v>
      </c>
      <c r="AI36" s="99">
        <f>'【国内】问卷调研-数据源（P3单独执行） '!AI36+0.2</f>
        <v>0.3</v>
      </c>
      <c r="AJ36" s="99">
        <f>'【国内】问卷调研-数据源（P3单独执行） '!AK36*0.4</f>
        <v>0.92</v>
      </c>
      <c r="AK36" s="99">
        <f t="shared" si="11"/>
        <v>2.78416666666667</v>
      </c>
      <c r="AL36" s="274">
        <f>'【国内】问卷调研-数据源（P3单独执行） '!AL36*1.3</f>
        <v>2.47</v>
      </c>
      <c r="AM36" s="275">
        <f>'【国内】问卷调研-数据源（P3单独执行） '!AM36</f>
        <v>15.971028971029</v>
      </c>
      <c r="AO36" s="276"/>
      <c r="AP36" s="1">
        <v>1001</v>
      </c>
      <c r="AQ36" s="99">
        <f>'【国内】问卷调研-数据源（P3单独执行） '!AQ36+0.2</f>
        <v>0.3</v>
      </c>
      <c r="AR36" s="99">
        <f>'【国内】问卷调研-数据源（P3单独执行） '!AS36*0.4</f>
        <v>0.96</v>
      </c>
      <c r="AS36" s="99">
        <f t="shared" si="12"/>
        <v>2.94666666666667</v>
      </c>
      <c r="AT36" s="274">
        <f>'【国内】问卷调研-数据源（P3单独执行） '!AT36*1.3</f>
        <v>2.6</v>
      </c>
      <c r="AU36" s="275">
        <f>'【国内】问卷调研-数据源（P3单独执行） '!AU36</f>
        <v>17.3406593406593</v>
      </c>
      <c r="AV36" s="1"/>
      <c r="AW36" s="276"/>
      <c r="AX36" s="1">
        <v>1001</v>
      </c>
      <c r="AY36" s="99">
        <f>'【国内】问卷调研-数据源（P3单独执行） '!AY36+0.2</f>
        <v>0.3</v>
      </c>
      <c r="AZ36" s="99">
        <f>'【国内】问卷调研-数据源（P3单独执行） '!BA36*0.4</f>
        <v>1</v>
      </c>
      <c r="BA36" s="99">
        <f t="shared" si="13"/>
        <v>3.10916666666667</v>
      </c>
      <c r="BB36" s="274">
        <f>'【国内】问卷调研-数据源（P3单独执行） '!BB36*1.3</f>
        <v>2.73</v>
      </c>
      <c r="BC36" s="275">
        <f>'【国内】问卷调研-数据源（P3单独执行） '!BC36</f>
        <v>18.7102897102897</v>
      </c>
    </row>
    <row r="37" spans="1:55">
      <c r="A37" s="1" t="s">
        <v>114</v>
      </c>
      <c r="B37" s="1">
        <v>1201</v>
      </c>
      <c r="C37" s="99">
        <f>'【国内】问卷调研-数据源（P3单独执行） '!C37+0.2</f>
        <v>0.3</v>
      </c>
      <c r="D37" s="99">
        <f>'【国内】问卷调研-数据源（P3单独执行） '!E37*0.4</f>
        <v>0.8</v>
      </c>
      <c r="E37" s="99">
        <f t="shared" si="7"/>
        <v>2.28916666666667</v>
      </c>
      <c r="F37" s="274">
        <f>'【国内】问卷调研-数据源（P3单独执行） '!F37*1.3</f>
        <v>2.21</v>
      </c>
      <c r="G37" s="275">
        <f>'【国内】问卷调研-数据源（P3单独执行） '!G37</f>
        <v>9.57785179017485</v>
      </c>
      <c r="I37" s="276"/>
      <c r="J37" s="1">
        <v>1201</v>
      </c>
      <c r="K37" s="99">
        <f>'【国内】问卷调研-数据源（P3单独执行） '!K37+0.2</f>
        <v>0.3</v>
      </c>
      <c r="L37" s="99">
        <f>'【国内】问卷调研-数据源（P3单独执行） '!M37*0.4</f>
        <v>0.84</v>
      </c>
      <c r="M37" s="99">
        <f t="shared" si="8"/>
        <v>2.45166666666667</v>
      </c>
      <c r="N37" s="274">
        <f>'【国内】问卷调研-数据源（P3单独执行） '!N37*1.3</f>
        <v>2.34</v>
      </c>
      <c r="O37" s="275">
        <f>'【国内】问卷调研-数据源（P3单独执行） '!O37</f>
        <v>10.8859283930058</v>
      </c>
      <c r="Q37" s="276"/>
      <c r="R37" s="1">
        <v>1201</v>
      </c>
      <c r="S37" s="99">
        <f>'【国内】问卷调研-数据源（P3单独执行） '!S37+0.2</f>
        <v>0.3</v>
      </c>
      <c r="T37" s="99">
        <f>'【国内】问卷调研-数据源（P3单独执行） '!U37*0.4</f>
        <v>0.88</v>
      </c>
      <c r="U37" s="99">
        <f t="shared" si="9"/>
        <v>2.61416666666667</v>
      </c>
      <c r="V37" s="274">
        <f>'【国内】问卷调研-数据源（P3单独执行） '!V37*1.3</f>
        <v>2.47</v>
      </c>
      <c r="W37" s="275">
        <f>'【国内】问卷调研-数据源（P3单独执行） '!W37</f>
        <v>12.1940049958368</v>
      </c>
      <c r="Y37" s="276"/>
      <c r="Z37" s="1">
        <v>1201</v>
      </c>
      <c r="AA37" s="99">
        <f>'【国内】问卷调研-数据源（P3单独执行） '!AA37+0.2</f>
        <v>0.3</v>
      </c>
      <c r="AB37" s="99">
        <f>'【国内】问卷调研-数据源（P3单独执行） '!AC37*0.4</f>
        <v>0.92</v>
      </c>
      <c r="AC37" s="99">
        <f t="shared" si="10"/>
        <v>2.77666666666667</v>
      </c>
      <c r="AD37" s="274">
        <f>'【国内】问卷调研-数据源（P3单独执行） '!AD37*1.3</f>
        <v>2.6</v>
      </c>
      <c r="AE37" s="275">
        <f>'【国内】问卷调研-数据源（P3单独执行） '!AE37</f>
        <v>13.5020815986678</v>
      </c>
      <c r="AG37" s="276"/>
      <c r="AH37" s="1">
        <v>1201</v>
      </c>
      <c r="AI37" s="99">
        <f>'【国内】问卷调研-数据源（P3单独执行） '!AI37+0.2</f>
        <v>0.3</v>
      </c>
      <c r="AJ37" s="99">
        <f>'【国内】问卷调研-数据源（P3单独执行） '!AK37*0.4</f>
        <v>0.96</v>
      </c>
      <c r="AK37" s="99">
        <f t="shared" si="11"/>
        <v>2.93916666666667</v>
      </c>
      <c r="AL37" s="274">
        <f>'【国内】问卷调研-数据源（P3单独执行） '!AL37*1.3</f>
        <v>2.73</v>
      </c>
      <c r="AM37" s="275">
        <f>'【国内】问卷调研-数据源（P3单独执行） '!AM37</f>
        <v>14.8101582014988</v>
      </c>
      <c r="AO37" s="276"/>
      <c r="AP37" s="1">
        <v>1201</v>
      </c>
      <c r="AQ37" s="99">
        <f>'【国内】问卷调研-数据源（P3单独执行） '!AQ37+0.2</f>
        <v>0.3</v>
      </c>
      <c r="AR37" s="99">
        <f>'【国内】问卷调研-数据源（P3单独执行） '!AS37*0.4</f>
        <v>1</v>
      </c>
      <c r="AS37" s="99">
        <f t="shared" si="12"/>
        <v>3.10166666666667</v>
      </c>
      <c r="AT37" s="274">
        <f>'【国内】问卷调研-数据源（P3单独执行） '!AT37*1.3</f>
        <v>2.86</v>
      </c>
      <c r="AU37" s="275">
        <f>'【国内】问卷调研-数据源（P3单独执行） '!AU37</f>
        <v>16.1182348043297</v>
      </c>
      <c r="AV37" s="1"/>
      <c r="AW37" s="276"/>
      <c r="AX37" s="1">
        <v>1201</v>
      </c>
      <c r="AY37" s="99">
        <f>'【国内】问卷调研-数据源（P3单独执行） '!AY37+0.2</f>
        <v>0.3</v>
      </c>
      <c r="AZ37" s="99">
        <f>'【国内】问卷调研-数据源（P3单独执行） '!BA37*0.4</f>
        <v>1.04</v>
      </c>
      <c r="BA37" s="99">
        <f t="shared" si="13"/>
        <v>3.26416666666667</v>
      </c>
      <c r="BB37" s="274">
        <f>'【国内】问卷调研-数据源（P3单独执行） '!BB37*1.3</f>
        <v>2.99</v>
      </c>
      <c r="BC37" s="275">
        <f>'【国内】问卷调研-数据源（P3单独执行） '!BC37</f>
        <v>17.4263114071607</v>
      </c>
    </row>
    <row r="38" spans="1:55">
      <c r="A38" s="1" t="s">
        <v>115</v>
      </c>
      <c r="B38" s="1">
        <v>1401</v>
      </c>
      <c r="C38" s="99">
        <f>'【国内】问卷调研-数据源（P3单独执行） '!C38+0.2</f>
        <v>0.3</v>
      </c>
      <c r="D38" s="99">
        <f>'【国内】问卷调研-数据源（P3单独执行） '!E38*0.6</f>
        <v>1.26</v>
      </c>
      <c r="E38" s="99">
        <f t="shared" si="7"/>
        <v>1.26166666666667</v>
      </c>
      <c r="F38" s="274">
        <f>'【国内】问卷调研-数据源（P3单独执行） '!F38*1.3</f>
        <v>2.34</v>
      </c>
      <c r="G38" s="275">
        <f>'【国内】问卷调研-数据源（P3单独执行） '!G38</f>
        <v>8.90292648108494</v>
      </c>
      <c r="I38" s="276"/>
      <c r="J38" s="1">
        <v>1401</v>
      </c>
      <c r="K38" s="99">
        <f>'【国内】问卷调研-数据源（P3单独执行） '!K38+0.2</f>
        <v>0.3</v>
      </c>
      <c r="L38" s="99">
        <f>'【国内】问卷调研-数据源（P3单独执行） '!M38*0.6</f>
        <v>1.32</v>
      </c>
      <c r="M38" s="99">
        <f t="shared" si="8"/>
        <v>1.3675</v>
      </c>
      <c r="N38" s="274">
        <f>'【国内】问卷调研-数据源（P3单独执行） '!N38*1.3</f>
        <v>2.47</v>
      </c>
      <c r="O38" s="275">
        <f>'【国内】问卷调研-数据源（P3单独执行） '!O38</f>
        <v>10.1670235546039</v>
      </c>
      <c r="Q38" s="276"/>
      <c r="R38" s="1">
        <v>1401</v>
      </c>
      <c r="S38" s="99">
        <f>'【国内】问卷调研-数据源（P3单独执行） '!S38+0.2</f>
        <v>0.3</v>
      </c>
      <c r="T38" s="99">
        <f>'【国内】问卷调研-数据源（P3单独执行） '!U38*0.6</f>
        <v>1.38</v>
      </c>
      <c r="U38" s="99">
        <f t="shared" si="9"/>
        <v>1.47333333333333</v>
      </c>
      <c r="V38" s="274">
        <f>'【国内】问卷调研-数据源（P3单独执行） '!V38*1.3</f>
        <v>2.6</v>
      </c>
      <c r="W38" s="275">
        <f>'【国内】问卷调研-数据源（P3单独执行） '!W38</f>
        <v>11.4311206281228</v>
      </c>
      <c r="Y38" s="276"/>
      <c r="Z38" s="1">
        <v>1401</v>
      </c>
      <c r="AA38" s="99">
        <f>'【国内】问卷调研-数据源（P3单独执行） '!AA38+0.2</f>
        <v>0.3</v>
      </c>
      <c r="AB38" s="99">
        <f>'【国内】问卷调研-数据源（P3单独执行） '!AC38*0.6</f>
        <v>1.44</v>
      </c>
      <c r="AC38" s="99">
        <f t="shared" si="10"/>
        <v>1.57916666666667</v>
      </c>
      <c r="AD38" s="274">
        <f>'【国内】问卷调研-数据源（P3单独执行） '!AD38*1.3</f>
        <v>2.73</v>
      </c>
      <c r="AE38" s="275">
        <f>'【国内】问卷调研-数据源（P3单独执行） '!AE38</f>
        <v>12.6952177016417</v>
      </c>
      <c r="AG38" s="276"/>
      <c r="AH38" s="1">
        <v>1401</v>
      </c>
      <c r="AI38" s="99">
        <f>'【国内】问卷调研-数据源（P3单独执行） '!AI38+0.2</f>
        <v>0.3</v>
      </c>
      <c r="AJ38" s="99">
        <f>'【国内】问卷调研-数据源（P3单独执行） '!AK38*0.6</f>
        <v>1.5</v>
      </c>
      <c r="AK38" s="99">
        <f t="shared" si="11"/>
        <v>1.685</v>
      </c>
      <c r="AL38" s="274">
        <f>'【国内】问卷调研-数据源（P3单独执行） '!AL38*1.3</f>
        <v>2.86</v>
      </c>
      <c r="AM38" s="275">
        <f>'【国内】问卷调研-数据源（P3单独执行） '!AM38</f>
        <v>13.9593147751606</v>
      </c>
      <c r="AO38" s="276"/>
      <c r="AP38" s="1">
        <v>1401</v>
      </c>
      <c r="AQ38" s="99">
        <f>'【国内】问卷调研-数据源（P3单独执行） '!AQ38+0.2</f>
        <v>0.3</v>
      </c>
      <c r="AR38" s="99">
        <f>'【国内】问卷调研-数据源（P3单独执行） '!AS38*0.6</f>
        <v>1.56</v>
      </c>
      <c r="AS38" s="99">
        <f t="shared" si="12"/>
        <v>1.79083333333333</v>
      </c>
      <c r="AT38" s="274">
        <f>'【国内】问卷调研-数据源（P3单独执行） '!AT38*1.3</f>
        <v>2.99</v>
      </c>
      <c r="AU38" s="275">
        <f>'【国内】问卷调研-数据源（P3单独执行） '!AU38</f>
        <v>15.2234118486795</v>
      </c>
      <c r="AV38" s="1"/>
      <c r="AW38" s="276"/>
      <c r="AX38" s="1">
        <v>1401</v>
      </c>
      <c r="AY38" s="99">
        <f>'【国内】问卷调研-数据源（P3单独执行） '!AY38+0.2</f>
        <v>0.3</v>
      </c>
      <c r="AZ38" s="99">
        <f>'【国内】问卷调研-数据源（P3单独执行） '!BA38*0.6</f>
        <v>1.62</v>
      </c>
      <c r="BA38" s="99">
        <f t="shared" si="13"/>
        <v>1.89666666666667</v>
      </c>
      <c r="BB38" s="274">
        <f>'【国内】问卷调研-数据源（P3单独执行） '!BB38*1.3</f>
        <v>3.12</v>
      </c>
      <c r="BC38" s="275">
        <f>'【国内】问卷调研-数据源（P3单独执行） '!BC38</f>
        <v>16.4875089221984</v>
      </c>
    </row>
    <row r="39" spans="1:55">
      <c r="A39" s="1" t="s">
        <v>116</v>
      </c>
      <c r="B39" s="1">
        <v>1601</v>
      </c>
      <c r="C39" s="99">
        <f>'【国内】问卷调研-数据源（P3单独执行） '!C39+0.2</f>
        <v>0.3</v>
      </c>
      <c r="D39" s="99">
        <f>'【国内】问卷调研-数据源（P3单独执行） '!E39*0.6</f>
        <v>1.38</v>
      </c>
      <c r="E39" s="99">
        <f t="shared" si="7"/>
        <v>1.48833333333333</v>
      </c>
      <c r="F39" s="274">
        <f>'【国内】问卷调研-数据源（P3单独执行） '!F39*1.3</f>
        <v>2.34</v>
      </c>
      <c r="G39" s="275">
        <f>'【国内】问卷调研-数据源（P3单独执行） '!G39</f>
        <v>8.59025608994379</v>
      </c>
      <c r="I39" s="276"/>
      <c r="J39" s="1">
        <v>1601</v>
      </c>
      <c r="K39" s="99">
        <f>'【国内】问卷调研-数据源（P3单独执行） '!K39+0.2</f>
        <v>0.3</v>
      </c>
      <c r="L39" s="99">
        <f>'【国内】问卷调研-数据源（P3单独执行） '!M39*0.6</f>
        <v>1.44</v>
      </c>
      <c r="M39" s="99">
        <f t="shared" si="8"/>
        <v>1.59416666666667</v>
      </c>
      <c r="N39" s="274">
        <f>'【国内】问卷调研-数据源（P3单独执行） '!N39*1.3</f>
        <v>2.47</v>
      </c>
      <c r="O39" s="275">
        <f>'【国内】问卷调研-数据源（P3单独执行） '!O39</f>
        <v>9.82136164896939</v>
      </c>
      <c r="Q39" s="276"/>
      <c r="R39" s="1">
        <v>1601</v>
      </c>
      <c r="S39" s="99">
        <f>'【国内】问卷调研-数据源（P3单独执行） '!S39+0.2</f>
        <v>0.3</v>
      </c>
      <c r="T39" s="99">
        <f>'【国内】问卷调研-数据源（P3单独执行） '!U39*0.6</f>
        <v>1.5</v>
      </c>
      <c r="U39" s="99">
        <f t="shared" si="9"/>
        <v>1.7</v>
      </c>
      <c r="V39" s="274">
        <f>'【国内】问卷调研-数据源（P3单独执行） '!V39*1.3</f>
        <v>2.6</v>
      </c>
      <c r="W39" s="275">
        <f>'【国内】问卷调研-数据源（P3单独执行） '!W39</f>
        <v>11.052467207995</v>
      </c>
      <c r="Y39" s="276"/>
      <c r="Z39" s="1">
        <v>1601</v>
      </c>
      <c r="AA39" s="99">
        <f>'【国内】问卷调研-数据源（P3单独执行） '!AA39+0.2</f>
        <v>0.3</v>
      </c>
      <c r="AB39" s="99">
        <f>'【国内】问卷调研-数据源（P3单独执行） '!AC39*0.6</f>
        <v>1.56</v>
      </c>
      <c r="AC39" s="99">
        <f t="shared" si="10"/>
        <v>1.80583333333333</v>
      </c>
      <c r="AD39" s="274">
        <f>'【国内】问卷调研-数据源（P3单独执行） '!AD39*1.3</f>
        <v>2.73</v>
      </c>
      <c r="AE39" s="275">
        <f>'【国内】问卷调研-数据源（P3单独执行） '!AE39</f>
        <v>12.2835727670206</v>
      </c>
      <c r="AG39" s="276"/>
      <c r="AH39" s="1">
        <v>1601</v>
      </c>
      <c r="AI39" s="99">
        <f>'【国内】问卷调研-数据源（P3单独执行） '!AI39+0.2</f>
        <v>0.3</v>
      </c>
      <c r="AJ39" s="99">
        <f>'【国内】问卷调研-数据源（P3单独执行） '!AK39*0.6</f>
        <v>1.62</v>
      </c>
      <c r="AK39" s="99">
        <f t="shared" ref="AK39:AK45" si="14">(AM39*AH39-$AJ$26*AH39-AI39*5900-AJ39*3400-AL39*300)/1200</f>
        <v>1.91166666666667</v>
      </c>
      <c r="AL39" s="274">
        <f>'【国内】问卷调研-数据源（P3单独执行） '!AL39*1.3</f>
        <v>2.86</v>
      </c>
      <c r="AM39" s="275">
        <f>'【国内】问卷调研-数据源（P3单独执行） '!AM39</f>
        <v>13.5146783260462</v>
      </c>
      <c r="AO39" s="276"/>
      <c r="AP39" s="1">
        <v>1601</v>
      </c>
      <c r="AQ39" s="99">
        <f>'【国内】问卷调研-数据源（P3单独执行） '!AQ39+0.2</f>
        <v>0.3</v>
      </c>
      <c r="AR39" s="99">
        <f>'【国内】问卷调研-数据源（P3单独执行） '!AS39*0.6</f>
        <v>1.68</v>
      </c>
      <c r="AS39" s="99">
        <f t="shared" ref="AS39:AS45" si="15">(AU39*AP39-$AR$26*AP39-AQ39*5900-AR39*3400-AT39*300)/1200</f>
        <v>2.0175</v>
      </c>
      <c r="AT39" s="274">
        <f>'【国内】问卷调研-数据源（P3单独执行） '!AT39*1.3</f>
        <v>2.99</v>
      </c>
      <c r="AU39" s="275">
        <f>'【国内】问卷调研-数据源（P3单独执行） '!AU39</f>
        <v>14.7457838850718</v>
      </c>
      <c r="AV39" s="1"/>
      <c r="AW39" s="276"/>
      <c r="AX39" s="1">
        <v>1601</v>
      </c>
      <c r="AY39" s="99">
        <f>'【国内】问卷调研-数据源（P3单独执行） '!AY39+0.2</f>
        <v>0.3</v>
      </c>
      <c r="AZ39" s="99">
        <f>'【国内】问卷调研-数据源（P3单独执行） '!BA39*0.6</f>
        <v>1.74</v>
      </c>
      <c r="BA39" s="99">
        <f t="shared" ref="BA39:BA45" si="16">(BC39*AX39-$AZ$26*AX39-AY39*5900-AZ39*3400-BB39*300)/1200</f>
        <v>2.12333333333333</v>
      </c>
      <c r="BB39" s="274">
        <f>'【国内】问卷调研-数据源（P3单独执行） '!BB39*1.3</f>
        <v>3.12</v>
      </c>
      <c r="BC39" s="275">
        <f>'【国内】问卷调研-数据源（P3单独执行） '!BC39</f>
        <v>15.9768894440974</v>
      </c>
    </row>
    <row r="40" spans="1:55">
      <c r="A40" s="1" t="s">
        <v>117</v>
      </c>
      <c r="B40" s="1">
        <v>1801</v>
      </c>
      <c r="C40" s="99">
        <f>'【国内】问卷调研-数据源（P3单独执行） '!C40+0.2</f>
        <v>0.3</v>
      </c>
      <c r="D40" s="99">
        <f>'【国内】问卷调研-数据源（P3单独执行） '!E40*0.6</f>
        <v>1.5</v>
      </c>
      <c r="E40" s="99">
        <f t="shared" si="7"/>
        <v>1.715</v>
      </c>
      <c r="F40" s="274">
        <f>'【国内】问卷调研-数据源（P3单独执行） '!F40*1.3</f>
        <v>2.34</v>
      </c>
      <c r="G40" s="275">
        <f>'【国内】问卷调研-数据源（P3单独执行） '!G40</f>
        <v>8.3470294280955</v>
      </c>
      <c r="I40" s="276"/>
      <c r="J40" s="1">
        <v>1801</v>
      </c>
      <c r="K40" s="99">
        <f>'【国内】问卷调研-数据源（P3单独执行） '!K40+0.2</f>
        <v>0.3</v>
      </c>
      <c r="L40" s="99">
        <f>'【国内】问卷调研-数据源（P3单独执行） '!M40*0.6</f>
        <v>1.56</v>
      </c>
      <c r="M40" s="99">
        <f t="shared" si="8"/>
        <v>1.82083333333333</v>
      </c>
      <c r="N40" s="274">
        <f>'【国内】问卷调研-数据源（P3单独执行） '!N40*1.3</f>
        <v>2.47</v>
      </c>
      <c r="O40" s="275">
        <f>'【国内】问卷调研-数据源（P3单独执行） '!O40</f>
        <v>9.55247084952804</v>
      </c>
      <c r="Q40" s="276"/>
      <c r="R40" s="1">
        <v>1801</v>
      </c>
      <c r="S40" s="99">
        <f>'【国内】问卷调研-数据源（P3单独执行） '!S40+0.2</f>
        <v>0.3</v>
      </c>
      <c r="T40" s="99">
        <f>'【国内】问卷调研-数据源（P3单独执行） '!U40*0.6</f>
        <v>1.62</v>
      </c>
      <c r="U40" s="99">
        <f t="shared" si="9"/>
        <v>1.92666666666667</v>
      </c>
      <c r="V40" s="274">
        <f>'【国内】问卷调研-数据源（P3单独执行） '!V40*1.3</f>
        <v>2.6</v>
      </c>
      <c r="W40" s="275">
        <f>'【国内】问卷调研-数据源（P3单独执行） '!W40</f>
        <v>10.7579122709606</v>
      </c>
      <c r="Y40" s="276"/>
      <c r="Z40" s="1">
        <v>1801</v>
      </c>
      <c r="AA40" s="99">
        <f>'【国内】问卷调研-数据源（P3单独执行） '!AA40+0.2</f>
        <v>0.3</v>
      </c>
      <c r="AB40" s="99">
        <f>'【国内】问卷调研-数据源（P3单独执行） '!AC40*0.6</f>
        <v>1.68</v>
      </c>
      <c r="AC40" s="99">
        <f t="shared" si="10"/>
        <v>2.0325</v>
      </c>
      <c r="AD40" s="274">
        <f>'【国内】问卷调研-数据源（P3单独执行） '!AD40*1.3</f>
        <v>2.73</v>
      </c>
      <c r="AE40" s="275">
        <f>'【国内】问卷调研-数据源（P3单独执行） '!AE40</f>
        <v>11.9633536923931</v>
      </c>
      <c r="AG40" s="276"/>
      <c r="AH40" s="1">
        <v>1801</v>
      </c>
      <c r="AI40" s="99">
        <f>'【国内】问卷调研-数据源（P3单独执行） '!AI40+0.2</f>
        <v>0.3</v>
      </c>
      <c r="AJ40" s="99">
        <f>'【国内】问卷调研-数据源（P3单独执行） '!AK40*0.6</f>
        <v>1.74</v>
      </c>
      <c r="AK40" s="99">
        <f t="shared" si="14"/>
        <v>2.13833333333333</v>
      </c>
      <c r="AL40" s="274">
        <f>'【国内】问卷调研-数据源（P3单独执行） '!AL40*1.3</f>
        <v>2.86</v>
      </c>
      <c r="AM40" s="275">
        <f>'【国内】问卷调研-数据源（P3单独执行） '!AM40</f>
        <v>13.1687951138257</v>
      </c>
      <c r="AO40" s="276"/>
      <c r="AP40" s="1">
        <v>1801</v>
      </c>
      <c r="AQ40" s="99">
        <f>'【国内】问卷调研-数据源（P3单独执行） '!AQ40+0.2</f>
        <v>0.3</v>
      </c>
      <c r="AR40" s="99">
        <f>'【国内】问卷调研-数据源（P3单独执行） '!AS40*0.6</f>
        <v>1.8</v>
      </c>
      <c r="AS40" s="99">
        <f t="shared" si="15"/>
        <v>2.24416666666667</v>
      </c>
      <c r="AT40" s="274">
        <f>'【国内】问卷调研-数据源（P3单独执行） '!AT40*1.3</f>
        <v>2.99</v>
      </c>
      <c r="AU40" s="275">
        <f>'【国内】问卷调研-数据源（P3单独执行） '!AU40</f>
        <v>14.3742365352582</v>
      </c>
      <c r="AV40" s="1"/>
      <c r="AW40" s="276"/>
      <c r="AX40" s="1">
        <v>1801</v>
      </c>
      <c r="AY40" s="99">
        <f>'【国内】问卷调研-数据源（P3单独执行） '!AY40+0.2</f>
        <v>0.3</v>
      </c>
      <c r="AZ40" s="99">
        <f>'【国内】问卷调研-数据源（P3单独执行） '!BA40*0.6</f>
        <v>1.86</v>
      </c>
      <c r="BA40" s="99">
        <f t="shared" si="16"/>
        <v>2.35</v>
      </c>
      <c r="BB40" s="274">
        <f>'【国内】问卷调研-数据源（P3单独执行） '!BB40*1.3</f>
        <v>3.12</v>
      </c>
      <c r="BC40" s="275">
        <f>'【国内】问卷调研-数据源（P3单独执行） '!BC40</f>
        <v>15.5796779566907</v>
      </c>
    </row>
    <row r="41" spans="1:55">
      <c r="A41" s="1" t="s">
        <v>118</v>
      </c>
      <c r="B41" s="1">
        <v>2001</v>
      </c>
      <c r="C41" s="99">
        <f>'【国内】问卷调研-数据源（P3单独执行） '!C41+0.2</f>
        <v>0.4</v>
      </c>
      <c r="D41" s="99">
        <f>'【国内】问卷调研-数据源（P3单独执行） '!E41*0.6</f>
        <v>1.62</v>
      </c>
      <c r="E41" s="99">
        <f t="shared" si="7"/>
        <v>1.92666666666667</v>
      </c>
      <c r="F41" s="274">
        <f>'【国内】问卷调研-数据源（P3单独执行） '!F41*1.3</f>
        <v>2.6</v>
      </c>
      <c r="G41" s="275">
        <f>'【国内】问卷调研-数据源（P3单独执行） '!G41</f>
        <v>8.47726136931534</v>
      </c>
      <c r="I41" s="276"/>
      <c r="J41" s="1">
        <v>2001</v>
      </c>
      <c r="K41" s="99">
        <f>'【国内】问卷调研-数据源（P3单独执行） '!K41+0.2</f>
        <v>0.4</v>
      </c>
      <c r="L41" s="99">
        <f>'【国内】问卷调研-数据源（P3单独执行） '!M41*0.6</f>
        <v>1.68</v>
      </c>
      <c r="M41" s="99">
        <f t="shared" si="8"/>
        <v>2.0325</v>
      </c>
      <c r="N41" s="274">
        <f>'【国内】问卷调研-数据源（P3单独执行） '!N41*1.3</f>
        <v>2.73</v>
      </c>
      <c r="O41" s="275">
        <f>'【国内】问卷调研-数据源（P3单独执行） '!O41</f>
        <v>9.66216891554223</v>
      </c>
      <c r="Q41" s="276"/>
      <c r="R41" s="1">
        <v>2001</v>
      </c>
      <c r="S41" s="99">
        <f>'【国内】问卷调研-数据源（P3单独执行） '!S41+0.2</f>
        <v>0.4</v>
      </c>
      <c r="T41" s="99">
        <f>'【国内】问卷调研-数据源（P3单独执行） '!U41*0.6</f>
        <v>1.74</v>
      </c>
      <c r="U41" s="99">
        <f t="shared" si="9"/>
        <v>2.13833333333333</v>
      </c>
      <c r="V41" s="274">
        <f>'【国内】问卷调研-数据源（P3单独执行） '!V41*1.3</f>
        <v>2.86</v>
      </c>
      <c r="W41" s="275">
        <f>'【国内】问卷调研-数据源（P3单独执行） '!W41</f>
        <v>10.8470764617691</v>
      </c>
      <c r="Y41" s="276"/>
      <c r="Z41" s="1">
        <v>2001</v>
      </c>
      <c r="AA41" s="99">
        <f>'【国内】问卷调研-数据源（P3单独执行） '!AA41+0.2</f>
        <v>0.4</v>
      </c>
      <c r="AB41" s="99">
        <f>'【国内】问卷调研-数据源（P3单独执行） '!AC41*0.6</f>
        <v>1.8</v>
      </c>
      <c r="AC41" s="99">
        <f t="shared" si="10"/>
        <v>2.24416666666667</v>
      </c>
      <c r="AD41" s="274">
        <f>'【国内】问卷调研-数据源（P3单独执行） '!AD41*1.3</f>
        <v>2.99</v>
      </c>
      <c r="AE41" s="275">
        <f>'【国内】问卷调研-数据源（P3单独执行） '!AE41</f>
        <v>12.031984007996</v>
      </c>
      <c r="AG41" s="276"/>
      <c r="AH41" s="1">
        <v>2001</v>
      </c>
      <c r="AI41" s="99">
        <f>'【国内】问卷调研-数据源（P3单独执行） '!AI41+0.2</f>
        <v>0.4</v>
      </c>
      <c r="AJ41" s="99">
        <f>'【国内】问卷调研-数据源（P3单独执行） '!AK41*0.6</f>
        <v>1.86</v>
      </c>
      <c r="AK41" s="99">
        <f t="shared" si="14"/>
        <v>2.35</v>
      </c>
      <c r="AL41" s="274">
        <f>'【国内】问卷调研-数据源（P3单独执行） '!AL41*1.3</f>
        <v>3.12</v>
      </c>
      <c r="AM41" s="275">
        <f>'【国内】问卷调研-数据源（P3单独执行） '!AM41</f>
        <v>13.2168915542229</v>
      </c>
      <c r="AO41" s="276"/>
      <c r="AP41" s="1">
        <v>2001</v>
      </c>
      <c r="AQ41" s="99">
        <f>'【国内】问卷调研-数据源（P3单独执行） '!AQ41+0.2</f>
        <v>0.4</v>
      </c>
      <c r="AR41" s="99">
        <f>'【国内】问卷调研-数据源（P3单独执行） '!AS41*0.6</f>
        <v>1.92</v>
      </c>
      <c r="AS41" s="99">
        <f t="shared" si="15"/>
        <v>2.45583333333333</v>
      </c>
      <c r="AT41" s="274">
        <f>'【国内】问卷调研-数据源（P3单独执行） '!AT41*1.3</f>
        <v>3.25</v>
      </c>
      <c r="AU41" s="275">
        <f>'【国内】问卷调研-数据源（P3单独执行） '!AU41</f>
        <v>14.4017991004498</v>
      </c>
      <c r="AV41" s="1"/>
      <c r="AW41" s="276"/>
      <c r="AX41" s="1">
        <v>2001</v>
      </c>
      <c r="AY41" s="99">
        <f>'【国内】问卷调研-数据源（P3单独执行） '!AY41+0.2</f>
        <v>0.4</v>
      </c>
      <c r="AZ41" s="99">
        <f>'【国内】问卷调研-数据源（P3单独执行） '!BA41*0.6</f>
        <v>1.98</v>
      </c>
      <c r="BA41" s="99">
        <f t="shared" si="16"/>
        <v>2.56166666666667</v>
      </c>
      <c r="BB41" s="274">
        <f>'【国内】问卷调研-数据源（P3单独执行） '!BB41*1.3</f>
        <v>3.38</v>
      </c>
      <c r="BC41" s="275">
        <f>'【国内】问卷调研-数据源（P3单独执行） '!BC41</f>
        <v>15.5867066466767</v>
      </c>
    </row>
    <row r="42" spans="1:55">
      <c r="A42" s="1" t="s">
        <v>119</v>
      </c>
      <c r="B42" s="1">
        <v>2201</v>
      </c>
      <c r="C42" s="99">
        <f>'【国内】问卷调研-数据源（P3单独执行） '!C42+0.2</f>
        <v>0.4</v>
      </c>
      <c r="D42" s="99">
        <f>'【国内】问卷调研-数据源（P3单独执行） '!E42*0.6</f>
        <v>1.74</v>
      </c>
      <c r="E42" s="99">
        <f t="shared" si="7"/>
        <v>2.15333333333333</v>
      </c>
      <c r="F42" s="274">
        <f>'【国内】问卷调研-数据源（P3单独执行） '!F42*1.3</f>
        <v>2.6</v>
      </c>
      <c r="G42" s="275">
        <f>'【国内】问卷调研-数据源（P3单独执行） '!G42</f>
        <v>8.28850522489777</v>
      </c>
      <c r="I42" s="276"/>
      <c r="J42" s="1">
        <v>2201</v>
      </c>
      <c r="K42" s="99">
        <f>'【国内】问卷调研-数据源（P3单独执行） '!K42+0.2</f>
        <v>0.4</v>
      </c>
      <c r="L42" s="99">
        <f>'【国内】问卷调研-数据源（P3单独执行） '!M42*0.6</f>
        <v>1.8</v>
      </c>
      <c r="M42" s="99">
        <f t="shared" si="8"/>
        <v>2.25916666666667</v>
      </c>
      <c r="N42" s="274">
        <f>'【国内】问卷调研-数据源（P3单独执行） '!N42*1.3</f>
        <v>2.73</v>
      </c>
      <c r="O42" s="275">
        <f>'【国内】问卷调研-数据源（P3单独执行） '!O42</f>
        <v>9.45661063153112</v>
      </c>
      <c r="Q42" s="276"/>
      <c r="R42" s="1">
        <v>2201</v>
      </c>
      <c r="S42" s="99">
        <f>'【国内】问卷调研-数据源（P3单独执行） '!S42+0.2</f>
        <v>0.4</v>
      </c>
      <c r="T42" s="99">
        <f>'【国内】问卷调研-数据源（P3单独执行） '!U42*0.6</f>
        <v>1.86</v>
      </c>
      <c r="U42" s="99">
        <f t="shared" si="9"/>
        <v>2.365</v>
      </c>
      <c r="V42" s="274">
        <f>'【国内】问卷调研-数据源（P3单独执行） '!V42*1.3</f>
        <v>2.86</v>
      </c>
      <c r="W42" s="275">
        <f>'【国内】问卷调研-数据源（P3单独执行） '!W42</f>
        <v>10.6247160381645</v>
      </c>
      <c r="Y42" s="276"/>
      <c r="Z42" s="1">
        <v>2201</v>
      </c>
      <c r="AA42" s="99">
        <f>'【国内】问卷调研-数据源（P3单独执行） '!AA42+0.2</f>
        <v>0.4</v>
      </c>
      <c r="AB42" s="99">
        <f>'【国内】问卷调研-数据源（P3单独执行） '!AC42*0.6</f>
        <v>1.92</v>
      </c>
      <c r="AC42" s="99">
        <f t="shared" si="10"/>
        <v>2.47083333333333</v>
      </c>
      <c r="AD42" s="274">
        <f>'【国内】问卷调研-数据源（P3单独执行） '!AD42*1.3</f>
        <v>2.99</v>
      </c>
      <c r="AE42" s="275">
        <f>'【国内】问卷调研-数据源（P3单独执行） '!AE42</f>
        <v>11.7928214447978</v>
      </c>
      <c r="AG42" s="276"/>
      <c r="AH42" s="1">
        <v>2201</v>
      </c>
      <c r="AI42" s="99">
        <f>'【国内】问卷调研-数据源（P3单独执行） '!AI42+0.2</f>
        <v>0.4</v>
      </c>
      <c r="AJ42" s="99">
        <f>'【国内】问卷调研-数据源（P3单独执行） '!AK42*0.6</f>
        <v>1.98</v>
      </c>
      <c r="AK42" s="99">
        <f t="shared" si="14"/>
        <v>2.57666666666667</v>
      </c>
      <c r="AL42" s="274">
        <f>'【国内】问卷调研-数据源（P3单独执行） '!AL42*1.3</f>
        <v>3.12</v>
      </c>
      <c r="AM42" s="275">
        <f>'【国内】问卷调研-数据源（P3单独执行） '!AM42</f>
        <v>12.9609268514312</v>
      </c>
      <c r="AO42" s="276"/>
      <c r="AP42" s="1">
        <v>2201</v>
      </c>
      <c r="AQ42" s="99">
        <f>'【国内】问卷调研-数据源（P3单独执行） '!AQ42+0.2</f>
        <v>0.4</v>
      </c>
      <c r="AR42" s="99">
        <f>'【国内】问卷调研-数据源（P3单独执行） '!AS42*0.6</f>
        <v>2.04</v>
      </c>
      <c r="AS42" s="99">
        <f t="shared" si="15"/>
        <v>2.6825</v>
      </c>
      <c r="AT42" s="274">
        <f>'【国内】问卷调研-数据源（P3单独执行） '!AT42*1.3</f>
        <v>3.25</v>
      </c>
      <c r="AU42" s="275">
        <f>'【国内】问卷调研-数据源（P3单独执行） '!AU42</f>
        <v>14.1290322580645</v>
      </c>
      <c r="AV42" s="1"/>
      <c r="AW42" s="276"/>
      <c r="AX42" s="1">
        <v>2201</v>
      </c>
      <c r="AY42" s="99">
        <f>'【国内】问卷调研-数据源（P3单独执行） '!AY42+0.2</f>
        <v>0.4</v>
      </c>
      <c r="AZ42" s="99">
        <f>'【国内】问卷调研-数据源（P3单独执行） '!BA42*0.6</f>
        <v>2.1</v>
      </c>
      <c r="BA42" s="99">
        <f t="shared" si="16"/>
        <v>2.78833333333333</v>
      </c>
      <c r="BB42" s="274">
        <f>'【国内】问卷调研-数据源（P3单独执行） '!BB42*1.3</f>
        <v>3.38</v>
      </c>
      <c r="BC42" s="275">
        <f>'【国内】问卷调研-数据源（P3单独执行） '!BC42</f>
        <v>15.2971376646979</v>
      </c>
    </row>
    <row r="43" spans="1:55">
      <c r="A43" s="1" t="s">
        <v>120</v>
      </c>
      <c r="B43" s="1">
        <v>2401</v>
      </c>
      <c r="C43" s="99">
        <f>'【国内】问卷调研-数据源（P3单独执行） '!C43+0.2</f>
        <v>0.4</v>
      </c>
      <c r="D43" s="99">
        <f>'【国内】问卷调研-数据源（P3单独执行） '!E43*0.6</f>
        <v>1.8</v>
      </c>
      <c r="E43" s="99">
        <f t="shared" si="7"/>
        <v>2.26666666666667</v>
      </c>
      <c r="F43" s="274">
        <f>'【国内】问卷调研-数据源（P3单独执行） '!F43*1.3</f>
        <v>2.6</v>
      </c>
      <c r="G43" s="275">
        <f>'【国内】问卷调研-数据源（P3单独执行） '!G43</f>
        <v>7.98958767180341</v>
      </c>
      <c r="I43" s="276"/>
      <c r="J43" s="1">
        <v>2401</v>
      </c>
      <c r="K43" s="99">
        <f>'【国内】问卷调研-数据源（P3单独执行） '!K43+0.2</f>
        <v>0.4</v>
      </c>
      <c r="L43" s="99">
        <f>'【国内】问卷调研-数据源（P3单独执行） '!M43*0.6</f>
        <v>1.86</v>
      </c>
      <c r="M43" s="99">
        <f t="shared" si="8"/>
        <v>2.3725</v>
      </c>
      <c r="N43" s="274">
        <f>'【国内】问卷调研-数据源（P3单独执行） '!N43*1.3</f>
        <v>2.73</v>
      </c>
      <c r="O43" s="275">
        <f>'【国内】问卷调研-数据源（P3单独执行） '!O43</f>
        <v>9.14369012911287</v>
      </c>
      <c r="Q43" s="276"/>
      <c r="R43" s="1">
        <v>2401</v>
      </c>
      <c r="S43" s="99">
        <f>'【国内】问卷调研-数据源（P3单独执行） '!S43+0.2</f>
        <v>0.4</v>
      </c>
      <c r="T43" s="99">
        <f>'【国内】问卷调研-数据源（P3单独执行） '!U43*0.6</f>
        <v>1.92</v>
      </c>
      <c r="U43" s="99">
        <f t="shared" si="9"/>
        <v>2.47833333333333</v>
      </c>
      <c r="V43" s="274">
        <f>'【国内】问卷调研-数据源（P3单独执行） '!V43*1.3</f>
        <v>2.86</v>
      </c>
      <c r="W43" s="275">
        <f>'【国内】问卷调研-数据源（P3单独执行） '!W43</f>
        <v>10.2977925864223</v>
      </c>
      <c r="Y43" s="276"/>
      <c r="Z43" s="1">
        <v>2401</v>
      </c>
      <c r="AA43" s="99">
        <f>'【国内】问卷调研-数据源（P3单独执行） '!AA43+0.2</f>
        <v>0.4</v>
      </c>
      <c r="AB43" s="99">
        <f>'【国内】问卷调研-数据源（P3单独执行） '!AC43*0.6</f>
        <v>1.98</v>
      </c>
      <c r="AC43" s="99">
        <f t="shared" si="10"/>
        <v>2.58416666666667</v>
      </c>
      <c r="AD43" s="274">
        <f>'【国内】问卷调研-数据源（P3单独执行） '!AD43*1.3</f>
        <v>2.99</v>
      </c>
      <c r="AE43" s="275">
        <f>'【国内】问卷调研-数据源（P3单独执行） '!AE43</f>
        <v>11.4518950437318</v>
      </c>
      <c r="AG43" s="276"/>
      <c r="AH43" s="1">
        <v>2401</v>
      </c>
      <c r="AI43" s="99">
        <f>'【国内】问卷调研-数据源（P3单独执行） '!AI43+0.2</f>
        <v>0.4</v>
      </c>
      <c r="AJ43" s="99">
        <f>'【国内】问卷调研-数据源（P3单独执行） '!AK43*0.6</f>
        <v>2.04</v>
      </c>
      <c r="AK43" s="99">
        <f t="shared" si="14"/>
        <v>2.69</v>
      </c>
      <c r="AL43" s="274">
        <f>'【国内】问卷调研-数据源（P3单独执行） '!AL43*1.3</f>
        <v>3.12</v>
      </c>
      <c r="AM43" s="275">
        <f>'【国内】问卷调研-数据源（P3单独执行） '!AM43</f>
        <v>12.6059975010412</v>
      </c>
      <c r="AO43" s="276"/>
      <c r="AP43" s="1">
        <v>2401</v>
      </c>
      <c r="AQ43" s="99">
        <f>'【国内】问卷调研-数据源（P3单独执行） '!AQ43+0.2</f>
        <v>0.4</v>
      </c>
      <c r="AR43" s="99">
        <f>'【国内】问卷调研-数据源（P3单独执行） '!AS43*0.6</f>
        <v>2.1</v>
      </c>
      <c r="AS43" s="99">
        <f t="shared" si="15"/>
        <v>2.79583333333333</v>
      </c>
      <c r="AT43" s="274">
        <f>'【国内】问卷调研-数据源（P3单独执行） '!AT43*1.3</f>
        <v>3.25</v>
      </c>
      <c r="AU43" s="275">
        <f>'【国内】问卷调研-数据源（P3单独执行） '!AU43</f>
        <v>13.7600999583507</v>
      </c>
      <c r="AV43" s="1"/>
      <c r="AW43" s="276"/>
      <c r="AX43" s="1">
        <v>2401</v>
      </c>
      <c r="AY43" s="99">
        <f>'【国内】问卷调研-数据源（P3单独执行） '!AY43+0.2</f>
        <v>0.4</v>
      </c>
      <c r="AZ43" s="99">
        <f>'【国内】问卷调研-数据源（P3单独执行） '!BA43*0.6</f>
        <v>2.16</v>
      </c>
      <c r="BA43" s="99">
        <f t="shared" si="16"/>
        <v>2.90166666666667</v>
      </c>
      <c r="BB43" s="274">
        <f>'【国内】问卷调研-数据源（P3单独执行） '!BB43*1.3</f>
        <v>3.38</v>
      </c>
      <c r="BC43" s="275">
        <f>'【国内】问卷调研-数据源（P3单独执行） '!BC43</f>
        <v>14.9142024156601</v>
      </c>
    </row>
    <row r="44" spans="1:55">
      <c r="A44" s="1" t="s">
        <v>121</v>
      </c>
      <c r="B44" s="1">
        <v>2601</v>
      </c>
      <c r="C44" s="99">
        <f>'【国内】问卷调研-数据源（P3单独执行） '!C44+0.2</f>
        <v>0.5</v>
      </c>
      <c r="D44" s="99">
        <f>'【国内】问卷调研-数据源（P3单独执行） '!E44*0.6</f>
        <v>1.86</v>
      </c>
      <c r="E44" s="99">
        <f t="shared" si="7"/>
        <v>2.38</v>
      </c>
      <c r="F44" s="274">
        <f>'【国内】问卷调研-数据源（P3单独执行） '!F44*1.3</f>
        <v>2.6</v>
      </c>
      <c r="G44" s="275">
        <f>'【国内】问卷调研-数据源（P3单独执行） '!G44</f>
        <v>7.96347558631296</v>
      </c>
      <c r="I44" s="276"/>
      <c r="J44" s="1">
        <v>2601</v>
      </c>
      <c r="K44" s="99">
        <f>'【国内】问卷调研-数据源（P3单独执行） '!K44+0.2</f>
        <v>0.5</v>
      </c>
      <c r="L44" s="99">
        <f>'【国内】问卷调研-数据源（P3单独执行） '!M44*0.6</f>
        <v>1.92</v>
      </c>
      <c r="M44" s="99">
        <f t="shared" si="8"/>
        <v>2.48583333333333</v>
      </c>
      <c r="N44" s="274">
        <f>'【国内】问卷调研-数据源（P3单独执行） '!N44*1.3</f>
        <v>2.73</v>
      </c>
      <c r="O44" s="275">
        <f>'【国内】问卷调研-数据源（P3单独执行） '!O44</f>
        <v>9.10572856593618</v>
      </c>
      <c r="Q44" s="276"/>
      <c r="R44" s="1">
        <v>2601</v>
      </c>
      <c r="S44" s="99">
        <f>'【国内】问卷调研-数据源（P3单独执行） '!S44+0.2</f>
        <v>0.5</v>
      </c>
      <c r="T44" s="99">
        <f>'【国内】问卷调研-数据源（P3单独执行） '!U44*0.6</f>
        <v>1.98</v>
      </c>
      <c r="U44" s="99">
        <f t="shared" si="9"/>
        <v>2.59166666666667</v>
      </c>
      <c r="V44" s="274">
        <f>'【国内】问卷调研-数据源（P3单独执行） '!V44*1.3</f>
        <v>2.86</v>
      </c>
      <c r="W44" s="275">
        <f>'【国内】问卷调研-数据源（P3单独执行） '!W44</f>
        <v>10.2479815455594</v>
      </c>
      <c r="Y44" s="276"/>
      <c r="Z44" s="1">
        <v>2601</v>
      </c>
      <c r="AA44" s="99">
        <f>'【国内】问卷调研-数据源（P3单独执行） '!AA44+0.2</f>
        <v>0.5</v>
      </c>
      <c r="AB44" s="99">
        <f>'【国内】问卷调研-数据源（P3单独执行） '!AC44*0.6</f>
        <v>2.04</v>
      </c>
      <c r="AC44" s="99">
        <f t="shared" si="10"/>
        <v>2.6975</v>
      </c>
      <c r="AD44" s="274">
        <f>'【国内】问卷调研-数据源（P3单独执行） '!AD44*1.3</f>
        <v>2.99</v>
      </c>
      <c r="AE44" s="275">
        <f>'【国内】问卷调研-数据源（P3单独执行） '!AE44</f>
        <v>11.3902345251826</v>
      </c>
      <c r="AG44" s="276"/>
      <c r="AH44" s="1">
        <v>2601</v>
      </c>
      <c r="AI44" s="99">
        <f>'【国内】问卷调研-数据源（P3单独执行） '!AI44+0.2</f>
        <v>0.5</v>
      </c>
      <c r="AJ44" s="99">
        <f>'【国内】问卷调研-数据源（P3单独执行） '!AK44*0.6</f>
        <v>2.1</v>
      </c>
      <c r="AK44" s="99">
        <f t="shared" si="14"/>
        <v>2.80333333333333</v>
      </c>
      <c r="AL44" s="274">
        <f>'【国内】问卷调研-数据源（P3单独执行） '!AL44*1.3</f>
        <v>3.12</v>
      </c>
      <c r="AM44" s="275">
        <f>'【国内】问卷调研-数据源（P3单独执行） '!AM44</f>
        <v>12.5324875048058</v>
      </c>
      <c r="AO44" s="276"/>
      <c r="AP44" s="1">
        <v>2601</v>
      </c>
      <c r="AQ44" s="99">
        <f>'【国内】问卷调研-数据源（P3单独执行） '!AQ44+0.2</f>
        <v>0.5</v>
      </c>
      <c r="AR44" s="99">
        <f>'【国内】问卷调研-数据源（P3单独执行） '!AS44*0.6</f>
        <v>2.16</v>
      </c>
      <c r="AS44" s="99">
        <f t="shared" si="15"/>
        <v>2.90916666666667</v>
      </c>
      <c r="AT44" s="274">
        <f>'【国内】问卷调研-数据源（P3单独执行） '!AT44*1.3</f>
        <v>3.25</v>
      </c>
      <c r="AU44" s="275">
        <f>'【国内】问卷调研-数据源（P3单独执行） '!AU44</f>
        <v>13.6747404844291</v>
      </c>
      <c r="AV44" s="1"/>
      <c r="AW44" s="276"/>
      <c r="AX44" s="1">
        <v>2601</v>
      </c>
      <c r="AY44" s="99">
        <f>'【国内】问卷调研-数据源（P3单独执行） '!AY44+0.2</f>
        <v>0.5</v>
      </c>
      <c r="AZ44" s="99">
        <f>'【国内】问卷调研-数据源（P3单独执行） '!BA44*0.6</f>
        <v>2.22</v>
      </c>
      <c r="BA44" s="99">
        <f t="shared" si="16"/>
        <v>3.015</v>
      </c>
      <c r="BB44" s="274">
        <f>'【国内】问卷调研-数据源（P3单独执行） '!BB44*1.3</f>
        <v>3.38</v>
      </c>
      <c r="BC44" s="275">
        <f>'【国内】问卷调研-数据源（P3单独执行） '!BC44</f>
        <v>14.8169934640523</v>
      </c>
    </row>
    <row r="45" spans="1:55">
      <c r="A45" s="1" t="s">
        <v>122</v>
      </c>
      <c r="B45" s="1">
        <v>2801</v>
      </c>
      <c r="C45" s="99">
        <f>'【国内】问卷调研-数据源（P3单独执行） '!C45+0.2</f>
        <v>0.5</v>
      </c>
      <c r="D45" s="99">
        <f>'【国内】问卷调研-数据源（P3单独执行） '!E45*0.6</f>
        <v>2.1</v>
      </c>
      <c r="E45" s="99">
        <f t="shared" si="7"/>
        <v>2.83333333333333</v>
      </c>
      <c r="F45" s="274">
        <f>'【国内】问卷调研-数据源（P3单独执行） '!F45*1.3</f>
        <v>2.6</v>
      </c>
      <c r="G45" s="275">
        <f>'【国内】问卷调研-数据源（P3单独执行） '!G45</f>
        <v>8.09460906818993</v>
      </c>
      <c r="I45" s="276"/>
      <c r="J45" s="1">
        <v>2801</v>
      </c>
      <c r="K45" s="99">
        <f>'【国内】问卷调研-数据源（P3单独执行） '!K45+0.2</f>
        <v>0.5</v>
      </c>
      <c r="L45" s="99">
        <f>'【国内】问卷调研-数据源（P3单独执行） '!M45*0.6</f>
        <v>2.16</v>
      </c>
      <c r="M45" s="99">
        <f t="shared" si="8"/>
        <v>2.93916666666667</v>
      </c>
      <c r="N45" s="274">
        <f>'【国内】问卷调研-数据源（P3单独执行） '!N45*1.3</f>
        <v>2.73</v>
      </c>
      <c r="O45" s="275">
        <f>'【国内】问卷调研-数据源（P3单独执行） '!O45</f>
        <v>9.22670474830418</v>
      </c>
      <c r="Q45" s="276"/>
      <c r="R45" s="1">
        <v>2801</v>
      </c>
      <c r="S45" s="99">
        <f>'【国内】问卷调研-数据源（P3单独执行） '!S45+0.2</f>
        <v>0.5</v>
      </c>
      <c r="T45" s="99">
        <f>'【国内】问卷调研-数据源（P3单独执行） '!U45*0.6</f>
        <v>2.22</v>
      </c>
      <c r="U45" s="99">
        <f t="shared" si="9"/>
        <v>3.045</v>
      </c>
      <c r="V45" s="274">
        <f>'【国内】问卷调研-数据源（P3单独执行） '!V45*1.3</f>
        <v>2.86</v>
      </c>
      <c r="W45" s="275">
        <f>'【国内】问卷调研-数据源（P3单独执行） '!W45</f>
        <v>10.3588004284184</v>
      </c>
      <c r="Y45" s="276"/>
      <c r="Z45" s="1">
        <v>2801</v>
      </c>
      <c r="AA45" s="99">
        <f>'【国内】问卷调研-数据源（P3单独执行） '!AA45+0.2</f>
        <v>0.5</v>
      </c>
      <c r="AB45" s="99">
        <f>'【国内】问卷调研-数据源（P3单独执行） '!AC45*0.6</f>
        <v>2.28</v>
      </c>
      <c r="AC45" s="99">
        <f t="shared" si="10"/>
        <v>3.15083333333333</v>
      </c>
      <c r="AD45" s="274">
        <f>'【国内】问卷调研-数据源（P3单独执行） '!AD45*1.3</f>
        <v>2.99</v>
      </c>
      <c r="AE45" s="275">
        <f>'【国内】问卷调研-数据源（P3单独执行） '!AE45</f>
        <v>11.4908961085327</v>
      </c>
      <c r="AG45" s="276"/>
      <c r="AH45" s="1">
        <v>2801</v>
      </c>
      <c r="AI45" s="99">
        <f>'【国内】问卷调研-数据源（P3单独执行） '!AI45+0.2</f>
        <v>0.5</v>
      </c>
      <c r="AJ45" s="99">
        <f>'【国内】问卷调研-数据源（P3单独执行） '!AK45*0.6</f>
        <v>2.34</v>
      </c>
      <c r="AK45" s="99">
        <f t="shared" si="14"/>
        <v>3.25666666666667</v>
      </c>
      <c r="AL45" s="274">
        <f>'【国内】问卷调研-数据源（P3单独执行） '!AL45*1.3</f>
        <v>3.12</v>
      </c>
      <c r="AM45" s="275">
        <f>'【国内】问卷调研-数据源（P3单独执行） '!AM45</f>
        <v>12.6229917886469</v>
      </c>
      <c r="AO45" s="276"/>
      <c r="AP45" s="1">
        <v>2801</v>
      </c>
      <c r="AQ45" s="99">
        <f>'【国内】问卷调研-数据源（P3单独执行） '!AQ45+0.2</f>
        <v>0.5</v>
      </c>
      <c r="AR45" s="99">
        <f>'【国内】问卷调研-数据源（P3单独执行） '!AS45*0.6</f>
        <v>2.4</v>
      </c>
      <c r="AS45" s="99">
        <f t="shared" si="15"/>
        <v>3.3625</v>
      </c>
      <c r="AT45" s="274">
        <f>'【国内】问卷调研-数据源（P3单独执行） '!AT45*1.3</f>
        <v>3.25</v>
      </c>
      <c r="AU45" s="275">
        <f>'【国内】问卷调研-数据源（P3单独执行） '!AU45</f>
        <v>13.7550874687612</v>
      </c>
      <c r="AV45" s="1"/>
      <c r="AW45" s="276"/>
      <c r="AX45" s="1">
        <v>2801</v>
      </c>
      <c r="AY45" s="99">
        <f>'【国内】问卷调研-数据源（P3单独执行） '!AY45+0.2</f>
        <v>0.5</v>
      </c>
      <c r="AZ45" s="99">
        <f>'【国内】问卷调研-数据源（P3单独执行） '!BA45*0.6</f>
        <v>2.46</v>
      </c>
      <c r="BA45" s="99">
        <f t="shared" si="16"/>
        <v>3.46833333333333</v>
      </c>
      <c r="BB45" s="274">
        <f>'【国内】问卷调研-数据源（P3单独执行） '!BB45*1.3</f>
        <v>3.38</v>
      </c>
      <c r="BC45" s="275">
        <f>'【国内】问卷调研-数据源（P3单独执行） '!BC45</f>
        <v>14.8871831488754</v>
      </c>
    </row>
    <row r="46" spans="1:55">
      <c r="I46" s="269"/>
      <c r="Q46" s="269"/>
      <c r="Y46" s="269"/>
      <c r="AG46" s="269"/>
      <c r="AO46" s="269"/>
      <c r="AW46" s="269"/>
    </row>
    <row r="47" s="266" customFormat="1" spans="1:55">
      <c r="B47" s="172" t="s">
        <v>91</v>
      </c>
      <c r="C47" s="172" t="s">
        <v>4</v>
      </c>
      <c r="D47" s="172"/>
      <c r="E47" s="172"/>
      <c r="F47" s="172"/>
      <c r="G47" s="172"/>
      <c r="H47" s="172"/>
      <c r="I47" s="172"/>
      <c r="J47" s="172" t="s">
        <v>91</v>
      </c>
      <c r="K47" s="172"/>
      <c r="L47" s="172" t="s">
        <v>4</v>
      </c>
      <c r="M47" s="172"/>
      <c r="N47" s="172"/>
      <c r="O47" s="172"/>
      <c r="P47" s="172"/>
      <c r="Q47" s="172"/>
      <c r="R47" s="172" t="s">
        <v>91</v>
      </c>
      <c r="S47" s="172"/>
      <c r="T47" s="172" t="s">
        <v>4</v>
      </c>
      <c r="U47" s="172"/>
      <c r="V47" s="172"/>
      <c r="W47" s="172"/>
      <c r="X47" s="172"/>
      <c r="Y47" s="172"/>
      <c r="Z47" s="172" t="s">
        <v>91</v>
      </c>
      <c r="AA47" s="172"/>
      <c r="AB47" s="172" t="s">
        <v>4</v>
      </c>
      <c r="AC47" s="172"/>
      <c r="AD47" s="172"/>
      <c r="AE47" s="172"/>
      <c r="AF47" s="172"/>
      <c r="AG47" s="172"/>
      <c r="AH47" s="172" t="s">
        <v>91</v>
      </c>
      <c r="AI47" s="172"/>
      <c r="AJ47" s="172" t="s">
        <v>4</v>
      </c>
      <c r="AK47" s="172"/>
      <c r="AL47" s="172"/>
      <c r="AM47" s="172"/>
      <c r="AN47" s="172"/>
      <c r="AO47" s="172"/>
      <c r="AP47" s="172" t="s">
        <v>91</v>
      </c>
      <c r="AQ47" s="172"/>
      <c r="AR47" s="172" t="s">
        <v>4</v>
      </c>
      <c r="AS47" s="172"/>
      <c r="AT47" s="274"/>
      <c r="AU47" s="274"/>
      <c r="AV47" s="274"/>
      <c r="AW47" s="172"/>
      <c r="AX47" s="172" t="s">
        <v>91</v>
      </c>
      <c r="AY47" s="172"/>
      <c r="AZ47" s="172" t="s">
        <v>4</v>
      </c>
      <c r="BA47" s="172"/>
      <c r="BB47" s="274"/>
    </row>
    <row r="48" s="266" customFormat="1" spans="1:55">
      <c r="B48" s="172" t="s">
        <v>92</v>
      </c>
      <c r="C48" s="172" t="s">
        <v>93</v>
      </c>
      <c r="D48" s="172"/>
      <c r="E48" s="172"/>
      <c r="F48" s="172"/>
      <c r="G48" s="172"/>
      <c r="H48" s="172"/>
      <c r="I48" s="172"/>
      <c r="J48" s="172" t="s">
        <v>92</v>
      </c>
      <c r="K48" s="172"/>
      <c r="L48" s="172" t="s">
        <v>94</v>
      </c>
      <c r="M48" s="172"/>
      <c r="N48" s="172"/>
      <c r="O48" s="172"/>
      <c r="P48" s="172"/>
      <c r="Q48" s="172"/>
      <c r="R48" s="172" t="s">
        <v>92</v>
      </c>
      <c r="S48" s="172"/>
      <c r="T48" s="172" t="s">
        <v>95</v>
      </c>
      <c r="U48" s="172"/>
      <c r="V48" s="172"/>
      <c r="W48" s="277">
        <v>13</v>
      </c>
      <c r="X48" s="172"/>
      <c r="Y48" s="172"/>
      <c r="Z48" s="172" t="s">
        <v>92</v>
      </c>
      <c r="AA48" s="172"/>
      <c r="AB48" s="172" t="s">
        <v>96</v>
      </c>
      <c r="AC48" s="172"/>
      <c r="AD48" s="172"/>
      <c r="AE48" s="172"/>
      <c r="AF48" s="172"/>
      <c r="AG48" s="172"/>
      <c r="AH48" s="172" t="s">
        <v>92</v>
      </c>
      <c r="AI48" s="172"/>
      <c r="AJ48" s="172" t="s">
        <v>97</v>
      </c>
      <c r="AK48" s="172"/>
      <c r="AL48" s="172"/>
      <c r="AM48" s="172"/>
      <c r="AN48" s="172"/>
      <c r="AO48" s="172"/>
      <c r="AP48" s="172" t="s">
        <v>92</v>
      </c>
      <c r="AQ48" s="172"/>
      <c r="AR48" s="172" t="s">
        <v>98</v>
      </c>
      <c r="AS48" s="172"/>
      <c r="AT48" s="274"/>
      <c r="AU48" s="274"/>
      <c r="AV48" s="274"/>
      <c r="AW48" s="172"/>
      <c r="AX48" s="172" t="s">
        <v>92</v>
      </c>
      <c r="AY48" s="172"/>
      <c r="AZ48" s="172" t="s">
        <v>99</v>
      </c>
      <c r="BA48" s="172"/>
      <c r="BB48" s="274"/>
    </row>
    <row r="49" s="266" customFormat="1" spans="1:55">
      <c r="B49" s="172" t="s">
        <v>100</v>
      </c>
      <c r="C49" s="172"/>
      <c r="D49" s="172">
        <v>5</v>
      </c>
      <c r="E49" s="172"/>
      <c r="F49" s="278"/>
      <c r="G49" s="278">
        <f>AVERAGE(G53:G68)</f>
        <v>13.4659698814059</v>
      </c>
      <c r="H49" s="278"/>
      <c r="I49" s="172"/>
      <c r="J49" s="172" t="s">
        <v>100</v>
      </c>
      <c r="K49" s="172"/>
      <c r="L49" s="172">
        <v>6</v>
      </c>
      <c r="M49" s="172"/>
      <c r="N49" s="278"/>
      <c r="O49" s="278">
        <f>AVERAGE(O53:O68)</f>
        <v>15.1737777251672</v>
      </c>
      <c r="P49" s="278"/>
      <c r="Q49" s="172"/>
      <c r="R49" s="172" t="s">
        <v>100</v>
      </c>
      <c r="S49" s="172"/>
      <c r="T49" s="172">
        <v>7</v>
      </c>
      <c r="U49" s="172"/>
      <c r="V49" s="278"/>
      <c r="W49" s="275">
        <f>AVERAGE(W53:W68)</f>
        <v>16.8344157576077</v>
      </c>
      <c r="X49" s="278"/>
      <c r="Y49" s="172"/>
      <c r="Z49" s="172" t="s">
        <v>100</v>
      </c>
      <c r="AA49" s="172"/>
      <c r="AB49" s="172">
        <v>8</v>
      </c>
      <c r="AC49" s="172"/>
      <c r="AD49" s="278"/>
      <c r="AE49" s="275">
        <f>AVERAGE(AE53:AE68)</f>
        <v>18.4950537900482</v>
      </c>
      <c r="AF49" s="278"/>
      <c r="AG49" s="172"/>
      <c r="AH49" s="172" t="s">
        <v>100</v>
      </c>
      <c r="AI49" s="172"/>
      <c r="AJ49" s="172">
        <v>9</v>
      </c>
      <c r="AK49" s="172"/>
      <c r="AL49" s="278"/>
      <c r="AM49" s="275">
        <f>AVERAGE(AM53:AM68)</f>
        <v>20.1556918224887</v>
      </c>
      <c r="AN49" s="278"/>
      <c r="AO49" s="172"/>
      <c r="AP49" s="172" t="s">
        <v>100</v>
      </c>
      <c r="AQ49" s="172"/>
      <c r="AR49" s="172">
        <v>10</v>
      </c>
      <c r="AS49" s="172"/>
      <c r="AT49" s="279"/>
      <c r="AU49" s="275">
        <f>AVERAGE(AU53:AU68)</f>
        <v>21.8163298549292</v>
      </c>
      <c r="AV49" s="279"/>
      <c r="AW49" s="172"/>
      <c r="AX49" s="172" t="s">
        <v>100</v>
      </c>
      <c r="AY49" s="172"/>
      <c r="AZ49" s="172">
        <v>11</v>
      </c>
      <c r="BA49" s="172"/>
      <c r="BB49" s="279"/>
      <c r="BC49" s="275">
        <f>AVERAGE(BC53:BC68)</f>
        <v>23.4769678873697</v>
      </c>
    </row>
    <row r="50" s="266" customFormat="1" spans="1:55">
      <c r="B50" s="172" t="s">
        <v>101</v>
      </c>
      <c r="C50" s="1" t="s">
        <v>8</v>
      </c>
      <c r="D50" s="1" t="s">
        <v>9</v>
      </c>
      <c r="E50" s="1" t="s">
        <v>10</v>
      </c>
      <c r="F50" s="172" t="s">
        <v>103</v>
      </c>
      <c r="G50" s="172" t="s">
        <v>104</v>
      </c>
      <c r="H50" s="172" t="s">
        <v>105</v>
      </c>
      <c r="I50" s="172"/>
      <c r="J50" s="172" t="s">
        <v>101</v>
      </c>
      <c r="K50" s="1" t="s">
        <v>8</v>
      </c>
      <c r="L50" s="1" t="s">
        <v>9</v>
      </c>
      <c r="M50" s="1" t="s">
        <v>10</v>
      </c>
      <c r="N50" s="172" t="s">
        <v>103</v>
      </c>
      <c r="O50" s="172"/>
      <c r="P50" s="172"/>
      <c r="Q50" s="172"/>
      <c r="R50" s="172" t="s">
        <v>101</v>
      </c>
      <c r="S50" s="1" t="s">
        <v>8</v>
      </c>
      <c r="T50" s="1" t="s">
        <v>9</v>
      </c>
      <c r="U50" s="1" t="s">
        <v>10</v>
      </c>
      <c r="V50" s="172" t="s">
        <v>103</v>
      </c>
      <c r="W50" s="172" t="s">
        <v>104</v>
      </c>
      <c r="X50" s="172"/>
      <c r="Y50" s="172"/>
      <c r="Z50" s="172" t="s">
        <v>101</v>
      </c>
      <c r="AA50" s="1" t="s">
        <v>8</v>
      </c>
      <c r="AB50" s="1" t="s">
        <v>9</v>
      </c>
      <c r="AC50" s="1" t="s">
        <v>10</v>
      </c>
      <c r="AD50" s="172" t="s">
        <v>103</v>
      </c>
      <c r="AE50" s="172"/>
      <c r="AF50" s="172"/>
      <c r="AG50" s="172"/>
      <c r="AH50" s="172" t="s">
        <v>101</v>
      </c>
      <c r="AI50" s="1" t="s">
        <v>8</v>
      </c>
      <c r="AJ50" s="1" t="s">
        <v>9</v>
      </c>
      <c r="AK50" s="1" t="s">
        <v>10</v>
      </c>
      <c r="AL50" s="172" t="s">
        <v>103</v>
      </c>
      <c r="AM50" s="172"/>
      <c r="AN50" s="172"/>
      <c r="AO50" s="172"/>
      <c r="AP50" s="172" t="s">
        <v>101</v>
      </c>
      <c r="AQ50" s="1" t="s">
        <v>8</v>
      </c>
      <c r="AR50" s="1" t="s">
        <v>9</v>
      </c>
      <c r="AS50" s="1" t="s">
        <v>10</v>
      </c>
      <c r="AT50" s="172" t="s">
        <v>103</v>
      </c>
      <c r="AU50" s="274"/>
      <c r="AV50" s="274"/>
      <c r="AW50" s="172"/>
      <c r="AX50" s="172" t="s">
        <v>101</v>
      </c>
      <c r="AY50" s="1" t="s">
        <v>8</v>
      </c>
      <c r="AZ50" s="1" t="s">
        <v>9</v>
      </c>
      <c r="BA50" s="1" t="s">
        <v>10</v>
      </c>
      <c r="BB50" s="172" t="s">
        <v>103</v>
      </c>
    </row>
    <row r="51" s="266" customFormat="1" spans="1:55">
      <c r="B51" s="172">
        <v>0</v>
      </c>
      <c r="C51" s="99">
        <v>0</v>
      </c>
      <c r="D51" s="99">
        <f>'【国内】问卷调研-数据源（P3单独执行） '!E51*0.4</f>
        <v>0</v>
      </c>
      <c r="E51" s="99" t="e">
        <f t="shared" ref="E51:E56" si="17">(G51*B51-$D$49*B51-C51*5900-D51*3400-F51*300)/1200</f>
        <v>#DIV/0!</v>
      </c>
      <c r="F51" s="274">
        <f>'【国内】问卷调研-数据源（P3单独执行） '!F51*1.3</f>
        <v>0</v>
      </c>
      <c r="G51" s="275" t="e">
        <f>'【国内】问卷调研-数据源（P3单独执行） '!G51</f>
        <v>#DIV/0!</v>
      </c>
      <c r="H51" s="172"/>
      <c r="I51" s="172"/>
      <c r="J51" s="172">
        <v>0</v>
      </c>
      <c r="K51" s="99">
        <v>0</v>
      </c>
      <c r="L51" s="99">
        <f>'【国内】问卷调研-数据源（P3单独执行） '!M51*0.4</f>
        <v>0</v>
      </c>
      <c r="M51" s="99" t="e">
        <f>(O51*J51-$L$49*J51-K51*5900-L51*3400-N51*300)/1200</f>
        <v>#DIV/0!</v>
      </c>
      <c r="N51" s="274">
        <f>'【国内】问卷调研-数据源（P3单独执行） '!N51*1.3</f>
        <v>0</v>
      </c>
      <c r="O51" s="275" t="e">
        <f>'【国内】问卷调研-数据源（P3单独执行） '!O51</f>
        <v>#DIV/0!</v>
      </c>
      <c r="P51" s="172"/>
      <c r="Q51" s="172"/>
      <c r="R51" s="172">
        <v>0</v>
      </c>
      <c r="S51" s="99">
        <v>0</v>
      </c>
      <c r="T51" s="99">
        <f>'【国内】问卷调研-数据源（P3单独执行） '!U51*0.4</f>
        <v>0</v>
      </c>
      <c r="U51" s="99">
        <f>(W51*R51-$T$49*R51-S51*5900-T51*3400-V51*300)/1200</f>
        <v>0</v>
      </c>
      <c r="V51" s="274">
        <f>'【国内】问卷调研-数据源（P3单独执行） '!V51*1.3</f>
        <v>0</v>
      </c>
      <c r="W51" s="275">
        <f>'【国内】问卷调研-数据源（P3单独执行） '!W51</f>
        <v>0</v>
      </c>
      <c r="X51" s="172"/>
      <c r="Y51" s="172"/>
      <c r="Z51" s="172">
        <v>0</v>
      </c>
      <c r="AA51" s="99">
        <v>0</v>
      </c>
      <c r="AB51" s="99">
        <f>'【国内】问卷调研-数据源（P3单独执行） '!AC51*0.4</f>
        <v>0.04</v>
      </c>
      <c r="AC51" s="99">
        <f>(AE51*Z51-$AB$49*Z51-AA51*5900-AB51*3400-AD51*300)/1200</f>
        <v>-0.145833333333333</v>
      </c>
      <c r="AD51" s="274">
        <f>'【国内】问卷调研-数据源（P3单独执行） '!AD51*1.3</f>
        <v>0.13</v>
      </c>
      <c r="AE51" s="275">
        <f>'【国内】问卷调研-数据源（P3单独执行） '!AE51</f>
        <v>0</v>
      </c>
      <c r="AF51" s="172"/>
      <c r="AG51" s="172"/>
      <c r="AH51" s="172">
        <v>0</v>
      </c>
      <c r="AI51" s="99">
        <v>0</v>
      </c>
      <c r="AJ51" s="99">
        <f>'【国内】问卷调研-数据源（P3单独执行） '!AK51*0.4</f>
        <v>0.08</v>
      </c>
      <c r="AK51" s="99" t="e">
        <f>(AM51*AH51-$AJ$49*AH51-AI51*5900-AJ51*3400-AL51*300)/1200</f>
        <v>#DIV/0!</v>
      </c>
      <c r="AL51" s="274">
        <f>'【国内】问卷调研-数据源（P3单独执行） '!AL51*1.3</f>
        <v>0.26</v>
      </c>
      <c r="AM51" s="275" t="e">
        <f>'【国内】问卷调研-数据源（P3单独执行） '!AM51</f>
        <v>#DIV/0!</v>
      </c>
      <c r="AN51" s="172"/>
      <c r="AO51" s="172"/>
      <c r="AP51" s="172">
        <v>0</v>
      </c>
      <c r="AQ51" s="99">
        <v>0</v>
      </c>
      <c r="AR51" s="99">
        <f>'【国内】问卷调研-数据源（P3单独执行） '!AS51*0.4</f>
        <v>0.12</v>
      </c>
      <c r="AS51" s="99" t="e">
        <f>(AU51*AP51-$AR$49*AP51-AQ51*5900-AR51*3400-AT51*300)/1200</f>
        <v>#DIV/0!</v>
      </c>
      <c r="AT51" s="274">
        <f>'【国内】问卷调研-数据源（P3单独执行） '!AT51*1.3</f>
        <v>0.39</v>
      </c>
      <c r="AU51" s="275" t="e">
        <f>'【国内】问卷调研-数据源（P3单独执行） '!AU51</f>
        <v>#DIV/0!</v>
      </c>
      <c r="AV51" s="172"/>
      <c r="AW51" s="172"/>
      <c r="AX51" s="172">
        <v>0</v>
      </c>
      <c r="AY51" s="99">
        <v>0</v>
      </c>
      <c r="AZ51" s="99">
        <f>'【国内】问卷调研-数据源（P3单独执行） '!BA51*0.4</f>
        <v>0.16</v>
      </c>
      <c r="BA51" s="99" t="e">
        <f>(BC51*AX51-$AZ$49*AX51-AY51*5900-AZ51*3400-BB51*300)/1200</f>
        <v>#DIV/0!</v>
      </c>
      <c r="BB51" s="274">
        <f>'【国内】问卷调研-数据源（P3单独执行） '!BB51*1.3</f>
        <v>0.52</v>
      </c>
      <c r="BC51" s="275" t="e">
        <f>'【国内】问卷调研-数据源（P3单独执行） '!BC51</f>
        <v>#DIV/0!</v>
      </c>
    </row>
    <row r="52" s="266" customFormat="1" spans="1:55">
      <c r="A52" s="172" t="s">
        <v>106</v>
      </c>
      <c r="B52" s="172">
        <v>1</v>
      </c>
      <c r="C52" s="99">
        <v>0</v>
      </c>
      <c r="D52" s="99">
        <f>'【国内】问卷调研-数据源（P3单独执行） '!E52*0.4</f>
        <v>0.2</v>
      </c>
      <c r="E52" s="99">
        <f t="shared" si="17"/>
        <v>0.805</v>
      </c>
      <c r="F52" s="274">
        <f>'【国内】问卷调研-数据源（P3单独执行） '!F52*1.3</f>
        <v>0.78</v>
      </c>
      <c r="G52" s="275">
        <f>'【国内】问卷调研-数据源（P3单独执行） '!G52</f>
        <v>1885</v>
      </c>
      <c r="H52" s="172"/>
      <c r="I52" s="275"/>
      <c r="J52" s="172">
        <v>1</v>
      </c>
      <c r="K52" s="99">
        <v>0</v>
      </c>
      <c r="L52" s="99">
        <f>'【国内】问卷调研-数据源（P3单独执行） '!M52*0.4</f>
        <v>0.24</v>
      </c>
      <c r="M52" s="99">
        <f>(O52*J52-$L$49*J52-K52*5900-L52*3400-N52*300)/1200</f>
        <v>0.9675</v>
      </c>
      <c r="N52" s="274">
        <f>'【国内】问卷调研-数据源（P3单独执行） '!N52*1.3</f>
        <v>0.91</v>
      </c>
      <c r="O52" s="275">
        <f>'【国内】问卷调研-数据源（P3单独执行） '!O52</f>
        <v>2256</v>
      </c>
      <c r="P52" s="274">
        <f>(K52*5900+L52*3400+M52*1200+N52*300+J52*$L$49)/J52</f>
        <v>2256</v>
      </c>
      <c r="Q52" s="275"/>
      <c r="R52" s="172">
        <v>1</v>
      </c>
      <c r="S52" s="99">
        <v>0</v>
      </c>
      <c r="T52" s="99">
        <f>'【国内】问卷调研-数据源（P3单独执行） '!U52*0.4</f>
        <v>0.28</v>
      </c>
      <c r="U52" s="99">
        <f t="shared" ref="U52:U68" si="18">(W52*R52-$T$49*R52-S52*5900-T52*3400-V52*300)/1200</f>
        <v>1.13</v>
      </c>
      <c r="V52" s="274">
        <f>'【国内】问卷调研-数据源（P3单独执行） '!V52*1.3</f>
        <v>1.04</v>
      </c>
      <c r="W52" s="275">
        <f>'【国内】问卷调研-数据源（P3单独执行） '!W52</f>
        <v>2627</v>
      </c>
      <c r="X52" s="172"/>
      <c r="Y52" s="275"/>
      <c r="Z52" s="172">
        <v>1</v>
      </c>
      <c r="AA52" s="99">
        <v>0</v>
      </c>
      <c r="AB52" s="99">
        <f>'【国内】问卷调研-数据源（P3单独执行） '!AC52*0.4</f>
        <v>0.32</v>
      </c>
      <c r="AC52" s="99">
        <f t="shared" ref="AC52:AC61" si="19">(AE52*Z52-$AB$49*Z52-AA52*5900-AB52*3400-AD52*300)/1200</f>
        <v>1.2925</v>
      </c>
      <c r="AD52" s="274">
        <f>'【国内】问卷调研-数据源（P3单独执行） '!AD52*1.3</f>
        <v>1.17</v>
      </c>
      <c r="AE52" s="275">
        <f>'【国内】问卷调研-数据源（P3单独执行） '!AE52</f>
        <v>2998</v>
      </c>
      <c r="AF52" s="172"/>
      <c r="AG52" s="275"/>
      <c r="AH52" s="172">
        <v>1</v>
      </c>
      <c r="AI52" s="99">
        <v>0</v>
      </c>
      <c r="AJ52" s="99">
        <f>'【国内】问卷调研-数据源（P3单独执行） '!AK52*0.4</f>
        <v>0.36</v>
      </c>
      <c r="AK52" s="99">
        <f t="shared" ref="AK52:AK61" si="20">(AM52*AH52-$AJ$49*AH52-AI52*5900-AJ52*3400-AL52*300)/1200</f>
        <v>1.455</v>
      </c>
      <c r="AL52" s="274">
        <f>'【国内】问卷调研-数据源（P3单独执行） '!AL52*1.3</f>
        <v>1.3</v>
      </c>
      <c r="AM52" s="275">
        <f>'【国内】问卷调研-数据源（P3单独执行） '!AM52</f>
        <v>3369</v>
      </c>
      <c r="AN52" s="172"/>
      <c r="AO52" s="275"/>
      <c r="AP52" s="172">
        <v>1</v>
      </c>
      <c r="AQ52" s="99">
        <v>0</v>
      </c>
      <c r="AR52" s="99">
        <f>'【国内】问卷调研-数据源（P3单独执行） '!AS52*0.4</f>
        <v>0.4</v>
      </c>
      <c r="AS52" s="99">
        <f t="shared" ref="AS52:AS61" si="21">(AU52*AP52-$AR$49*AP52-AQ52*5900-AR52*3400-AT52*300)/1200</f>
        <v>1.6175</v>
      </c>
      <c r="AT52" s="274">
        <f>'【国内】问卷调研-数据源（P3单独执行） '!AT52*1.3</f>
        <v>1.43</v>
      </c>
      <c r="AU52" s="275">
        <f>'【国内】问卷调研-数据源（P3单独执行） '!AU52</f>
        <v>3740</v>
      </c>
      <c r="AV52" s="172"/>
      <c r="AW52" s="275"/>
      <c r="AX52" s="172">
        <v>1</v>
      </c>
      <c r="AY52" s="99">
        <v>0</v>
      </c>
      <c r="AZ52" s="99">
        <f>'【国内】问卷调研-数据源（P3单独执行） '!BA52*0.4</f>
        <v>0.44</v>
      </c>
      <c r="BA52" s="99">
        <f t="shared" ref="BA52:BA61" si="22">(BC52*AX52-$AZ$49*AX52-AY52*5900-AZ52*3400-BB52*300)/1200</f>
        <v>1.78</v>
      </c>
      <c r="BB52" s="274">
        <f>'【国内】问卷调研-数据源（P3单独执行） '!BB52*1.3</f>
        <v>1.56</v>
      </c>
      <c r="BC52" s="275">
        <f>'【国内】问卷调研-数据源（P3单独执行） '!BC52</f>
        <v>4111</v>
      </c>
    </row>
    <row r="53" s="266" customFormat="1" spans="1:55">
      <c r="A53" s="172" t="s">
        <v>107</v>
      </c>
      <c r="B53" s="172">
        <v>101</v>
      </c>
      <c r="C53" s="99">
        <v>0</v>
      </c>
      <c r="D53" s="99">
        <f>'【国内】问卷调研-数据源（P3单独执行） '!E53*0.4</f>
        <v>0.2</v>
      </c>
      <c r="E53" s="99">
        <f t="shared" si="17"/>
        <v>0.805</v>
      </c>
      <c r="F53" s="274">
        <f>'【国内】问卷调研-数据源（P3单独执行） '!F53*1.3</f>
        <v>0.78</v>
      </c>
      <c r="G53" s="275">
        <f>'【国内】问卷调研-数据源（P3单独执行） '!G53</f>
        <v>23.6138613861386</v>
      </c>
      <c r="H53" s="172"/>
      <c r="I53" s="275"/>
      <c r="J53" s="172">
        <v>101</v>
      </c>
      <c r="K53" s="99">
        <v>0</v>
      </c>
      <c r="L53" s="99">
        <f>'【国内】问卷调研-数据源（P3单独执行） '!M53*0.4</f>
        <v>0.24</v>
      </c>
      <c r="M53" s="99">
        <f t="shared" ref="M53:M68" si="23">(O53*J53-$L$49*J53-K53*5900-L53*3400-N53*300)/1200</f>
        <v>0.9675</v>
      </c>
      <c r="N53" s="274">
        <f>'【国内】问卷调研-数据源（P3单独执行） '!N53*1.3</f>
        <v>0.91</v>
      </c>
      <c r="O53" s="275">
        <f>'【国内】问卷调研-数据源（P3单独执行） '!O53</f>
        <v>28.2772277227723</v>
      </c>
      <c r="P53" s="274">
        <f t="shared" ref="P53:P68" si="24">(K53*5900+L53*3400+M53*1200+N53*300+J53*$L$49)/J53</f>
        <v>28.2772277227723</v>
      </c>
      <c r="Q53" s="275"/>
      <c r="R53" s="172">
        <v>101</v>
      </c>
      <c r="S53" s="99">
        <v>0</v>
      </c>
      <c r="T53" s="99">
        <f>'【国内】问卷调研-数据源（P3单独执行） '!U53*0.4</f>
        <v>0.28</v>
      </c>
      <c r="U53" s="99">
        <f t="shared" si="18"/>
        <v>1.13</v>
      </c>
      <c r="V53" s="274">
        <f>'【国内】问卷调研-数据源（P3单独执行） '!V53*1.3</f>
        <v>1.04</v>
      </c>
      <c r="W53" s="275">
        <f>'【国内】问卷调研-数据源（P3单独执行） '!W53</f>
        <v>32.9405940594059</v>
      </c>
      <c r="X53" s="172"/>
      <c r="Y53" s="275"/>
      <c r="Z53" s="172">
        <v>101</v>
      </c>
      <c r="AA53" s="99">
        <v>0</v>
      </c>
      <c r="AB53" s="99">
        <f>'【国内】问卷调研-数据源（P3单独执行） '!AC53*0.4</f>
        <v>0.32</v>
      </c>
      <c r="AC53" s="99">
        <f t="shared" si="19"/>
        <v>1.2925</v>
      </c>
      <c r="AD53" s="274">
        <f>'【国内】问卷调研-数据源（P3单独执行） '!AD53*1.3</f>
        <v>1.17</v>
      </c>
      <c r="AE53" s="275">
        <f>'【国内】问卷调研-数据源（P3单独执行） '!AE53</f>
        <v>37.6039603960396</v>
      </c>
      <c r="AF53" s="172"/>
      <c r="AG53" s="275"/>
      <c r="AH53" s="172">
        <v>101</v>
      </c>
      <c r="AI53" s="99">
        <v>0</v>
      </c>
      <c r="AJ53" s="99">
        <f>'【国内】问卷调研-数据源（P3单独执行） '!AK53*0.4</f>
        <v>0.36</v>
      </c>
      <c r="AK53" s="99">
        <f t="shared" si="20"/>
        <v>1.455</v>
      </c>
      <c r="AL53" s="274">
        <f>'【国内】问卷调研-数据源（P3单独执行） '!AL53*1.3</f>
        <v>1.3</v>
      </c>
      <c r="AM53" s="275">
        <f>'【国内】问卷调研-数据源（P3单独执行） '!AM53</f>
        <v>42.2673267326733</v>
      </c>
      <c r="AN53" s="172"/>
      <c r="AO53" s="275"/>
      <c r="AP53" s="172">
        <v>101</v>
      </c>
      <c r="AQ53" s="99">
        <v>0</v>
      </c>
      <c r="AR53" s="99">
        <f>'【国内】问卷调研-数据源（P3单独执行） '!AS53*0.4</f>
        <v>0.4</v>
      </c>
      <c r="AS53" s="99">
        <f t="shared" si="21"/>
        <v>1.6175</v>
      </c>
      <c r="AT53" s="274">
        <f>'【国内】问卷调研-数据源（P3单独执行） '!AT53*1.3</f>
        <v>1.43</v>
      </c>
      <c r="AU53" s="275">
        <f>'【国内】问卷调研-数据源（P3单独执行） '!AU53</f>
        <v>46.9306930693069</v>
      </c>
      <c r="AV53" s="172"/>
      <c r="AW53" s="275"/>
      <c r="AX53" s="172">
        <v>101</v>
      </c>
      <c r="AY53" s="99">
        <v>0</v>
      </c>
      <c r="AZ53" s="99">
        <f>'【国内】问卷调研-数据源（P3单独执行） '!BA53*0.4</f>
        <v>0.44</v>
      </c>
      <c r="BA53" s="99">
        <f t="shared" si="22"/>
        <v>1.78</v>
      </c>
      <c r="BB53" s="274">
        <f>'【国内】问卷调研-数据源（P3单独执行） '!BB53*1.3</f>
        <v>1.56</v>
      </c>
      <c r="BC53" s="275">
        <f>'【国内】问卷调研-数据源（P3单独执行） '!BC53</f>
        <v>51.5940594059406</v>
      </c>
    </row>
    <row r="54" s="266" customFormat="1" spans="1:55">
      <c r="A54" s="172" t="s">
        <v>108</v>
      </c>
      <c r="B54" s="172">
        <v>201</v>
      </c>
      <c r="C54" s="272">
        <f>'【国内】问卷调研-数据源（P3单独执行） '!C54+0.1</f>
        <v>0.1</v>
      </c>
      <c r="D54" s="99">
        <f>'【国内】问卷调研-数据源（P3单独执行） '!E54*0.4</f>
        <v>0.32</v>
      </c>
      <c r="E54" s="99">
        <f t="shared" si="17"/>
        <v>0.793333333333333</v>
      </c>
      <c r="F54" s="274">
        <f>'【国内】问卷调研-数据源（P3单独执行） '!F54*1.3</f>
        <v>1.3</v>
      </c>
      <c r="G54" s="275">
        <f>'【国内】问卷调研-数据源（P3单独执行） '!G54</f>
        <v>20.0248756218905</v>
      </c>
      <c r="H54" s="172">
        <f>(C54*5900+D54*5400+E54*1200+F54*300+$D$49*B54)/B54</f>
        <v>23.2089552238806</v>
      </c>
      <c r="I54" s="275"/>
      <c r="J54" s="172">
        <v>201</v>
      </c>
      <c r="K54" s="99">
        <f>'【国内】问卷调研-数据源（P3单独执行） '!K54+0.1</f>
        <v>0.1</v>
      </c>
      <c r="L54" s="99">
        <f>'【国内】问卷调研-数据源（P3单独执行） '!M54*0.4</f>
        <v>0.36</v>
      </c>
      <c r="M54" s="99">
        <f t="shared" si="23"/>
        <v>0.955833333333333</v>
      </c>
      <c r="N54" s="274">
        <f>'【国内】问卷调研-数据源（P3单独执行） '!N54*1.3</f>
        <v>1.43</v>
      </c>
      <c r="O54" s="275">
        <f>'【国内】问卷调研-数据源（P3单独执行） '!O54</f>
        <v>22.865671641791</v>
      </c>
      <c r="P54" s="274">
        <f t="shared" si="24"/>
        <v>22.865671641791</v>
      </c>
      <c r="Q54" s="275"/>
      <c r="R54" s="172">
        <v>201</v>
      </c>
      <c r="S54" s="99">
        <f>'【国内】问卷调研-数据源（P3单独执行） '!S54+0.1</f>
        <v>0.1</v>
      </c>
      <c r="T54" s="99">
        <f>'【国内】问卷调研-数据源（P3单独执行） '!U54*0.4</f>
        <v>0.4</v>
      </c>
      <c r="U54" s="99">
        <f t="shared" si="18"/>
        <v>1.11833333333333</v>
      </c>
      <c r="V54" s="274">
        <f>'【国内】问卷调研-数据源（P3单独执行） '!V54*1.3</f>
        <v>1.56</v>
      </c>
      <c r="W54" s="275">
        <f>'【国内】问卷调研-数据源（P3单独执行） '!W54</f>
        <v>25.7064676616915</v>
      </c>
      <c r="X54" s="172"/>
      <c r="Y54" s="275"/>
      <c r="Z54" s="172">
        <v>201</v>
      </c>
      <c r="AA54" s="99">
        <f>'【国内】问卷调研-数据源（P3单独执行） '!AA54+0.1</f>
        <v>0.1</v>
      </c>
      <c r="AB54" s="99">
        <f>'【国内】问卷调研-数据源（P3单独执行） '!AC54*0.4</f>
        <v>0.44</v>
      </c>
      <c r="AC54" s="99">
        <f t="shared" si="19"/>
        <v>1.28083333333333</v>
      </c>
      <c r="AD54" s="274">
        <f>'【国内】问卷调研-数据源（P3单独执行） '!AD54*1.3</f>
        <v>1.69</v>
      </c>
      <c r="AE54" s="275">
        <f>'【国内】问卷调研-数据源（P3单独执行） '!AE54</f>
        <v>28.547263681592</v>
      </c>
      <c r="AF54" s="172"/>
      <c r="AG54" s="275"/>
      <c r="AH54" s="172">
        <v>201</v>
      </c>
      <c r="AI54" s="99">
        <f>'【国内】问卷调研-数据源（P3单独执行） '!AI54+0.1</f>
        <v>0.1</v>
      </c>
      <c r="AJ54" s="99">
        <f>'【国内】问卷调研-数据源（P3单独执行） '!AK54*0.4</f>
        <v>0.48</v>
      </c>
      <c r="AK54" s="99">
        <f t="shared" si="20"/>
        <v>1.44333333333333</v>
      </c>
      <c r="AL54" s="274">
        <f>'【国内】问卷调研-数据源（P3单独执行） '!AL54*1.3</f>
        <v>1.82</v>
      </c>
      <c r="AM54" s="275">
        <f>'【国内】问卷调研-数据源（P3单独执行） '!AM54</f>
        <v>31.3880597014925</v>
      </c>
      <c r="AN54" s="172"/>
      <c r="AO54" s="275"/>
      <c r="AP54" s="172">
        <v>201</v>
      </c>
      <c r="AQ54" s="99">
        <f>'【国内】问卷调研-数据源（P3单独执行） '!AQ54+0.1</f>
        <v>0.1</v>
      </c>
      <c r="AR54" s="99">
        <f>'【国内】问卷调研-数据源（P3单独执行） '!AS54*0.4</f>
        <v>0.52</v>
      </c>
      <c r="AS54" s="99">
        <f t="shared" si="21"/>
        <v>1.60583333333333</v>
      </c>
      <c r="AT54" s="274">
        <f>'【国内】问卷调研-数据源（P3单独执行） '!AT54*1.3</f>
        <v>1.95</v>
      </c>
      <c r="AU54" s="275">
        <f>'【国内】问卷调研-数据源（P3单独执行） '!AU54</f>
        <v>34.228855721393</v>
      </c>
      <c r="AV54" s="172"/>
      <c r="AW54" s="275"/>
      <c r="AX54" s="172">
        <v>201</v>
      </c>
      <c r="AY54" s="99">
        <f>'【国内】问卷调研-数据源（P3单独执行） '!AY54+0.1</f>
        <v>0.1</v>
      </c>
      <c r="AZ54" s="99">
        <f>'【国内】问卷调研-数据源（P3单独执行） '!BA54*0.4</f>
        <v>0.56</v>
      </c>
      <c r="BA54" s="99">
        <f t="shared" si="22"/>
        <v>1.76833333333333</v>
      </c>
      <c r="BB54" s="274">
        <f>'【国内】问卷调研-数据源（P3单独执行） '!BB54*1.3</f>
        <v>2.08</v>
      </c>
      <c r="BC54" s="275">
        <f>'【国内】问卷调研-数据源（P3单独执行） '!BC54</f>
        <v>37.0696517412935</v>
      </c>
    </row>
    <row r="55" s="266" customFormat="1" spans="1:55">
      <c r="A55" s="172" t="s">
        <v>109</v>
      </c>
      <c r="B55" s="172">
        <v>301</v>
      </c>
      <c r="C55" s="272">
        <f>'【国内】问卷调研-数据源（P3单独执行） '!C55+0.1</f>
        <v>0.1</v>
      </c>
      <c r="D55" s="99">
        <f>'【国内】问卷调研-数据源（P3单独执行） '!E55*0.4</f>
        <v>0.4</v>
      </c>
      <c r="E55" s="99">
        <f t="shared" si="17"/>
        <v>1.12583333333333</v>
      </c>
      <c r="F55" s="274">
        <f>'【国内】问卷调研-数据源（P3单独执行） '!F55*1.3</f>
        <v>1.43</v>
      </c>
      <c r="G55" s="275">
        <f>'【国内】问卷调研-数据源（P3单独执行） '!G55</f>
        <v>17.3920265780731</v>
      </c>
      <c r="H55" s="172">
        <f>(C55*5900+D55*5400+E55*1200+F55*300+$D$49*B55)/B55</f>
        <v>20.0498338870432</v>
      </c>
      <c r="I55" s="275"/>
      <c r="J55" s="172">
        <v>301</v>
      </c>
      <c r="K55" s="99">
        <f>'【国内】问卷调研-数据源（P3单独执行） '!K55+0.1</f>
        <v>0.1</v>
      </c>
      <c r="L55" s="99">
        <f>'【国内】问卷调研-数据源（P3单独执行） '!M55*0.4</f>
        <v>0.44</v>
      </c>
      <c r="M55" s="99">
        <f t="shared" si="23"/>
        <v>1.28833333333333</v>
      </c>
      <c r="N55" s="274">
        <f>'【国内】问卷调研-数据源（P3单独执行） '!N55*1.3</f>
        <v>1.56</v>
      </c>
      <c r="O55" s="275">
        <f>'【国内】问卷调研-数据源（P3单独执行） '!O55</f>
        <v>19.6212624584718</v>
      </c>
      <c r="P55" s="274">
        <f t="shared" si="24"/>
        <v>19.6212624584718</v>
      </c>
      <c r="Q55" s="275"/>
      <c r="R55" s="172">
        <v>301</v>
      </c>
      <c r="S55" s="99">
        <f>'【国内】问卷调研-数据源（P3单独执行） '!S55+0.1</f>
        <v>0.1</v>
      </c>
      <c r="T55" s="99">
        <f>'【国内】问卷调研-数据源（P3单独执行） '!U55*0.4</f>
        <v>0.48</v>
      </c>
      <c r="U55" s="99">
        <f t="shared" si="18"/>
        <v>1.45083333333333</v>
      </c>
      <c r="V55" s="274">
        <f>'【国内】问卷调研-数据源（P3单独执行） '!V55*1.3</f>
        <v>1.69</v>
      </c>
      <c r="W55" s="275">
        <f>'【国内】问卷调研-数据源（P3单独执行） '!W55</f>
        <v>21.8504983388704</v>
      </c>
      <c r="X55" s="172"/>
      <c r="Y55" s="275"/>
      <c r="Z55" s="172">
        <v>301</v>
      </c>
      <c r="AA55" s="99">
        <f>'【国内】问卷调研-数据源（P3单独执行） '!AA55+0.1</f>
        <v>0.1</v>
      </c>
      <c r="AB55" s="99">
        <f>'【国内】问卷调研-数据源（P3单独执行） '!AC55*0.4</f>
        <v>0.52</v>
      </c>
      <c r="AC55" s="99">
        <f t="shared" si="19"/>
        <v>1.61333333333333</v>
      </c>
      <c r="AD55" s="274">
        <f>'【国内】问卷调研-数据源（P3单独执行） '!AD55*1.3</f>
        <v>1.82</v>
      </c>
      <c r="AE55" s="275">
        <f>'【国内】问卷调研-数据源（P3单独执行） '!AE55</f>
        <v>24.0797342192691</v>
      </c>
      <c r="AF55" s="172"/>
      <c r="AG55" s="275"/>
      <c r="AH55" s="172">
        <v>301</v>
      </c>
      <c r="AI55" s="99">
        <f>'【国内】问卷调研-数据源（P3单独执行） '!AI55+0.1</f>
        <v>0.1</v>
      </c>
      <c r="AJ55" s="99">
        <f>'【国内】问卷调研-数据源（P3单独执行） '!AK55*0.4</f>
        <v>0.56</v>
      </c>
      <c r="AK55" s="99">
        <f t="shared" si="20"/>
        <v>1.77583333333333</v>
      </c>
      <c r="AL55" s="274">
        <f>'【国内】问卷调研-数据源（P3单独执行） '!AL55*1.3</f>
        <v>1.95</v>
      </c>
      <c r="AM55" s="275">
        <f>'【国内】问卷调研-数据源（P3单独执行） '!AM55</f>
        <v>26.3089700996678</v>
      </c>
      <c r="AN55" s="172"/>
      <c r="AO55" s="275"/>
      <c r="AP55" s="172">
        <v>301</v>
      </c>
      <c r="AQ55" s="99">
        <f>'【国内】问卷调研-数据源（P3单独执行） '!AQ55+0.1</f>
        <v>0.1</v>
      </c>
      <c r="AR55" s="99">
        <f>'【国内】问卷调研-数据源（P3单独执行） '!AS55*0.4</f>
        <v>0.6</v>
      </c>
      <c r="AS55" s="99">
        <f t="shared" si="21"/>
        <v>1.93833333333333</v>
      </c>
      <c r="AT55" s="274">
        <f>'【国内】问卷调研-数据源（P3单独执行） '!AT55*1.3</f>
        <v>2.08</v>
      </c>
      <c r="AU55" s="275">
        <f>'【国内】问卷调研-数据源（P3单独执行） '!AU55</f>
        <v>28.5382059800664</v>
      </c>
      <c r="AV55" s="172"/>
      <c r="AW55" s="275"/>
      <c r="AX55" s="172">
        <v>301</v>
      </c>
      <c r="AY55" s="99">
        <f>'【国内】问卷调研-数据源（P3单独执行） '!AY55+0.1</f>
        <v>0.1</v>
      </c>
      <c r="AZ55" s="99">
        <f>'【国内】问卷调研-数据源（P3单独执行） '!BA55*0.4</f>
        <v>0.64</v>
      </c>
      <c r="BA55" s="99">
        <f t="shared" si="22"/>
        <v>2.10083333333333</v>
      </c>
      <c r="BB55" s="274">
        <f>'【国内】问卷调研-数据源（P3单独执行） '!BB55*1.3</f>
        <v>2.21</v>
      </c>
      <c r="BC55" s="275">
        <f>'【国内】问卷调研-数据源（P3单独执行） '!BC55</f>
        <v>30.7674418604651</v>
      </c>
    </row>
    <row r="56" s="266" customFormat="1" spans="1:55">
      <c r="A56" s="172" t="s">
        <v>110</v>
      </c>
      <c r="B56" s="172">
        <v>501</v>
      </c>
      <c r="C56" s="272">
        <f>'【国内】问卷调研-数据源（P3单独执行） '!C56+0.1</f>
        <v>0.2</v>
      </c>
      <c r="D56" s="99">
        <f>'【国内】问卷调研-数据源（P3单独执行） '!E56*0.4</f>
        <v>0.52</v>
      </c>
      <c r="E56" s="99">
        <f t="shared" si="17"/>
        <v>1.62833333333333</v>
      </c>
      <c r="F56" s="274">
        <f>'【国内】问卷调研-数据源（P3单独执行） '!F56*1.3</f>
        <v>1.56</v>
      </c>
      <c r="G56" s="275">
        <f>'【国内】问卷调研-数据源（P3单独执行） '!G56</f>
        <v>15.7185628742515</v>
      </c>
      <c r="H56" s="172">
        <f t="shared" ref="H56:H68" si="25">(C56*5900+D56*5400+E56*1200+F56*300+$D$49*B56)/B56</f>
        <v>17.7944111776447</v>
      </c>
      <c r="I56" s="275"/>
      <c r="J56" s="172">
        <v>501</v>
      </c>
      <c r="K56" s="99">
        <f>'【国内】问卷调研-数据源（P3单独执行） '!K56+0.1</f>
        <v>0.2</v>
      </c>
      <c r="L56" s="99">
        <f>'【国内】问卷调研-数据源（P3单独执行） '!M56*0.4</f>
        <v>0.56</v>
      </c>
      <c r="M56" s="99">
        <f t="shared" si="23"/>
        <v>1.79083333333333</v>
      </c>
      <c r="N56" s="274">
        <f>'【国内】问卷调研-数据源（P3单独执行） '!N56*1.3</f>
        <v>1.69</v>
      </c>
      <c r="O56" s="275">
        <f>'【国内】问卷调研-数据源（P3单独执行） '!O56</f>
        <v>17.4570858283433</v>
      </c>
      <c r="P56" s="274">
        <f t="shared" si="24"/>
        <v>17.4570858283433</v>
      </c>
      <c r="Q56" s="275"/>
      <c r="R56" s="172">
        <v>501</v>
      </c>
      <c r="S56" s="99">
        <f>'【国内】问卷调研-数据源（P3单独执行） '!S56+0.1</f>
        <v>0.2</v>
      </c>
      <c r="T56" s="99">
        <f>'【国内】问卷调研-数据源（P3单独执行） '!U56*0.4</f>
        <v>0.6</v>
      </c>
      <c r="U56" s="99">
        <f t="shared" si="18"/>
        <v>1.95333333333333</v>
      </c>
      <c r="V56" s="274">
        <f>'【国内】问卷调研-数据源（P3单独执行） '!V56*1.3</f>
        <v>1.82</v>
      </c>
      <c r="W56" s="275">
        <f>'【国内】问卷调研-数据源（P3单独执行） '!W56</f>
        <v>19.1956087824351</v>
      </c>
      <c r="X56" s="172"/>
      <c r="Y56" s="275"/>
      <c r="Z56" s="172">
        <v>501</v>
      </c>
      <c r="AA56" s="99">
        <f>'【国内】问卷调研-数据源（P3单独执行） '!AA56+0.1</f>
        <v>0.2</v>
      </c>
      <c r="AB56" s="99">
        <f>'【国内】问卷调研-数据源（P3单独执行） '!AC56*0.4</f>
        <v>0.64</v>
      </c>
      <c r="AC56" s="99">
        <f t="shared" si="19"/>
        <v>2.11583333333333</v>
      </c>
      <c r="AD56" s="274">
        <f>'【国内】问卷调研-数据源（P3单独执行） '!AD56*1.3</f>
        <v>1.95</v>
      </c>
      <c r="AE56" s="275">
        <f>'【国内】问卷调研-数据源（P3单独执行） '!AE56</f>
        <v>20.9341317365269</v>
      </c>
      <c r="AF56" s="172"/>
      <c r="AG56" s="275"/>
      <c r="AH56" s="172">
        <v>501</v>
      </c>
      <c r="AI56" s="99">
        <f>'【国内】问卷调研-数据源（P3单独执行） '!AI56+0.1</f>
        <v>0.2</v>
      </c>
      <c r="AJ56" s="99">
        <f>'【国内】问卷调研-数据源（P3单独执行） '!AK56*0.4</f>
        <v>0.68</v>
      </c>
      <c r="AK56" s="99">
        <f t="shared" si="20"/>
        <v>2.27833333333333</v>
      </c>
      <c r="AL56" s="274">
        <f>'【国内】问卷调研-数据源（P3单独执行） '!AL56*1.3</f>
        <v>2.08</v>
      </c>
      <c r="AM56" s="275">
        <f>'【国内】问卷调研-数据源（P3单独执行） '!AM56</f>
        <v>22.6726546906188</v>
      </c>
      <c r="AN56" s="172"/>
      <c r="AO56" s="275"/>
      <c r="AP56" s="172">
        <v>501</v>
      </c>
      <c r="AQ56" s="99">
        <f>'【国内】问卷调研-数据源（P3单独执行） '!AQ56+0.1</f>
        <v>0.2</v>
      </c>
      <c r="AR56" s="99">
        <f>'【国内】问卷调研-数据源（P3单独执行） '!AS56*0.4</f>
        <v>0.72</v>
      </c>
      <c r="AS56" s="99">
        <f t="shared" si="21"/>
        <v>2.44083333333333</v>
      </c>
      <c r="AT56" s="274">
        <f>'【国内】问卷调研-数据源（P3单独执行） '!AT56*1.3</f>
        <v>2.21</v>
      </c>
      <c r="AU56" s="275">
        <f>'【国内】问卷调研-数据源（P3单独执行） '!AU56</f>
        <v>24.4111776447106</v>
      </c>
      <c r="AV56" s="172"/>
      <c r="AW56" s="275"/>
      <c r="AX56" s="172">
        <v>501</v>
      </c>
      <c r="AY56" s="99">
        <f>'【国内】问卷调研-数据源（P3单独执行） '!AY56+0.1</f>
        <v>0.2</v>
      </c>
      <c r="AZ56" s="99">
        <f>'【国内】问卷调研-数据源（P3单独执行） '!BA56*0.4</f>
        <v>0.76</v>
      </c>
      <c r="BA56" s="99">
        <f t="shared" si="22"/>
        <v>2.60333333333333</v>
      </c>
      <c r="BB56" s="274">
        <f>'【国内】问卷调研-数据源（P3单独执行） '!BB56*1.3</f>
        <v>2.34</v>
      </c>
      <c r="BC56" s="275">
        <f>'【国内】问卷调研-数据源（P3单独执行） '!BC56</f>
        <v>26.1497005988024</v>
      </c>
    </row>
    <row r="57" s="266" customFormat="1" spans="1:55">
      <c r="A57" s="172" t="s">
        <v>111</v>
      </c>
      <c r="B57" s="172">
        <v>701</v>
      </c>
      <c r="C57" s="272">
        <f>'【国内】问卷调研-数据源（P3单独执行） '!C57+0.2</f>
        <v>0.3</v>
      </c>
      <c r="D57" s="99">
        <f>'【国内】问卷调研-数据源（P3单独执行） '!E57*0.4</f>
        <v>0.6</v>
      </c>
      <c r="E57" s="99">
        <f t="shared" ref="E57:E68" si="26">(G57*B57-$D$49*B57-C57*5900-D57*3400-F57*300)/1200</f>
        <v>1.46916666666667</v>
      </c>
      <c r="F57" s="274">
        <f>'【国内】问卷调研-数据源（P3单独执行） '!F57*1.3</f>
        <v>1.69</v>
      </c>
      <c r="G57" s="275">
        <f>'【国内】问卷调研-数据源（P3单独执行） '!G57</f>
        <v>13.6733238231098</v>
      </c>
      <c r="H57" s="172">
        <f t="shared" si="25"/>
        <v>15.3851640513552</v>
      </c>
      <c r="I57" s="275"/>
      <c r="J57" s="172">
        <v>701</v>
      </c>
      <c r="K57" s="99">
        <f>'【国内】问卷调研-数据源（P3单独执行） '!K57+0.2</f>
        <v>0.3</v>
      </c>
      <c r="L57" s="99">
        <f>'【国内】问卷调研-数据源（P3单独执行） '!M57*0.4</f>
        <v>0.64</v>
      </c>
      <c r="M57" s="99">
        <f t="shared" si="23"/>
        <v>1.63166666666667</v>
      </c>
      <c r="N57" s="274">
        <f>'【国内】问卷调研-数据源（P3单独执行） '!N57*1.3</f>
        <v>1.82</v>
      </c>
      <c r="O57" s="275">
        <f>'【国内】问卷调研-数据源（P3单独执行） '!O57</f>
        <v>15.2011412268188</v>
      </c>
      <c r="P57" s="274">
        <f t="shared" si="24"/>
        <v>15.2011412268188</v>
      </c>
      <c r="Q57" s="275"/>
      <c r="R57" s="172">
        <v>701</v>
      </c>
      <c r="S57" s="99">
        <f>'【国内】问卷调研-数据源（P3单独执行） '!S57+0.2</f>
        <v>0.3</v>
      </c>
      <c r="T57" s="99">
        <f>'【国内】问卷调研-数据源（P3单独执行） '!U57*0.4</f>
        <v>0.68</v>
      </c>
      <c r="U57" s="99">
        <f t="shared" si="18"/>
        <v>1.79416666666667</v>
      </c>
      <c r="V57" s="274">
        <f>'【国内】问卷调研-数据源（P3单独执行） '!V57*1.3</f>
        <v>1.95</v>
      </c>
      <c r="W57" s="275">
        <f>'【国内】问卷调研-数据源（P3单独执行） '!W57</f>
        <v>16.7289586305278</v>
      </c>
      <c r="X57" s="172"/>
      <c r="Y57" s="275"/>
      <c r="Z57" s="172">
        <v>701</v>
      </c>
      <c r="AA57" s="99">
        <f>'【国内】问卷调研-数据源（P3单独执行） '!AA57+0.2</f>
        <v>0.3</v>
      </c>
      <c r="AB57" s="99">
        <f>'【国内】问卷调研-数据源（P3单独执行） '!AC57*0.4</f>
        <v>0.72</v>
      </c>
      <c r="AC57" s="99">
        <f t="shared" si="19"/>
        <v>1.95666666666667</v>
      </c>
      <c r="AD57" s="274">
        <f>'【国内】问卷调研-数据源（P3单独执行） '!AD57*1.3</f>
        <v>2.08</v>
      </c>
      <c r="AE57" s="275">
        <f>'【国内】问卷调研-数据源（P3单独执行） '!AE57</f>
        <v>18.2567760342368</v>
      </c>
      <c r="AF57" s="172"/>
      <c r="AG57" s="275"/>
      <c r="AH57" s="172">
        <v>701</v>
      </c>
      <c r="AI57" s="99">
        <f>'【国内】问卷调研-数据源（P3单独执行） '!AI57+0.2</f>
        <v>0.3</v>
      </c>
      <c r="AJ57" s="99">
        <f>'【国内】问卷调研-数据源（P3单独执行） '!AK57*0.4</f>
        <v>0.76</v>
      </c>
      <c r="AK57" s="99">
        <f t="shared" si="20"/>
        <v>2.11916666666667</v>
      </c>
      <c r="AL57" s="274">
        <f>'【国内】问卷调研-数据源（P3单独执行） '!AL57*1.3</f>
        <v>2.21</v>
      </c>
      <c r="AM57" s="275">
        <f>'【国内】问卷调研-数据源（P3单独执行） '!AM57</f>
        <v>19.7845934379458</v>
      </c>
      <c r="AN57" s="172"/>
      <c r="AO57" s="275"/>
      <c r="AP57" s="172">
        <v>701</v>
      </c>
      <c r="AQ57" s="99">
        <f>'【国内】问卷调研-数据源（P3单独执行） '!AQ57+0.2</f>
        <v>0.3</v>
      </c>
      <c r="AR57" s="99">
        <f>'【国内】问卷调研-数据源（P3单独执行） '!AS57*0.4</f>
        <v>0.8</v>
      </c>
      <c r="AS57" s="99">
        <f t="shared" si="21"/>
        <v>2.28166666666667</v>
      </c>
      <c r="AT57" s="274">
        <f>'【国内】问卷调研-数据源（P3单独执行） '!AT57*1.3</f>
        <v>2.34</v>
      </c>
      <c r="AU57" s="275">
        <f>'【国内】问卷调研-数据源（P3单独执行） '!AU57</f>
        <v>21.3124108416548</v>
      </c>
      <c r="AV57" s="172"/>
      <c r="AW57" s="275"/>
      <c r="AX57" s="172">
        <v>701</v>
      </c>
      <c r="AY57" s="99">
        <f>'【国内】问卷调研-数据源（P3单独执行） '!AY57+0.2</f>
        <v>0.3</v>
      </c>
      <c r="AZ57" s="99">
        <f>'【国内】问卷调研-数据源（P3单独执行） '!BA57*0.4</f>
        <v>0.84</v>
      </c>
      <c r="BA57" s="99">
        <f t="shared" si="22"/>
        <v>2.44416666666666</v>
      </c>
      <c r="BB57" s="274">
        <f>'【国内】问卷调研-数据源（P3单独执行） '!BB57*1.3</f>
        <v>2.47</v>
      </c>
      <c r="BC57" s="275">
        <f>'【国内】问卷调研-数据源（P3单独执行） '!BC57</f>
        <v>22.8402282453638</v>
      </c>
    </row>
    <row r="58" s="266" customFormat="1" spans="1:55">
      <c r="A58" s="172" t="s">
        <v>112</v>
      </c>
      <c r="B58" s="172">
        <v>901</v>
      </c>
      <c r="C58" s="272">
        <f>'【国内】问卷调研-数据源（P3单独执行） '!C58+0.2</f>
        <v>0.3</v>
      </c>
      <c r="D58" s="99">
        <f>'【国内】问卷调研-数据源（P3单独执行） '!E58*0.4</f>
        <v>0.72</v>
      </c>
      <c r="E58" s="99">
        <f t="shared" si="26"/>
        <v>1.97916666666667</v>
      </c>
      <c r="F58" s="274">
        <f>'【国内】问卷调研-数据源（P3单独执行） '!F58*1.3</f>
        <v>1.69</v>
      </c>
      <c r="G58" s="275">
        <f>'【国内】问卷调研-数据源（P3单独执行） '!G58</f>
        <v>12.8801331853496</v>
      </c>
      <c r="H58" s="172">
        <f t="shared" si="25"/>
        <v>14.4783573806881</v>
      </c>
      <c r="I58" s="275"/>
      <c r="J58" s="172">
        <v>901</v>
      </c>
      <c r="K58" s="99">
        <f>'【国内】问卷调研-数据源（P3单独执行） '!K58+0.2</f>
        <v>0.3</v>
      </c>
      <c r="L58" s="99">
        <f>'【国内】问卷调研-数据源（P3单独执行） '!M58*0.4</f>
        <v>0.84</v>
      </c>
      <c r="M58" s="99">
        <f t="shared" si="23"/>
        <v>2.48166666666667</v>
      </c>
      <c r="N58" s="274">
        <f>'【国内】问卷调研-数据源（P3单独执行） '!N58*1.3</f>
        <v>1.82</v>
      </c>
      <c r="O58" s="275">
        <f>'【国内】问卷调研-数据源（P3单独执行） '!O58</f>
        <v>15.0455049944506</v>
      </c>
      <c r="P58" s="274">
        <f t="shared" si="24"/>
        <v>15.0455049944506</v>
      </c>
      <c r="Q58" s="275"/>
      <c r="R58" s="172">
        <v>901</v>
      </c>
      <c r="S58" s="99">
        <f>'【国内】问卷调研-数据源（P3单独执行） '!S58+0.2</f>
        <v>0.3</v>
      </c>
      <c r="T58" s="99">
        <f>'【国内】问卷调研-数据源（P3单独执行） '!U58*0.4</f>
        <v>0.88</v>
      </c>
      <c r="U58" s="99">
        <f t="shared" si="18"/>
        <v>2.64416666666667</v>
      </c>
      <c r="V58" s="274">
        <f>'【国内】问卷调研-数据源（P3单独执行） '!V58*1.3</f>
        <v>1.95</v>
      </c>
      <c r="W58" s="275">
        <f>'【国内】问卷调研-数据源（P3单独执行） '!W58</f>
        <v>16.4561598224195</v>
      </c>
      <c r="X58" s="172"/>
      <c r="Y58" s="275"/>
      <c r="Z58" s="172">
        <v>901</v>
      </c>
      <c r="AA58" s="99">
        <f>'【国内】问卷调研-数据源（P3单独执行） '!AA58+0.2</f>
        <v>0.3</v>
      </c>
      <c r="AB58" s="99">
        <f>'【国内】问卷调研-数据源（P3单独执行） '!AC58*0.4</f>
        <v>0.92</v>
      </c>
      <c r="AC58" s="99">
        <f t="shared" si="19"/>
        <v>2.80666666666666</v>
      </c>
      <c r="AD58" s="274">
        <f>'【国内】问卷调研-数据源（P3单独执行） '!AD58*1.3</f>
        <v>2.08</v>
      </c>
      <c r="AE58" s="275">
        <f>'【国内】问卷调研-数据源（P3单独执行） '!AE58</f>
        <v>17.8668146503885</v>
      </c>
      <c r="AF58" s="172"/>
      <c r="AG58" s="275"/>
      <c r="AH58" s="172">
        <v>901</v>
      </c>
      <c r="AI58" s="99">
        <f>'【国内】问卷调研-数据源（P3单独执行） '!AI58+0.2</f>
        <v>0.3</v>
      </c>
      <c r="AJ58" s="99">
        <f>'【国内】问卷调研-数据源（P3单独执行） '!AK58*0.4</f>
        <v>0.96</v>
      </c>
      <c r="AK58" s="99">
        <f t="shared" si="20"/>
        <v>2.96916666666667</v>
      </c>
      <c r="AL58" s="274">
        <f>'【国内】问卷调研-数据源（P3单独执行） '!AL58*1.3</f>
        <v>2.21</v>
      </c>
      <c r="AM58" s="275">
        <f>'【国内】问卷调研-数据源（P3单独执行） '!AM58</f>
        <v>19.2774694783574</v>
      </c>
      <c r="AN58" s="172"/>
      <c r="AO58" s="275"/>
      <c r="AP58" s="172">
        <v>901</v>
      </c>
      <c r="AQ58" s="99">
        <f>'【国内】问卷调研-数据源（P3单独执行） '!AQ58+0.2</f>
        <v>0.3</v>
      </c>
      <c r="AR58" s="99">
        <f>'【国内】问卷调研-数据源（P3单独执行） '!AS58*0.4</f>
        <v>1</v>
      </c>
      <c r="AS58" s="99">
        <f t="shared" si="21"/>
        <v>3.13166666666667</v>
      </c>
      <c r="AT58" s="274">
        <f>'【国内】问卷调研-数据源（P3单独执行） '!AT58*1.3</f>
        <v>2.34</v>
      </c>
      <c r="AU58" s="275">
        <f>'【国内】问卷调研-数据源（P3单独执行） '!AU58</f>
        <v>20.6881243063263</v>
      </c>
      <c r="AV58" s="172"/>
      <c r="AW58" s="275"/>
      <c r="AX58" s="172">
        <v>901</v>
      </c>
      <c r="AY58" s="99">
        <f>'【国内】问卷调研-数据源（P3单独执行） '!AY58+0.2</f>
        <v>0.3</v>
      </c>
      <c r="AZ58" s="99">
        <f>'【国内】问卷调研-数据源（P3单独执行） '!BA58*0.4</f>
        <v>1.04</v>
      </c>
      <c r="BA58" s="99">
        <f t="shared" si="22"/>
        <v>3.29416666666667</v>
      </c>
      <c r="BB58" s="274">
        <f>'【国内】问卷调研-数据源（P3单独执行） '!BB58*1.3</f>
        <v>2.47</v>
      </c>
      <c r="BC58" s="275">
        <f>'【国内】问卷调研-数据源（P3单独执行） '!BC58</f>
        <v>22.0987791342952</v>
      </c>
    </row>
    <row r="59" s="266" customFormat="1" spans="1:55">
      <c r="A59" s="172" t="s">
        <v>113</v>
      </c>
      <c r="B59" s="172">
        <v>1001</v>
      </c>
      <c r="C59" s="272">
        <f>'【国内】问卷调研-数据源（P3单独执行） '!C59+0.2</f>
        <v>0.4</v>
      </c>
      <c r="D59" s="99">
        <f>'【国内】问卷调研-数据源（P3单独执行） '!E59*0.4</f>
        <v>0.8</v>
      </c>
      <c r="E59" s="99">
        <f t="shared" si="26"/>
        <v>2.30416666666667</v>
      </c>
      <c r="F59" s="274">
        <f>'【国内】问卷调研-数据源（P3单独执行） '!F59*1.3</f>
        <v>1.95</v>
      </c>
      <c r="G59" s="275">
        <f>'【国内】问卷调研-数据源（P3单独执行） '!G59</f>
        <v>13.4215784215784</v>
      </c>
      <c r="H59" s="172">
        <f t="shared" si="25"/>
        <v>15.01998001998</v>
      </c>
      <c r="I59" s="275"/>
      <c r="J59" s="172">
        <v>1001</v>
      </c>
      <c r="K59" s="99">
        <f>'【国内】问卷调研-数据源（P3单独执行） '!K59+0.2</f>
        <v>0.4</v>
      </c>
      <c r="L59" s="99">
        <f>'【国内】问卷调研-数据源（P3单独执行） '!M59*0.4</f>
        <v>0.84</v>
      </c>
      <c r="M59" s="99">
        <f t="shared" si="23"/>
        <v>2.46666666666667</v>
      </c>
      <c r="N59" s="274">
        <f>'【国内】问卷调研-数据源（P3单独执行） '!N59*1.3</f>
        <v>2.08</v>
      </c>
      <c r="O59" s="275">
        <f>'【国内】问卷调研-数据源（P3单独执行） '!O59</f>
        <v>14.7912087912088</v>
      </c>
      <c r="P59" s="274">
        <f t="shared" si="24"/>
        <v>14.7912087912088</v>
      </c>
      <c r="Q59" s="275"/>
      <c r="R59" s="172">
        <v>1001</v>
      </c>
      <c r="S59" s="99">
        <f>'【国内】问卷调研-数据源（P3单独执行） '!S59+0.2</f>
        <v>0.4</v>
      </c>
      <c r="T59" s="99">
        <f>'【国内】问卷调研-数据源（P3单独执行） '!U59*0.4</f>
        <v>0.88</v>
      </c>
      <c r="U59" s="99">
        <f t="shared" si="18"/>
        <v>2.62916666666667</v>
      </c>
      <c r="V59" s="274">
        <f>'【国内】问卷调研-数据源（P3单独执行） '!V59*1.3</f>
        <v>2.21</v>
      </c>
      <c r="W59" s="275">
        <f>'【国内】问卷调研-数据源（P3单独执行） '!W59</f>
        <v>16.1608391608392</v>
      </c>
      <c r="X59" s="172"/>
      <c r="Y59" s="275"/>
      <c r="Z59" s="172">
        <v>1001</v>
      </c>
      <c r="AA59" s="99">
        <f>'【国内】问卷调研-数据源（P3单独执行） '!AA59+0.2</f>
        <v>0.4</v>
      </c>
      <c r="AB59" s="99">
        <f>'【国内】问卷调研-数据源（P3单独执行） '!AC59*0.4</f>
        <v>0.92</v>
      </c>
      <c r="AC59" s="99">
        <f t="shared" si="19"/>
        <v>2.79166666666667</v>
      </c>
      <c r="AD59" s="274">
        <f>'【国内】问卷调研-数据源（P3单独执行） '!AD59*1.3</f>
        <v>2.34</v>
      </c>
      <c r="AE59" s="275">
        <f>'【国内】问卷调研-数据源（P3单独执行） '!AE59</f>
        <v>17.5304695304695</v>
      </c>
      <c r="AF59" s="172"/>
      <c r="AG59" s="275"/>
      <c r="AH59" s="172">
        <v>1001</v>
      </c>
      <c r="AI59" s="99">
        <f>'【国内】问卷调研-数据源（P3单独执行） '!AI59+0.2</f>
        <v>0.4</v>
      </c>
      <c r="AJ59" s="99">
        <f>'【国内】问卷调研-数据源（P3单独执行） '!AK59*0.4</f>
        <v>0.96</v>
      </c>
      <c r="AK59" s="99">
        <f t="shared" si="20"/>
        <v>2.95416666666667</v>
      </c>
      <c r="AL59" s="274">
        <f>'【国内】问卷调研-数据源（P3单独执行） '!AL59*1.3</f>
        <v>2.47</v>
      </c>
      <c r="AM59" s="275">
        <f>'【国内】问卷调研-数据源（P3单独执行） '!AM59</f>
        <v>18.9000999000999</v>
      </c>
      <c r="AN59" s="172"/>
      <c r="AO59" s="275"/>
      <c r="AP59" s="172">
        <v>1001</v>
      </c>
      <c r="AQ59" s="99">
        <f>'【国内】问卷调研-数据源（P3单独执行） '!AQ59+0.2</f>
        <v>0.4</v>
      </c>
      <c r="AR59" s="99">
        <f>'【国内】问卷调研-数据源（P3单独执行） '!AS59*0.4</f>
        <v>1</v>
      </c>
      <c r="AS59" s="99">
        <f t="shared" si="21"/>
        <v>3.11666666666667</v>
      </c>
      <c r="AT59" s="274">
        <f>'【国内】问卷调研-数据源（P3单独执行） '!AT59*1.3</f>
        <v>2.6</v>
      </c>
      <c r="AU59" s="275">
        <f>'【国内】问卷调研-数据源（P3单独执行） '!AU59</f>
        <v>20.2697302697303</v>
      </c>
      <c r="AV59" s="172"/>
      <c r="AW59" s="275"/>
      <c r="AX59" s="172">
        <v>1001</v>
      </c>
      <c r="AY59" s="99">
        <f>'【国内】问卷调研-数据源（P3单独执行） '!AY59+0.2</f>
        <v>0.4</v>
      </c>
      <c r="AZ59" s="99">
        <f>'【国内】问卷调研-数据源（P3单独执行） '!BA59*0.4</f>
        <v>1.04</v>
      </c>
      <c r="BA59" s="99">
        <f t="shared" si="22"/>
        <v>3.27916666666667</v>
      </c>
      <c r="BB59" s="274">
        <f>'【国内】问卷调研-数据源（P3单独执行） '!BB59*1.3</f>
        <v>2.73</v>
      </c>
      <c r="BC59" s="275">
        <f>'【国内】问卷调研-数据源（P3单独执行） '!BC59</f>
        <v>21.6393606393606</v>
      </c>
    </row>
    <row r="60" s="266" customFormat="1" spans="1:55">
      <c r="A60" s="172" t="s">
        <v>114</v>
      </c>
      <c r="B60" s="172">
        <v>1201</v>
      </c>
      <c r="C60" s="272">
        <f>'【国内】问卷调研-数据源（P3单独执行） '!C60+0.2</f>
        <v>0.4</v>
      </c>
      <c r="D60" s="99">
        <f>'【国内】问卷调研-数据源（P3单独执行） '!E60*0.4</f>
        <v>0.84</v>
      </c>
      <c r="E60" s="99">
        <f t="shared" si="26"/>
        <v>2.45916666666667</v>
      </c>
      <c r="F60" s="274">
        <f>'【国内】问卷调研-数据源（P3单独执行） '!F60*1.3</f>
        <v>2.21</v>
      </c>
      <c r="G60" s="275">
        <f>'【国内】问卷调研-数据源（P3单独执行） '!G60</f>
        <v>12.3522064945878</v>
      </c>
      <c r="H60" s="172">
        <f t="shared" si="25"/>
        <v>13.7510407993339</v>
      </c>
      <c r="I60" s="275"/>
      <c r="J60" s="172">
        <v>1201</v>
      </c>
      <c r="K60" s="99">
        <f>'【国内】问卷调研-数据源（P3单独执行） '!K60+0.2</f>
        <v>0.4</v>
      </c>
      <c r="L60" s="99">
        <f>'【国内】问卷调研-数据源（P3单独执行） '!M60*0.4</f>
        <v>0.88</v>
      </c>
      <c r="M60" s="99">
        <f t="shared" si="23"/>
        <v>2.62166666666667</v>
      </c>
      <c r="N60" s="274">
        <f>'【国内】问卷调研-数据源（P3单独执行） '!N60*1.3</f>
        <v>2.34</v>
      </c>
      <c r="O60" s="275">
        <f>'【国内】问卷调研-数据源（P3单独执行） '!O60</f>
        <v>13.6602830974188</v>
      </c>
      <c r="P60" s="274">
        <f t="shared" si="24"/>
        <v>13.6602830974188</v>
      </c>
      <c r="Q60" s="275"/>
      <c r="R60" s="172">
        <v>1201</v>
      </c>
      <c r="S60" s="99">
        <f>'【国内】问卷调研-数据源（P3单独执行） '!S60+0.2</f>
        <v>0.4</v>
      </c>
      <c r="T60" s="99">
        <f>'【国内】问卷调研-数据源（P3单独执行） '!U60*0.4</f>
        <v>0.92</v>
      </c>
      <c r="U60" s="99">
        <f t="shared" si="18"/>
        <v>2.78416666666667</v>
      </c>
      <c r="V60" s="274">
        <f>'【国内】问卷调研-数据源（P3单独执行） '!V60*1.3</f>
        <v>2.47</v>
      </c>
      <c r="W60" s="275">
        <f>'【国内】问卷调研-数据源（P3单独执行） '!W60</f>
        <v>14.9683597002498</v>
      </c>
      <c r="X60" s="172"/>
      <c r="Y60" s="275"/>
      <c r="Z60" s="172">
        <v>1201</v>
      </c>
      <c r="AA60" s="99">
        <f>'【国内】问卷调研-数据源（P3单独执行） '!AA60+0.2</f>
        <v>0.4</v>
      </c>
      <c r="AB60" s="99">
        <f>'【国内】问卷调研-数据源（P3单独执行） '!AC60*0.4</f>
        <v>0.96</v>
      </c>
      <c r="AC60" s="99">
        <f t="shared" si="19"/>
        <v>2.94666666666666</v>
      </c>
      <c r="AD60" s="274">
        <f>'【国内】问卷调研-数据源（P3单独执行） '!AD60*1.3</f>
        <v>2.6</v>
      </c>
      <c r="AE60" s="275">
        <f>'【国内】问卷调研-数据源（P3单独执行） '!AE60</f>
        <v>16.2764363030808</v>
      </c>
      <c r="AF60" s="172"/>
      <c r="AG60" s="275"/>
      <c r="AH60" s="172">
        <v>1201</v>
      </c>
      <c r="AI60" s="99">
        <f>'【国内】问卷调研-数据源（P3单独执行） '!AI60+0.2</f>
        <v>0.4</v>
      </c>
      <c r="AJ60" s="99">
        <f>'【国内】问卷调研-数据源（P3单独执行） '!AK60*0.4</f>
        <v>1</v>
      </c>
      <c r="AK60" s="99">
        <f t="shared" si="20"/>
        <v>3.10916666666667</v>
      </c>
      <c r="AL60" s="274">
        <f>'【国内】问卷调研-数据源（P3单独执行） '!AL60*1.3</f>
        <v>2.73</v>
      </c>
      <c r="AM60" s="275">
        <f>'【国内】问卷调研-数据源（P3单独执行） '!AM60</f>
        <v>17.5845129059117</v>
      </c>
      <c r="AN60" s="172"/>
      <c r="AO60" s="275"/>
      <c r="AP60" s="172">
        <v>1201</v>
      </c>
      <c r="AQ60" s="99">
        <f>'【国内】问卷调研-数据源（P3单独执行） '!AQ60+0.2</f>
        <v>0.4</v>
      </c>
      <c r="AR60" s="99">
        <f>'【国内】问卷调研-数据源（P3单独执行） '!AS60*0.4</f>
        <v>1.04</v>
      </c>
      <c r="AS60" s="99">
        <f t="shared" si="21"/>
        <v>3.27166666666667</v>
      </c>
      <c r="AT60" s="274">
        <f>'【国内】问卷调研-数据源（P3单独执行） '!AT60*1.3</f>
        <v>2.86</v>
      </c>
      <c r="AU60" s="275">
        <f>'【国内】问卷调研-数据源（P3单独执行） '!AU60</f>
        <v>18.8925895087427</v>
      </c>
      <c r="AV60" s="172"/>
      <c r="AW60" s="275"/>
      <c r="AX60" s="172">
        <v>1201</v>
      </c>
      <c r="AY60" s="99">
        <f>'【国内】问卷调研-数据源（P3单独执行） '!AY60+0.2</f>
        <v>0.4</v>
      </c>
      <c r="AZ60" s="99">
        <f>'【国内】问卷调研-数据源（P3单独执行） '!BA60*0.4</f>
        <v>1.08</v>
      </c>
      <c r="BA60" s="99">
        <f t="shared" si="22"/>
        <v>3.43416666666667</v>
      </c>
      <c r="BB60" s="274">
        <f>'【国内】问卷调研-数据源（P3单独执行） '!BB60*1.3</f>
        <v>2.99</v>
      </c>
      <c r="BC60" s="275">
        <f>'【国内】问卷调研-数据源（P3单独执行） '!BC60</f>
        <v>20.2006661115737</v>
      </c>
    </row>
    <row r="61" s="266" customFormat="1" spans="1:55">
      <c r="A61" s="172" t="s">
        <v>115</v>
      </c>
      <c r="B61" s="172">
        <v>1401</v>
      </c>
      <c r="C61" s="272">
        <f>'【国内】问卷调研-数据源（P3单独执行） '!C61+0.2</f>
        <v>0.4</v>
      </c>
      <c r="D61" s="99">
        <f>'【国内】问卷调研-数据源（P3单独执行） '!E61*0.4</f>
        <v>0.88</v>
      </c>
      <c r="E61" s="99">
        <f t="shared" si="26"/>
        <v>2.62166666666667</v>
      </c>
      <c r="F61" s="274">
        <f>'【国内】问卷调研-数据源（P3单独执行） '!F61*1.3</f>
        <v>2.34</v>
      </c>
      <c r="G61" s="275">
        <f>'【国内】问卷调研-数据源（P3单独执行） '!G61</f>
        <v>11.5667380442541</v>
      </c>
      <c r="H61" s="172">
        <f t="shared" si="25"/>
        <v>12.8229835831549</v>
      </c>
      <c r="I61" s="275"/>
      <c r="J61" s="280">
        <v>1401</v>
      </c>
      <c r="K61" s="99">
        <f>'【国内】问卷调研-数据源（P3单独执行） '!K61+0.2</f>
        <v>0.4</v>
      </c>
      <c r="L61" s="99">
        <f>'【国内】问卷调研-数据源（P3单独执行） '!M61*0.4</f>
        <v>0.92</v>
      </c>
      <c r="M61" s="99">
        <f t="shared" si="23"/>
        <v>2.78416666666667</v>
      </c>
      <c r="N61" s="274">
        <f>'【国内】问卷调研-数据源（P3单独执行） '!N61*1.3</f>
        <v>2.47</v>
      </c>
      <c r="O61" s="275">
        <f>'【国内】问卷调研-数据源（P3单独执行） '!O61</f>
        <v>12.830835117773</v>
      </c>
      <c r="P61" s="274">
        <f t="shared" si="24"/>
        <v>12.830835117773</v>
      </c>
      <c r="Q61" s="275"/>
      <c r="R61" s="280">
        <v>1401</v>
      </c>
      <c r="S61" s="99">
        <f>'【国内】问卷调研-数据源（P3单独执行） '!S61+0.2</f>
        <v>0.4</v>
      </c>
      <c r="T61" s="99">
        <f>'【国内】问卷调研-数据源（P3单独执行） '!U61*0.6</f>
        <v>1.44</v>
      </c>
      <c r="U61" s="99">
        <f t="shared" si="18"/>
        <v>1.58666666666667</v>
      </c>
      <c r="V61" s="274">
        <f>'【国内】问卷调研-数据源（P3单独执行） '!V61*1.3</f>
        <v>2.6</v>
      </c>
      <c r="W61" s="275">
        <f>'【国内】问卷调研-数据源（P3单独执行） '!W61</f>
        <v>14.0949321912919</v>
      </c>
      <c r="X61" s="172"/>
      <c r="Y61" s="275"/>
      <c r="Z61" s="280">
        <v>1401</v>
      </c>
      <c r="AA61" s="99">
        <f>'【国内】问卷调研-数据源（P3单独执行） '!AA61+0.2</f>
        <v>0.4</v>
      </c>
      <c r="AB61" s="281">
        <f>'【国内】问卷调研-数据源（P3单独执行） '!AC61*0.6</f>
        <v>1.5</v>
      </c>
      <c r="AC61" s="99">
        <f t="shared" si="19"/>
        <v>1.6925</v>
      </c>
      <c r="AD61" s="274">
        <f>'【国内】问卷调研-数据源（P3单独执行） '!AD61*1.3</f>
        <v>2.73</v>
      </c>
      <c r="AE61" s="275">
        <f>'【国内】问卷调研-数据源（P3单独执行） '!AE61</f>
        <v>15.3590292648109</v>
      </c>
      <c r="AF61" s="172"/>
      <c r="AG61" s="275"/>
      <c r="AH61" s="280">
        <v>1401</v>
      </c>
      <c r="AI61" s="99">
        <f>'【国内】问卷调研-数据源（P3单独执行） '!AI61+0.2</f>
        <v>0.4</v>
      </c>
      <c r="AJ61" s="99">
        <f>'【国内】问卷调研-数据源（P3单独执行） '!AK61*0.58</f>
        <v>1.508</v>
      </c>
      <c r="AK61" s="99">
        <f t="shared" si="20"/>
        <v>1.94566666666667</v>
      </c>
      <c r="AL61" s="274">
        <f>'【国内】问卷调研-数据源（P3单独执行） '!AL61*1.3</f>
        <v>2.86</v>
      </c>
      <c r="AM61" s="275">
        <f>'【国内】问卷调研-数据源（P3单独执行） '!AM61</f>
        <v>16.6231263383298</v>
      </c>
      <c r="AN61" s="172"/>
      <c r="AO61" s="275"/>
      <c r="AP61" s="280">
        <v>1401</v>
      </c>
      <c r="AQ61" s="99">
        <f>'【国内】问卷调研-数据源（P3单独执行） '!AQ61+0.2</f>
        <v>0.4</v>
      </c>
      <c r="AR61" s="99">
        <f>'【国内】问卷调研-数据源（P3单独执行） '!AS61*0.6</f>
        <v>1.62</v>
      </c>
      <c r="AS61" s="99">
        <f t="shared" si="21"/>
        <v>1.90416666666667</v>
      </c>
      <c r="AT61" s="274">
        <f>'【国内】问卷调研-数据源（P3单独执行） '!AT61*1.3</f>
        <v>2.99</v>
      </c>
      <c r="AU61" s="275">
        <f>'【国内】问卷调研-数据源（P3单独执行） '!AU61</f>
        <v>17.8872234118487</v>
      </c>
      <c r="AV61" s="172"/>
      <c r="AW61" s="275"/>
      <c r="AX61" s="280">
        <v>1401</v>
      </c>
      <c r="AY61" s="99">
        <f>'【国内】问卷调研-数据源（P3单独执行） '!AY61+0.2</f>
        <v>0.4</v>
      </c>
      <c r="AZ61" s="99">
        <f>'【国内】问卷调研-数据源（P3单独执行） '!BA61*0.6</f>
        <v>1.68</v>
      </c>
      <c r="BA61" s="99">
        <f t="shared" si="22"/>
        <v>2.01</v>
      </c>
      <c r="BB61" s="274">
        <f>'【国内】问卷调研-数据源（P3单独执行） '!BB61*1.3</f>
        <v>3.12</v>
      </c>
      <c r="BC61" s="275">
        <f>'【国内】问卷调研-数据源（P3单独执行） '!BC61</f>
        <v>19.1513204853676</v>
      </c>
    </row>
    <row r="62" s="266" customFormat="1" spans="1:55">
      <c r="A62" s="172" t="s">
        <v>116</v>
      </c>
      <c r="B62" s="172">
        <v>1601</v>
      </c>
      <c r="C62" s="272">
        <f>'【国内】问卷调研-数据源（P3单独执行） '!C62+0.2</f>
        <v>0.4</v>
      </c>
      <c r="D62" s="99">
        <f>'【国内】问卷调研-数据源（P3单独执行） '!E62*0.4</f>
        <v>0.96</v>
      </c>
      <c r="E62" s="99">
        <f t="shared" si="26"/>
        <v>2.96166666666667</v>
      </c>
      <c r="F62" s="274">
        <f>'【国内】问卷调研-数据源（P3单独执行） '!F62*1.3</f>
        <v>2.34</v>
      </c>
      <c r="G62" s="275">
        <f>'【国内】问卷调研-数据源（P3单独执行） '!G62</f>
        <v>11.1711430356027</v>
      </c>
      <c r="H62" s="172">
        <f t="shared" si="25"/>
        <v>12.37039350406</v>
      </c>
      <c r="I62" s="275"/>
      <c r="J62" s="172">
        <v>1601</v>
      </c>
      <c r="K62" s="99">
        <f>'【国内】问卷调研-数据源（P3单独执行） '!K62+0.2</f>
        <v>0.4</v>
      </c>
      <c r="L62" s="99">
        <f>'【国内】问卷调研-数据源（P3单独执行） '!M62*0.4</f>
        <v>1</v>
      </c>
      <c r="M62" s="99">
        <f t="shared" si="23"/>
        <v>3.12416666666667</v>
      </c>
      <c r="N62" s="274">
        <f>'【国内】问卷调研-数据源（P3单独执行） '!N62*1.3</f>
        <v>2.47</v>
      </c>
      <c r="O62" s="275">
        <f>'【国内】问卷调研-数据源（P3单独执行） '!O62</f>
        <v>12.4022485946284</v>
      </c>
      <c r="P62" s="274">
        <f t="shared" si="24"/>
        <v>12.4022485946284</v>
      </c>
      <c r="Q62" s="275"/>
      <c r="R62" s="172">
        <v>1601</v>
      </c>
      <c r="S62" s="99">
        <f>'【国内】问卷调研-数据源（P3单独执行） '!S62+0.2</f>
        <v>0.4</v>
      </c>
      <c r="T62" s="99">
        <f>'【国内】问卷调研-数据源（P3单独执行） '!U62*0.6</f>
        <v>1.56</v>
      </c>
      <c r="U62" s="99">
        <f t="shared" si="18"/>
        <v>1.81333333333333</v>
      </c>
      <c r="V62" s="274">
        <f>'【国内】问卷调研-数据源（P3单独执行） '!V62*1.3</f>
        <v>2.6</v>
      </c>
      <c r="W62" s="275">
        <f>'【国内】问卷调研-数据源（P3单独执行） '!W62</f>
        <v>13.633354153654</v>
      </c>
      <c r="X62" s="172"/>
      <c r="Y62" s="275"/>
      <c r="Z62" s="172">
        <v>1601</v>
      </c>
      <c r="AA62" s="99">
        <f>'【国内】问卷调研-数据源（P3单独执行） '!AA62+0.2</f>
        <v>0.4</v>
      </c>
      <c r="AB62" s="99">
        <f>'【国内】问卷调研-数据源（P3单独执行） '!AC62*0.6</f>
        <v>1.62</v>
      </c>
      <c r="AC62" s="99">
        <f t="shared" ref="AC62:AC68" si="27">(AE62*Z62-$AB$49*Z62-AA62*5900-AB62*3400-AD62*300)/1200</f>
        <v>1.91916666666667</v>
      </c>
      <c r="AD62" s="274">
        <f>'【国内】问卷调研-数据源（P3单独执行） '!AD62*1.3</f>
        <v>2.73</v>
      </c>
      <c r="AE62" s="275">
        <f>'【国内】问卷调研-数据源（P3单独执行） '!AE62</f>
        <v>14.8644597126796</v>
      </c>
      <c r="AF62" s="172"/>
      <c r="AG62" s="275"/>
      <c r="AH62" s="172">
        <v>1601</v>
      </c>
      <c r="AI62" s="99">
        <f>'【国内】问卷调研-数据源（P3单独执行） '!AI62+0.2</f>
        <v>0.4</v>
      </c>
      <c r="AJ62" s="99">
        <f>'【国内】问卷调研-数据源（P3单独执行） '!AK62*0.58</f>
        <v>1.624</v>
      </c>
      <c r="AK62" s="99">
        <f t="shared" ref="AK62:AK68" si="28">(AM62*AH62-$AJ$49*AH62-AI62*5900-AJ62*3400-AL62*300)/1200</f>
        <v>2.18366666666667</v>
      </c>
      <c r="AL62" s="274">
        <f>'【国内】问卷调研-数据源（P3单独执行） '!AL62*1.3</f>
        <v>2.86</v>
      </c>
      <c r="AM62" s="275">
        <f>'【国内】问卷调研-数据源（P3单独执行） '!AM62</f>
        <v>16.0955652717052</v>
      </c>
      <c r="AN62" s="172"/>
      <c r="AO62" s="275"/>
      <c r="AP62" s="172">
        <v>1601</v>
      </c>
      <c r="AQ62" s="99">
        <f>'【国内】问卷调研-数据源（P3单独执行） '!AQ62+0.2</f>
        <v>0.4</v>
      </c>
      <c r="AR62" s="99">
        <f>'【国内】问卷调研-数据源（P3单独执行） '!AS62*0.6</f>
        <v>1.74</v>
      </c>
      <c r="AS62" s="99">
        <f t="shared" ref="AS62:AS68" si="29">(AU62*AP62-$AR$49*AP62-AQ62*5900-AR62*3400-AT62*300)/1200</f>
        <v>2.13083333333334</v>
      </c>
      <c r="AT62" s="274">
        <f>'【国内】问卷调研-数据源（P3单独执行） '!AT62*1.3</f>
        <v>2.99</v>
      </c>
      <c r="AU62" s="275">
        <f>'【国内】问卷调研-数据源（P3单独执行） '!AU62</f>
        <v>17.3266708307308</v>
      </c>
      <c r="AV62" s="172"/>
      <c r="AW62" s="275"/>
      <c r="AX62" s="172">
        <v>1601</v>
      </c>
      <c r="AY62" s="99">
        <f>'【国内】问卷调研-数据源（P3单独执行） '!AY62+0.2</f>
        <v>0.4</v>
      </c>
      <c r="AZ62" s="99">
        <f>'【国内】问卷调研-数据源（P3单独执行） '!BA62*0.6</f>
        <v>1.8</v>
      </c>
      <c r="BA62" s="99">
        <f t="shared" ref="BA62:BA68" si="30">(BC62*AX62-$AZ$49*AX62-AY62*5900-AZ62*3400-BB62*300)/1200</f>
        <v>2.23666666666667</v>
      </c>
      <c r="BB62" s="274">
        <f>'【国内】问卷调研-数据源（P3单独执行） '!BB62*1.3</f>
        <v>3.12</v>
      </c>
      <c r="BC62" s="275">
        <f>'【国内】问卷调研-数据源（P3单独执行） '!BC62</f>
        <v>18.5577763897564</v>
      </c>
    </row>
    <row r="63" s="266" customFormat="1" spans="1:55">
      <c r="A63" s="172" t="s">
        <v>117</v>
      </c>
      <c r="B63" s="172">
        <v>1801</v>
      </c>
      <c r="C63" s="272">
        <f>'【国内】问卷调研-数据源（P3单独执行） '!C63+0.2</f>
        <v>0.4</v>
      </c>
      <c r="D63" s="99">
        <f>'【国内】问卷调研-数据源（P3单独执行） '!E63*0.4</f>
        <v>1.04</v>
      </c>
      <c r="E63" s="99">
        <f t="shared" si="26"/>
        <v>3.30166666666667</v>
      </c>
      <c r="F63" s="274">
        <f>'【国内】问卷调研-数据源（P3单独执行） '!F63*1.3</f>
        <v>2.34</v>
      </c>
      <c r="G63" s="275">
        <f>'【国内】问卷调研-数据源（P3单独执行） '!G63</f>
        <v>10.8634092171016</v>
      </c>
      <c r="H63" s="172">
        <f t="shared" si="25"/>
        <v>12.0183231538034</v>
      </c>
      <c r="I63" s="275"/>
      <c r="J63" s="172">
        <v>1801</v>
      </c>
      <c r="K63" s="99">
        <f>'【国内】问卷调研-数据源（P3单独执行） '!K63+0.2</f>
        <v>0.4</v>
      </c>
      <c r="L63" s="99">
        <f>'【国内】问卷调研-数据源（P3单独执行） '!M63*0.4</f>
        <v>1.08</v>
      </c>
      <c r="M63" s="99">
        <f t="shared" si="23"/>
        <v>3.46416666666667</v>
      </c>
      <c r="N63" s="274">
        <f>'【国内】问卷调研-数据源（P3单独执行） '!N63*1.3</f>
        <v>2.47</v>
      </c>
      <c r="O63" s="275">
        <f>'【国内】问卷调研-数据源（P3单独执行） '!O63</f>
        <v>12.0688506385341</v>
      </c>
      <c r="P63" s="274">
        <f t="shared" si="24"/>
        <v>12.0688506385341</v>
      </c>
      <c r="Q63" s="275"/>
      <c r="R63" s="172">
        <v>1801</v>
      </c>
      <c r="S63" s="99">
        <f>'【国内】问卷调研-数据源（P3单独执行） '!S63+0.2</f>
        <v>0.4</v>
      </c>
      <c r="T63" s="99">
        <f>'【国内】问卷调研-数据源（P3单独执行） '!U63*0.6</f>
        <v>1.68</v>
      </c>
      <c r="U63" s="99">
        <f t="shared" si="18"/>
        <v>2.04</v>
      </c>
      <c r="V63" s="274">
        <f>'【国内】问卷调研-数据源（P3单独执行） '!V63*1.3</f>
        <v>2.6</v>
      </c>
      <c r="W63" s="275">
        <f>'【国内】问卷调研-数据源（P3单独执行） '!W63</f>
        <v>13.2742920599667</v>
      </c>
      <c r="X63" s="172"/>
      <c r="Y63" s="275"/>
      <c r="Z63" s="172">
        <v>1801</v>
      </c>
      <c r="AA63" s="99">
        <f>'【国内】问卷调研-数据源（P3单独执行） '!AA63+0.2</f>
        <v>0.4</v>
      </c>
      <c r="AB63" s="99">
        <f>'【国内】问卷调研-数据源（P3单独执行） '!AC63*0.6</f>
        <v>1.74</v>
      </c>
      <c r="AC63" s="99">
        <f t="shared" si="27"/>
        <v>2.14583333333333</v>
      </c>
      <c r="AD63" s="274">
        <f>'【国内】问卷调研-数据源（P3单独执行） '!AD63*1.3</f>
        <v>2.73</v>
      </c>
      <c r="AE63" s="275">
        <f>'【国内】问卷调研-数据源（P3单独执行） '!AE63</f>
        <v>14.4797334813992</v>
      </c>
      <c r="AF63" s="172"/>
      <c r="AG63" s="275"/>
      <c r="AH63" s="172">
        <v>1801</v>
      </c>
      <c r="AI63" s="99">
        <f>'【国内】问卷调研-数据源（P3单独执行） '!AI63+0.2</f>
        <v>0.4</v>
      </c>
      <c r="AJ63" s="99">
        <f>'【国内】问卷调研-数据源（P3单独执行） '!AK63*0.58</f>
        <v>1.74</v>
      </c>
      <c r="AK63" s="99">
        <f t="shared" si="28"/>
        <v>2.42166666666667</v>
      </c>
      <c r="AL63" s="274">
        <f>'【国内】问卷调研-数据源（P3单独执行） '!AL63*1.3</f>
        <v>2.86</v>
      </c>
      <c r="AM63" s="275">
        <f>'【国内】问卷调研-数据源（P3单独执行） '!AM63</f>
        <v>15.6851749028318</v>
      </c>
      <c r="AN63" s="172"/>
      <c r="AO63" s="275"/>
      <c r="AP63" s="172">
        <v>1801</v>
      </c>
      <c r="AQ63" s="99">
        <f>'【国内】问卷调研-数据源（P3单独执行） '!AQ63+0.2</f>
        <v>0.4</v>
      </c>
      <c r="AR63" s="99">
        <f>'【国内】问卷调研-数据源（P3单独执行） '!AS63*0.6</f>
        <v>1.86</v>
      </c>
      <c r="AS63" s="99">
        <f t="shared" si="29"/>
        <v>2.3575</v>
      </c>
      <c r="AT63" s="274">
        <f>'【国内】问卷调研-数据源（P3单独执行） '!AT63*1.3</f>
        <v>2.99</v>
      </c>
      <c r="AU63" s="275">
        <f>'【国内】问卷调研-数据源（P3单独执行） '!AU63</f>
        <v>16.8906163242643</v>
      </c>
      <c r="AV63" s="172"/>
      <c r="AW63" s="275"/>
      <c r="AX63" s="172">
        <v>1801</v>
      </c>
      <c r="AY63" s="99">
        <f>'【国内】问卷调研-数据源（P3单独执行） '!AY63+0.2</f>
        <v>0.4</v>
      </c>
      <c r="AZ63" s="99">
        <f>'【国内】问卷调研-数据源（P3单独执行） '!BA63*0.6</f>
        <v>1.92</v>
      </c>
      <c r="BA63" s="99">
        <f t="shared" si="30"/>
        <v>2.46333333333333</v>
      </c>
      <c r="BB63" s="274">
        <f>'【国内】问卷调研-数据源（P3单独执行） '!BB63*1.3</f>
        <v>3.12</v>
      </c>
      <c r="BC63" s="275">
        <f>'【国内】问卷调研-数据源（P3单独执行） '!BC63</f>
        <v>18.0960577456968</v>
      </c>
    </row>
    <row r="64" s="266" customFormat="1" spans="1:55">
      <c r="A64" s="172" t="s">
        <v>118</v>
      </c>
      <c r="B64" s="172">
        <v>2001</v>
      </c>
      <c r="C64" s="272">
        <f>'【国内】问卷调研-数据源（P3单独执行） '!C64+0.2</f>
        <v>0.5</v>
      </c>
      <c r="D64" s="99">
        <f>'【国内】问卷调研-数据源（P3单独执行） '!E64*0.4</f>
        <v>1.12</v>
      </c>
      <c r="E64" s="99">
        <f t="shared" si="26"/>
        <v>3.62666666666667</v>
      </c>
      <c r="F64" s="274">
        <f>'【国内】问卷调研-数据源（P3单独执行） '!F64*1.3</f>
        <v>2.6</v>
      </c>
      <c r="G64" s="275">
        <f>'【国内】问卷调研-数据源（P3单独执行） '!G64</f>
        <v>10.9420289855072</v>
      </c>
      <c r="H64" s="172">
        <f t="shared" si="25"/>
        <v>12.0614692653673</v>
      </c>
      <c r="I64" s="275"/>
      <c r="J64" s="172">
        <v>2001</v>
      </c>
      <c r="K64" s="99">
        <f>'【国内】问卷调研-数据源（P3单独执行） '!K64+0.2</f>
        <v>0.5</v>
      </c>
      <c r="L64" s="99">
        <f>'【国内】问卷调研-数据源（P3单独执行） '!M64*0.4</f>
        <v>1.16</v>
      </c>
      <c r="M64" s="99">
        <f t="shared" si="23"/>
        <v>3.78916666666667</v>
      </c>
      <c r="N64" s="274">
        <f>'【国内】问卷调研-数据源（P3单独执行） '!N64*1.3</f>
        <v>2.73</v>
      </c>
      <c r="O64" s="275">
        <f>'【国内】问卷调研-数据源（P3单独执行） '!O64</f>
        <v>12.1269365317341</v>
      </c>
      <c r="P64" s="274">
        <f t="shared" si="24"/>
        <v>12.1269365317341</v>
      </c>
      <c r="Q64" s="275"/>
      <c r="R64" s="172">
        <v>2001</v>
      </c>
      <c r="S64" s="99">
        <f>'【国内】问卷调研-数据源（P3单独执行） '!S64+0.2</f>
        <v>0.5</v>
      </c>
      <c r="T64" s="99">
        <f>'【国内】问卷调研-数据源（P3单独执行） '!U64*0.6</f>
        <v>1.8</v>
      </c>
      <c r="U64" s="99">
        <f t="shared" si="18"/>
        <v>2.25166666666667</v>
      </c>
      <c r="V64" s="274">
        <f>'【国内】问卷调研-数据源（P3单独执行） '!V64*1.3</f>
        <v>2.86</v>
      </c>
      <c r="W64" s="275">
        <f>'【国内】问卷调研-数据源（P3单独执行） '!W64</f>
        <v>13.311844077961</v>
      </c>
      <c r="X64" s="172"/>
      <c r="Y64" s="275"/>
      <c r="Z64" s="172">
        <v>2001</v>
      </c>
      <c r="AA64" s="99">
        <f>'【国内】问卷调研-数据源（P3单独执行） '!AA64+0.2</f>
        <v>0.5</v>
      </c>
      <c r="AB64" s="99">
        <f>'【国内】问卷调研-数据源（P3单独执行） '!AC64*0.6</f>
        <v>1.86</v>
      </c>
      <c r="AC64" s="99">
        <f t="shared" si="27"/>
        <v>2.3575</v>
      </c>
      <c r="AD64" s="274">
        <f>'【国内】问卷调研-数据源（P3单独执行） '!AD64*1.3</f>
        <v>2.99</v>
      </c>
      <c r="AE64" s="275">
        <f>'【国内】问卷调研-数据源（P3单独执行） '!AE64</f>
        <v>14.4967516241879</v>
      </c>
      <c r="AF64" s="172"/>
      <c r="AG64" s="275"/>
      <c r="AH64" s="172">
        <v>2001</v>
      </c>
      <c r="AI64" s="99">
        <f>'【国内】问卷调研-数据源（P3单独执行） '!AI64+0.2</f>
        <v>0.5</v>
      </c>
      <c r="AJ64" s="99">
        <f>'【国内】问卷调研-数据源（P3单独执行） '!AK64*0.58</f>
        <v>1.856</v>
      </c>
      <c r="AK64" s="99">
        <f t="shared" si="28"/>
        <v>2.64466666666667</v>
      </c>
      <c r="AL64" s="274">
        <f>'【国内】问卷调研-数据源（P3单独执行） '!AL64*1.3</f>
        <v>3.12</v>
      </c>
      <c r="AM64" s="275">
        <f>'【国内】问卷调研-数据源（P3单独执行） '!AM64</f>
        <v>15.6816591704148</v>
      </c>
      <c r="AN64" s="172"/>
      <c r="AO64" s="275"/>
      <c r="AP64" s="172">
        <v>2001</v>
      </c>
      <c r="AQ64" s="99">
        <f>'【国内】问卷调研-数据源（P3单独执行） '!AQ64+0.2</f>
        <v>0.5</v>
      </c>
      <c r="AR64" s="99">
        <f>'【国内】问卷调研-数据源（P3单独执行） '!AS64*0.6</f>
        <v>1.98</v>
      </c>
      <c r="AS64" s="99">
        <f t="shared" si="29"/>
        <v>2.56916666666667</v>
      </c>
      <c r="AT64" s="274">
        <f>'【国内】问卷调研-数据源（P3单独执行） '!AT64*1.3</f>
        <v>3.25</v>
      </c>
      <c r="AU64" s="275">
        <f>'【国内】问卷调研-数据源（P3单独执行） '!AU64</f>
        <v>16.8665667166417</v>
      </c>
      <c r="AV64" s="172"/>
      <c r="AW64" s="275"/>
      <c r="AX64" s="172">
        <v>2001</v>
      </c>
      <c r="AY64" s="99">
        <f>'【国内】问卷调研-数据源（P3单独执行） '!AY64+0.2</f>
        <v>0.5</v>
      </c>
      <c r="AZ64" s="99">
        <f>'【国内】问卷调研-数据源（P3单独执行） '!BA64*0.6</f>
        <v>2.04</v>
      </c>
      <c r="BA64" s="99">
        <f t="shared" si="30"/>
        <v>2.675</v>
      </c>
      <c r="BB64" s="274">
        <f>'【国内】问卷调研-数据源（P3单独执行） '!BB64*1.3</f>
        <v>3.38</v>
      </c>
      <c r="BC64" s="275">
        <f>'【国内】问卷调研-数据源（P3单独执行） '!BC64</f>
        <v>18.0514742628686</v>
      </c>
    </row>
    <row r="65" s="266" customFormat="1" spans="1:55">
      <c r="A65" s="172" t="s">
        <v>119</v>
      </c>
      <c r="B65" s="172">
        <v>2201</v>
      </c>
      <c r="C65" s="272">
        <f>'【国内】问卷调研-数据源（P3单独执行） '!C65+0.2</f>
        <v>0.5</v>
      </c>
      <c r="D65" s="99">
        <f>'【国内】问卷调研-数据源（P3单独执行） '!E65*0.4</f>
        <v>1.2</v>
      </c>
      <c r="E65" s="99">
        <f t="shared" si="26"/>
        <v>3.96666666666667</v>
      </c>
      <c r="F65" s="274">
        <f>'【国内】问卷调研-数据源（P3单独执行） '!F65*1.3</f>
        <v>2.6</v>
      </c>
      <c r="G65" s="275">
        <f>'【国内】问卷调研-数据源（P3单独执行） '!G65</f>
        <v>10.7110404361654</v>
      </c>
      <c r="H65" s="172">
        <f t="shared" si="25"/>
        <v>11.8014538845979</v>
      </c>
      <c r="I65" s="275"/>
      <c r="J65" s="172">
        <v>2201</v>
      </c>
      <c r="K65" s="99">
        <f>'【国内】问卷调研-数据源（P3单独执行） '!K65+0.2</f>
        <v>0.5</v>
      </c>
      <c r="L65" s="99">
        <f>'【国内】问卷调研-数据源（P3单独执行） '!M65*0.4</f>
        <v>1.24</v>
      </c>
      <c r="M65" s="99">
        <f t="shared" si="23"/>
        <v>4.12916666666667</v>
      </c>
      <c r="N65" s="274">
        <f>'【国内】问卷调研-数据源（P3单独执行） '!N65*1.3</f>
        <v>2.73</v>
      </c>
      <c r="O65" s="275">
        <f>'【国内】问卷调研-数据源（P3单独执行） '!O65</f>
        <v>11.8791458427987</v>
      </c>
      <c r="P65" s="274">
        <f t="shared" si="24"/>
        <v>11.8791458427987</v>
      </c>
      <c r="Q65" s="275"/>
      <c r="R65" s="172">
        <v>2201</v>
      </c>
      <c r="S65" s="99">
        <f>'【国内】问卷调研-数据源（P3单独执行） '!S65+0.2</f>
        <v>0.5</v>
      </c>
      <c r="T65" s="99">
        <f>'【国内】问卷调研-数据源（P3单独执行） '!U65*0.6</f>
        <v>1.92</v>
      </c>
      <c r="U65" s="99">
        <f t="shared" si="18"/>
        <v>2.47833333333333</v>
      </c>
      <c r="V65" s="274">
        <f>'【国内】问卷调研-数据源（P3单独执行） '!V65*1.3</f>
        <v>2.86</v>
      </c>
      <c r="W65" s="275">
        <f>'【国内】问卷调研-数据源（P3单独执行） '!W65</f>
        <v>13.0472512494321</v>
      </c>
      <c r="X65" s="172"/>
      <c r="Y65" s="275"/>
      <c r="Z65" s="172">
        <v>2201</v>
      </c>
      <c r="AA65" s="99">
        <f>'【国内】问卷调研-数据源（P3单独执行） '!AA65+0.2</f>
        <v>0.5</v>
      </c>
      <c r="AB65" s="99">
        <f>'【国内】问卷调研-数据源（P3单独执行） '!AC65*0.6</f>
        <v>1.98</v>
      </c>
      <c r="AC65" s="99">
        <f t="shared" si="27"/>
        <v>2.58416666666667</v>
      </c>
      <c r="AD65" s="274">
        <f>'【国内】问卷调研-数据源（P3单独执行） '!AD65*1.3</f>
        <v>2.99</v>
      </c>
      <c r="AE65" s="275">
        <f>'【国内】问卷调研-数据源（P3单独执行） '!AE65</f>
        <v>14.2153566560654</v>
      </c>
      <c r="AF65" s="172"/>
      <c r="AG65" s="275"/>
      <c r="AH65" s="172">
        <v>2201</v>
      </c>
      <c r="AI65" s="99">
        <f>'【国内】问卷调研-数据源（P3单独执行） '!AI65+0.2</f>
        <v>0.5</v>
      </c>
      <c r="AJ65" s="99">
        <f>'【国内】问卷调研-数据源（P3单独执行） '!AK65*0.58</f>
        <v>1.972</v>
      </c>
      <c r="AK65" s="99">
        <f t="shared" si="28"/>
        <v>2.88266666666667</v>
      </c>
      <c r="AL65" s="274">
        <f>'【国内】问卷调研-数据源（P3单独执行） '!AL65*1.3</f>
        <v>3.12</v>
      </c>
      <c r="AM65" s="275">
        <f>'【国内】问卷调研-数据源（P3单独执行） '!AM65</f>
        <v>15.3834620626988</v>
      </c>
      <c r="AN65" s="172"/>
      <c r="AO65" s="275"/>
      <c r="AP65" s="172">
        <v>2201</v>
      </c>
      <c r="AQ65" s="99">
        <f>'【国内】问卷调研-数据源（P3单独执行） '!AQ65+0.2</f>
        <v>0.5</v>
      </c>
      <c r="AR65" s="99">
        <f>'【国内】问卷调研-数据源（P3单独执行） '!AS65*0.6</f>
        <v>2.1</v>
      </c>
      <c r="AS65" s="99">
        <f t="shared" si="29"/>
        <v>2.79583333333333</v>
      </c>
      <c r="AT65" s="274">
        <f>'【国内】问卷调研-数据源（P3单独执行） '!AT65*1.3</f>
        <v>3.25</v>
      </c>
      <c r="AU65" s="275">
        <f>'【国内】问卷调研-数据源（P3单独执行） '!AU65</f>
        <v>16.5515674693321</v>
      </c>
      <c r="AV65" s="172"/>
      <c r="AW65" s="275"/>
      <c r="AX65" s="172">
        <v>2201</v>
      </c>
      <c r="AY65" s="99">
        <f>'【国内】问卷调研-数据源（P3单独执行） '!AY65+0.2</f>
        <v>0.5</v>
      </c>
      <c r="AZ65" s="99">
        <f>'【国内】问卷调研-数据源（P3单独执行） '!BA65*0.6</f>
        <v>2.16</v>
      </c>
      <c r="BA65" s="99">
        <f t="shared" si="30"/>
        <v>2.90166666666667</v>
      </c>
      <c r="BB65" s="274">
        <f>'【国内】问卷调研-数据源（P3单独执行） '!BB65*1.3</f>
        <v>3.38</v>
      </c>
      <c r="BC65" s="275">
        <f>'【国内】问卷调研-数据源（P3单独执行） '!BC65</f>
        <v>17.7196728759655</v>
      </c>
    </row>
    <row r="66" s="266" customFormat="1" spans="1:55">
      <c r="A66" s="172" t="s">
        <v>120</v>
      </c>
      <c r="B66" s="172">
        <v>2401</v>
      </c>
      <c r="C66" s="272">
        <f>'【国内】问卷调研-数据源（P3单独执行） '!C66+0.2</f>
        <v>0.5</v>
      </c>
      <c r="D66" s="99">
        <f>'【国内】问卷调研-数据源（P3单独执行） '!E66*0.4</f>
        <v>1.24</v>
      </c>
      <c r="E66" s="99">
        <f t="shared" si="26"/>
        <v>4.13666666666667</v>
      </c>
      <c r="F66" s="274">
        <f>'【国内】问卷调研-数据源（P3单独执行） '!F66*1.3</f>
        <v>2.6</v>
      </c>
      <c r="G66" s="275">
        <f>'【国内】问卷调研-数据源（P3单独执行） '!G66</f>
        <v>10.3769262807164</v>
      </c>
      <c r="H66" s="172">
        <f t="shared" si="25"/>
        <v>11.4098292378176</v>
      </c>
      <c r="I66" s="275"/>
      <c r="J66" s="172">
        <v>2401</v>
      </c>
      <c r="K66" s="99">
        <f>'【国内】问卷调研-数据源（P3单独执行） '!K66+0.2</f>
        <v>0.5</v>
      </c>
      <c r="L66" s="99">
        <f>'【国内】问卷调研-数据源（P3单独执行） '!M66*0.4</f>
        <v>1.28</v>
      </c>
      <c r="M66" s="99">
        <f t="shared" si="23"/>
        <v>4.29916666666667</v>
      </c>
      <c r="N66" s="274">
        <f>'【国内】问卷调研-数据源（P3单独执行） '!N66*1.3</f>
        <v>2.73</v>
      </c>
      <c r="O66" s="275">
        <f>'【国内】问卷调研-数据源（P3单独执行） '!O66</f>
        <v>11.5310287380258</v>
      </c>
      <c r="P66" s="274">
        <f t="shared" si="24"/>
        <v>11.5310287380258</v>
      </c>
      <c r="Q66" s="275"/>
      <c r="R66" s="172">
        <v>2401</v>
      </c>
      <c r="S66" s="99">
        <f>'【国内】问卷调研-数据源（P3单独执行） '!S66+0.2</f>
        <v>0.5</v>
      </c>
      <c r="T66" s="99">
        <f>'【国内】问卷调研-数据源（P3单独执行） '!U66*0.6</f>
        <v>1.98</v>
      </c>
      <c r="U66" s="99">
        <f t="shared" si="18"/>
        <v>2.59166666666667</v>
      </c>
      <c r="V66" s="274">
        <f>'【国内】问卷调研-数据源（P3单独执行） '!V66*1.3</f>
        <v>2.86</v>
      </c>
      <c r="W66" s="275">
        <f>'【国内】问卷调研-数据源（P3单独执行） '!W66</f>
        <v>12.6851311953353</v>
      </c>
      <c r="X66" s="172"/>
      <c r="Y66" s="275"/>
      <c r="Z66" s="172">
        <v>2401</v>
      </c>
      <c r="AA66" s="99">
        <f>'【国内】问卷调研-数据源（P3单独执行） '!AA66+0.2</f>
        <v>0.5</v>
      </c>
      <c r="AB66" s="99">
        <f>'【国内】问卷调研-数据源（P3单独执行） '!AC66*0.6</f>
        <v>2.04</v>
      </c>
      <c r="AC66" s="99">
        <f t="shared" si="27"/>
        <v>2.6975</v>
      </c>
      <c r="AD66" s="274">
        <f>'【国内】问卷调研-数据源（P3单独执行） '!AD66*1.3</f>
        <v>2.99</v>
      </c>
      <c r="AE66" s="275">
        <f>'【国内】问卷调研-数据源（P3单独执行） '!AE66</f>
        <v>13.8392336526447</v>
      </c>
      <c r="AF66" s="172"/>
      <c r="AG66" s="275"/>
      <c r="AH66" s="172">
        <v>2401</v>
      </c>
      <c r="AI66" s="99">
        <f>'【国内】问卷调研-数据源（P3单独执行） '!AI66+0.2</f>
        <v>0.5</v>
      </c>
      <c r="AJ66" s="99">
        <f>'【国内】问卷调研-数据源（P3单独执行） '!AK66*0.58</f>
        <v>2.03</v>
      </c>
      <c r="AK66" s="99">
        <f t="shared" si="28"/>
        <v>3.00166666666667</v>
      </c>
      <c r="AL66" s="274">
        <f>'【国内】问卷调研-数据源（P3单独执行） '!AL66*1.3</f>
        <v>3.12</v>
      </c>
      <c r="AM66" s="275">
        <f>'【国内】问卷调研-数据源（P3单独执行） '!AM66</f>
        <v>14.9933361099542</v>
      </c>
      <c r="AN66" s="172"/>
      <c r="AO66" s="275"/>
      <c r="AP66" s="172">
        <v>2401</v>
      </c>
      <c r="AQ66" s="99">
        <f>'【国内】问卷调研-数据源（P3单独执行） '!AQ66+0.2</f>
        <v>0.5</v>
      </c>
      <c r="AR66" s="99">
        <f>'【国内】问卷调研-数据源（P3单独执行） '!AS66*0.6</f>
        <v>2.16</v>
      </c>
      <c r="AS66" s="99">
        <f t="shared" si="29"/>
        <v>2.90916666666667</v>
      </c>
      <c r="AT66" s="274">
        <f>'【国内】问卷调研-数据源（P3单独执行） '!AT66*1.3</f>
        <v>3.25</v>
      </c>
      <c r="AU66" s="275">
        <f>'【国内】问卷调研-数据源（P3单独执行） '!AU66</f>
        <v>16.1474385672636</v>
      </c>
      <c r="AV66" s="172"/>
      <c r="AW66" s="275"/>
      <c r="AX66" s="172">
        <v>2401</v>
      </c>
      <c r="AY66" s="99">
        <f>'【国内】问卷调研-数据源（P3单独执行） '!AY66+0.2</f>
        <v>0.5</v>
      </c>
      <c r="AZ66" s="99">
        <f>'【国内】问卷调研-数据源（P3单独执行） '!BA66*0.6</f>
        <v>2.22</v>
      </c>
      <c r="BA66" s="99">
        <f t="shared" si="30"/>
        <v>3.015</v>
      </c>
      <c r="BB66" s="274">
        <f>'【国内】问卷调研-数据源（P3单独执行） '!BB66*1.3</f>
        <v>3.38</v>
      </c>
      <c r="BC66" s="275">
        <f>'【国内】问卷调研-数据源（P3单独执行） '!BC66</f>
        <v>17.3015410245731</v>
      </c>
    </row>
    <row r="67" s="266" customFormat="1" spans="1:55">
      <c r="A67" s="172" t="s">
        <v>121</v>
      </c>
      <c r="B67" s="172">
        <v>2601</v>
      </c>
      <c r="C67" s="272">
        <f>'【国内】问卷调研-数据源（P3单独执行） '!C67+0.2</f>
        <v>0.6</v>
      </c>
      <c r="D67" s="99">
        <f>'【国内】问卷调研-数据源（P3单独执行） '!E67*0.4</f>
        <v>1.28</v>
      </c>
      <c r="E67" s="99">
        <f t="shared" si="26"/>
        <v>4.30666666666667</v>
      </c>
      <c r="F67" s="274">
        <f>'【国内】问卷调研-数据源（P3单独执行） '!F67*1.3</f>
        <v>2.6</v>
      </c>
      <c r="G67" s="275">
        <f>'【国内】问卷调研-数据源（P3单独执行） '!G67</f>
        <v>10.3210303729335</v>
      </c>
      <c r="H67" s="172">
        <f t="shared" si="25"/>
        <v>11.3052672049212</v>
      </c>
      <c r="I67" s="275"/>
      <c r="J67" s="172">
        <v>2601</v>
      </c>
      <c r="K67" s="99">
        <f>'【国内】问卷调研-数据源（P3单独执行） '!K67+0.2</f>
        <v>0.6</v>
      </c>
      <c r="L67" s="99">
        <f>'【国内】问卷调研-数据源（P3单独执行） '!M67*0.4</f>
        <v>1.32</v>
      </c>
      <c r="M67" s="99">
        <f t="shared" si="23"/>
        <v>4.46916666666667</v>
      </c>
      <c r="N67" s="274">
        <f>'【国内】问卷调研-数据源（P3单独执行） '!N67*1.3</f>
        <v>2.73</v>
      </c>
      <c r="O67" s="275">
        <f>'【国内】问卷调研-数据源（P3单独执行） '!O67</f>
        <v>11.4632833525567</v>
      </c>
      <c r="P67" s="274">
        <f t="shared" si="24"/>
        <v>11.4632833525567</v>
      </c>
      <c r="Q67" s="275"/>
      <c r="R67" s="172">
        <v>2601</v>
      </c>
      <c r="S67" s="99">
        <f>'【国内】问卷调研-数据源（P3单独执行） '!S67+0.2</f>
        <v>0.6</v>
      </c>
      <c r="T67" s="99">
        <f>'【国内】问卷调研-数据源（P3单独执行） '!U67*0.6</f>
        <v>2.04</v>
      </c>
      <c r="U67" s="99">
        <f t="shared" si="18"/>
        <v>2.705</v>
      </c>
      <c r="V67" s="274">
        <f>'【国内】问卷调研-数据源（P3单独执行） '!V67*1.3</f>
        <v>2.86</v>
      </c>
      <c r="W67" s="275">
        <f>'【国内】问卷调研-数据源（P3单独执行） '!W67</f>
        <v>12.6055363321799</v>
      </c>
      <c r="X67" s="172"/>
      <c r="Y67" s="275"/>
      <c r="Z67" s="172">
        <v>2601</v>
      </c>
      <c r="AA67" s="99">
        <f>'【国内】问卷调研-数据源（P3单独执行） '!AA67+0.2</f>
        <v>0.6</v>
      </c>
      <c r="AB67" s="99">
        <f>'【国内】问卷调研-数据源（P3单独执行） '!AC67*0.6</f>
        <v>2.1</v>
      </c>
      <c r="AC67" s="99">
        <f t="shared" si="27"/>
        <v>2.81083333333333</v>
      </c>
      <c r="AD67" s="274">
        <f>'【国内】问卷调研-数据源（P3单独执行） '!AD67*1.3</f>
        <v>2.99</v>
      </c>
      <c r="AE67" s="275">
        <f>'【国内】问卷调研-数据源（P3单独执行） '!AE67</f>
        <v>13.7477893118032</v>
      </c>
      <c r="AF67" s="172"/>
      <c r="AG67" s="275"/>
      <c r="AH67" s="172">
        <v>2601</v>
      </c>
      <c r="AI67" s="99">
        <f>'【国内】问卷调研-数据源（P3单独执行） '!AI67+0.2</f>
        <v>0.6</v>
      </c>
      <c r="AJ67" s="99">
        <f>'【国内】问卷调研-数据源（P3单独执行） '!AK67*0.58</f>
        <v>2.088</v>
      </c>
      <c r="AK67" s="99">
        <f t="shared" si="28"/>
        <v>3.12066666666667</v>
      </c>
      <c r="AL67" s="274">
        <f>'【国内】问卷调研-数据源（P3单独执行） '!AL67*1.3</f>
        <v>3.12</v>
      </c>
      <c r="AM67" s="275">
        <f>'【国内】问卷调研-数据源（P3单独执行） '!AM67</f>
        <v>14.8900422914264</v>
      </c>
      <c r="AN67" s="172"/>
      <c r="AO67" s="275"/>
      <c r="AP67" s="172">
        <v>2601</v>
      </c>
      <c r="AQ67" s="99">
        <f>'【国内】问卷调研-数据源（P3单独执行） '!AQ67+0.2</f>
        <v>0.6</v>
      </c>
      <c r="AR67" s="99">
        <f>'【国内】问卷调研-数据源（P3单独执行） '!AS67*0.6</f>
        <v>2.22</v>
      </c>
      <c r="AS67" s="99">
        <f t="shared" si="29"/>
        <v>3.02249999999999</v>
      </c>
      <c r="AT67" s="274">
        <f>'【国内】问卷调研-数据源（P3单独执行） '!AT67*1.3</f>
        <v>3.25</v>
      </c>
      <c r="AU67" s="275">
        <f>'【国内】问卷调研-数据源（P3单独执行） '!AU67</f>
        <v>16.0322952710496</v>
      </c>
      <c r="AV67" s="172"/>
      <c r="AW67" s="275"/>
      <c r="AX67" s="172">
        <v>2601</v>
      </c>
      <c r="AY67" s="99">
        <f>'【国内】问卷调研-数据源（P3单独执行） '!AY67+0.2</f>
        <v>0.6</v>
      </c>
      <c r="AZ67" s="99">
        <f>'【国内】问卷调研-数据源（P3单独执行） '!BA67*0.6</f>
        <v>2.28</v>
      </c>
      <c r="BA67" s="99">
        <f t="shared" si="30"/>
        <v>3.12833333333333</v>
      </c>
      <c r="BB67" s="274">
        <f>'【国内】问卷调研-数据源（P3单独执行） '!BB67*1.3</f>
        <v>3.38</v>
      </c>
      <c r="BC67" s="275">
        <f>'【国内】问卷调研-数据源（P3单独执行） '!BC67</f>
        <v>17.1745482506728</v>
      </c>
    </row>
    <row r="68" s="266" customFormat="1" spans="1:55">
      <c r="A68" s="172" t="s">
        <v>122</v>
      </c>
      <c r="B68" s="172">
        <v>2801</v>
      </c>
      <c r="C68" s="272">
        <f>'【国内】问卷调研-数据源（P3单独执行） '!C68+0.2</f>
        <v>0.6</v>
      </c>
      <c r="D68" s="99">
        <f>'【国内】问卷调研-数据源（P3单独执行） '!E68*0.4</f>
        <v>1.44</v>
      </c>
      <c r="E68" s="99">
        <f t="shared" si="26"/>
        <v>4.98666666666667</v>
      </c>
      <c r="F68" s="274">
        <f>'【国内】问卷调研-数据源（P3单独执行） '!F68*1.3</f>
        <v>2.6</v>
      </c>
      <c r="G68" s="275">
        <f>'【国内】问卷调研-数据源（P3单独执行） '!G68</f>
        <v>10.4266333452338</v>
      </c>
      <c r="H68" s="172">
        <f t="shared" si="25"/>
        <v>11.454837558015</v>
      </c>
      <c r="I68" s="275"/>
      <c r="J68" s="172">
        <v>2801</v>
      </c>
      <c r="K68" s="99">
        <f>'【国内】问卷调研-数据源（P3单独执行） '!K68+0.2</f>
        <v>0.6</v>
      </c>
      <c r="L68" s="99">
        <f>'【国内】问卷调研-数据源（P3单独执行） '!M68*0.4</f>
        <v>1.48</v>
      </c>
      <c r="M68" s="99">
        <f t="shared" si="23"/>
        <v>5.14916666666667</v>
      </c>
      <c r="N68" s="274">
        <f>'【国内】问卷调研-数据源（P3单独执行） '!N68*1.3</f>
        <v>2.73</v>
      </c>
      <c r="O68" s="275">
        <f>'【国内】问卷调研-数据源（P3单独执行） '!O68</f>
        <v>11.5587290253481</v>
      </c>
      <c r="P68" s="274">
        <f t="shared" si="24"/>
        <v>11.5587290253481</v>
      </c>
      <c r="Q68" s="275"/>
      <c r="R68" s="172">
        <v>2801</v>
      </c>
      <c r="S68" s="99">
        <f>'【国内】问卷调研-数据源（P3单独执行） '!S68+0.2</f>
        <v>0.6</v>
      </c>
      <c r="T68" s="99">
        <f>'【国内】问卷调研-数据源（P3单独执行） '!U68*0.6</f>
        <v>2.28</v>
      </c>
      <c r="U68" s="99">
        <f t="shared" si="18"/>
        <v>3.15833333333333</v>
      </c>
      <c r="V68" s="274">
        <f>'【国内】问卷调研-数据源（P3单独执行） '!V68*1.3</f>
        <v>2.86</v>
      </c>
      <c r="W68" s="275">
        <f>'【国内】问卷调研-数据源（P3单独执行） '!W68</f>
        <v>12.6908247054623</v>
      </c>
      <c r="X68" s="172"/>
      <c r="Y68" s="275"/>
      <c r="Z68" s="172">
        <v>2801</v>
      </c>
      <c r="AA68" s="99">
        <f>'【国内】问卷调研-数据源（P3单独执行） '!AA68+0.2</f>
        <v>0.6</v>
      </c>
      <c r="AB68" s="99">
        <f>'【国内】问卷调研-数据源（P3单独执行） '!AC68*0.6</f>
        <v>2.34</v>
      </c>
      <c r="AC68" s="99">
        <f t="shared" si="27"/>
        <v>3.26416666666667</v>
      </c>
      <c r="AD68" s="274">
        <f>'【国内】问卷调研-数据源（P3单独执行） '!AD68*1.3</f>
        <v>2.99</v>
      </c>
      <c r="AE68" s="275">
        <f>'【国内】问卷调研-数据源（P3单独执行） '!AE68</f>
        <v>13.8229203855766</v>
      </c>
      <c r="AF68" s="172"/>
      <c r="AG68" s="275"/>
      <c r="AH68" s="172">
        <v>2801</v>
      </c>
      <c r="AI68" s="99">
        <f>'【国内】问卷调研-数据源（P3单独执行） '!AI68+0.2</f>
        <v>0.6</v>
      </c>
      <c r="AJ68" s="99">
        <f>'【国内】问卷调研-数据源（P3单独执行） '!AK68*0.58</f>
        <v>2.32</v>
      </c>
      <c r="AK68" s="99">
        <f t="shared" si="28"/>
        <v>3.59666666666667</v>
      </c>
      <c r="AL68" s="274">
        <f>'【国内】问卷调研-数据源（P3单独执行） '!AL68*1.3</f>
        <v>3.12</v>
      </c>
      <c r="AM68" s="275">
        <f>'【国内】问卷调研-数据源（P3单独执行） '!AM68</f>
        <v>14.9550160656908</v>
      </c>
      <c r="AN68" s="172"/>
      <c r="AO68" s="275"/>
      <c r="AP68" s="172">
        <v>2801</v>
      </c>
      <c r="AQ68" s="99">
        <f>'【国内】问卷调研-数据源（P3单独执行） '!AQ68+0.2</f>
        <v>0.6</v>
      </c>
      <c r="AR68" s="99">
        <f>'【国内】问卷调研-数据源（P3单独执行） '!AS68*0.6</f>
        <v>2.46</v>
      </c>
      <c r="AS68" s="99">
        <f t="shared" si="29"/>
        <v>3.47583333333334</v>
      </c>
      <c r="AT68" s="274">
        <f>'【国内】问卷调研-数据源（P3单独执行） '!AT68*1.3</f>
        <v>3.25</v>
      </c>
      <c r="AU68" s="275">
        <f>'【国内】问卷调研-数据源（P3单独执行） '!AU68</f>
        <v>16.0871117458051</v>
      </c>
      <c r="AV68" s="172"/>
      <c r="AW68" s="275"/>
      <c r="AX68" s="172">
        <v>2801</v>
      </c>
      <c r="AY68" s="99">
        <f>'【国内】问卷调研-数据源（P3单独执行） '!AY68+0.2</f>
        <v>0.6</v>
      </c>
      <c r="AZ68" s="99">
        <f>'【国内】问卷调研-数据源（P3单独执行） '!BA68*0.6</f>
        <v>2.52</v>
      </c>
      <c r="BA68" s="99">
        <f t="shared" si="30"/>
        <v>3.58166666666667</v>
      </c>
      <c r="BB68" s="274">
        <f>'【国内】问卷调研-数据源（P3单独执行） '!BB68*1.3</f>
        <v>3.38</v>
      </c>
      <c r="BC68" s="275">
        <f>'【国内】问卷调研-数据源（P3单独执行） '!BC68</f>
        <v>17.2192074259193</v>
      </c>
    </row>
    <row r="69" spans="1:55">
      <c r="B69" s="267">
        <v>501</v>
      </c>
      <c r="G69" s="275"/>
      <c r="H69" s="172"/>
      <c r="I69" s="269"/>
      <c r="Q69" s="269"/>
      <c r="Y69" s="269"/>
      <c r="AG69" s="269"/>
      <c r="AO69" s="269"/>
      <c r="AW69" s="269"/>
    </row>
    <row r="70" spans="1:55">
      <c r="B70" s="268" t="s">
        <v>91</v>
      </c>
      <c r="C70" s="268" t="s">
        <v>5</v>
      </c>
      <c r="I70" s="269"/>
      <c r="J70" s="268" t="s">
        <v>91</v>
      </c>
      <c r="K70" s="268"/>
      <c r="L70" s="268" t="s">
        <v>5</v>
      </c>
      <c r="Q70" s="269"/>
      <c r="R70" s="268" t="s">
        <v>91</v>
      </c>
      <c r="S70" s="268"/>
      <c r="T70" s="268" t="s">
        <v>5</v>
      </c>
      <c r="Y70" s="269"/>
      <c r="Z70" s="268" t="s">
        <v>91</v>
      </c>
      <c r="AA70" s="268"/>
      <c r="AB70" s="268" t="s">
        <v>5</v>
      </c>
      <c r="AG70" s="269"/>
      <c r="AH70" s="268" t="s">
        <v>91</v>
      </c>
      <c r="AI70" s="268"/>
      <c r="AJ70" s="268" t="s">
        <v>5</v>
      </c>
      <c r="AO70" s="269"/>
      <c r="AP70" s="268" t="s">
        <v>91</v>
      </c>
      <c r="AQ70" s="268"/>
      <c r="AR70" s="268" t="s">
        <v>5</v>
      </c>
      <c r="AW70" s="269"/>
      <c r="AX70" s="268" t="s">
        <v>91</v>
      </c>
      <c r="AY70" s="268"/>
      <c r="AZ70" s="268" t="s">
        <v>5</v>
      </c>
    </row>
    <row r="71" spans="1:55">
      <c r="B71" s="270" t="s">
        <v>92</v>
      </c>
      <c r="C71" s="270" t="s">
        <v>93</v>
      </c>
      <c r="I71" s="269"/>
      <c r="J71" s="270" t="s">
        <v>92</v>
      </c>
      <c r="K71" s="270"/>
      <c r="L71" s="270" t="s">
        <v>94</v>
      </c>
      <c r="Q71" s="269"/>
      <c r="R71" s="270" t="s">
        <v>92</v>
      </c>
      <c r="S71" s="270"/>
      <c r="T71" s="270" t="s">
        <v>95</v>
      </c>
      <c r="Y71" s="269"/>
      <c r="Z71" s="270" t="s">
        <v>92</v>
      </c>
      <c r="AA71" s="270"/>
      <c r="AB71" s="270" t="s">
        <v>96</v>
      </c>
      <c r="AG71" s="269"/>
      <c r="AH71" s="270" t="s">
        <v>92</v>
      </c>
      <c r="AI71" s="270"/>
      <c r="AJ71" s="270" t="s">
        <v>97</v>
      </c>
      <c r="AO71" s="269"/>
      <c r="AP71" s="270" t="s">
        <v>92</v>
      </c>
      <c r="AQ71" s="270"/>
      <c r="AR71" s="270" t="s">
        <v>98</v>
      </c>
      <c r="AW71" s="269"/>
      <c r="AX71" s="270" t="s">
        <v>92</v>
      </c>
      <c r="AY71" s="270"/>
      <c r="AZ71" s="270" t="s">
        <v>99</v>
      </c>
    </row>
    <row r="72" spans="1:55">
      <c r="B72" s="271" t="s">
        <v>100</v>
      </c>
      <c r="C72" s="271"/>
      <c r="D72" s="271">
        <v>7</v>
      </c>
      <c r="F72" s="59"/>
      <c r="G72" s="282">
        <f>AVERAGE(G76:G91)</f>
        <v>16.4353522494033</v>
      </c>
      <c r="H72" s="59"/>
      <c r="I72" s="269"/>
      <c r="J72" s="271" t="s">
        <v>100</v>
      </c>
      <c r="K72" s="271"/>
      <c r="L72" s="271">
        <v>8.5</v>
      </c>
      <c r="N72" s="59"/>
      <c r="O72" s="282">
        <f>AVERAGE(O76:O91)</f>
        <v>18.7392247280123</v>
      </c>
      <c r="P72" s="59"/>
      <c r="Q72" s="269"/>
      <c r="R72" s="271" t="s">
        <v>100</v>
      </c>
      <c r="S72" s="271"/>
      <c r="T72" s="271">
        <v>10</v>
      </c>
      <c r="V72" s="59"/>
      <c r="W72" s="283">
        <f>AVERAGE(W76:W91)</f>
        <v>20.8998627604528</v>
      </c>
      <c r="X72" s="59"/>
      <c r="Y72" s="269"/>
      <c r="Z72" s="271" t="s">
        <v>100</v>
      </c>
      <c r="AA72" s="271"/>
      <c r="AB72" s="271">
        <v>11.5</v>
      </c>
      <c r="AD72" s="59"/>
      <c r="AE72" s="283">
        <f>AVERAGE(AE76:AE91)</f>
        <v>23.4343233092136</v>
      </c>
      <c r="AF72" s="59"/>
      <c r="AG72" s="269"/>
      <c r="AH72" s="271" t="s">
        <v>100</v>
      </c>
      <c r="AI72" s="271"/>
      <c r="AJ72" s="271">
        <v>13</v>
      </c>
      <c r="AL72" s="59"/>
      <c r="AM72" s="272">
        <f>AVERAGE(AM76:AM91)</f>
        <v>25.5949613416541</v>
      </c>
      <c r="AN72" s="59"/>
      <c r="AO72" s="269"/>
      <c r="AP72" s="271" t="s">
        <v>100</v>
      </c>
      <c r="AQ72" s="271"/>
      <c r="AR72" s="271">
        <v>14.5</v>
      </c>
      <c r="AT72" s="273"/>
      <c r="AU72" s="272">
        <f>AVERAGE(AU76:AU91)</f>
        <v>27.7555993740947</v>
      </c>
      <c r="AV72" s="273"/>
      <c r="AW72" s="269"/>
      <c r="AX72" s="271" t="s">
        <v>100</v>
      </c>
      <c r="AY72" s="271"/>
      <c r="AZ72" s="271">
        <v>16</v>
      </c>
      <c r="BB72" s="273"/>
      <c r="BC72" s="272">
        <f>AVERAGE(BC76:BC91)</f>
        <v>30.0941795841581</v>
      </c>
    </row>
    <row r="73" spans="1:55">
      <c r="B73" s="1" t="s">
        <v>101</v>
      </c>
      <c r="C73" s="1" t="s">
        <v>8</v>
      </c>
      <c r="D73" s="1" t="s">
        <v>9</v>
      </c>
      <c r="E73" s="1" t="s">
        <v>10</v>
      </c>
      <c r="F73" s="1" t="s">
        <v>103</v>
      </c>
      <c r="G73" s="1" t="s">
        <v>104</v>
      </c>
      <c r="H73" s="269" t="s">
        <v>105</v>
      </c>
      <c r="I73" s="269"/>
      <c r="J73" s="1" t="s">
        <v>101</v>
      </c>
      <c r="K73" s="1" t="s">
        <v>8</v>
      </c>
      <c r="L73" s="1" t="s">
        <v>9</v>
      </c>
      <c r="M73" s="1" t="s">
        <v>10</v>
      </c>
      <c r="N73" s="1" t="s">
        <v>103</v>
      </c>
      <c r="Q73" s="269"/>
      <c r="R73" s="1" t="s">
        <v>101</v>
      </c>
      <c r="S73" s="1" t="s">
        <v>8</v>
      </c>
      <c r="T73" s="1" t="s">
        <v>9</v>
      </c>
      <c r="U73" s="1" t="s">
        <v>10</v>
      </c>
      <c r="V73" s="1" t="s">
        <v>103</v>
      </c>
      <c r="W73" s="1" t="s">
        <v>104</v>
      </c>
      <c r="Y73" s="269"/>
      <c r="Z73" s="1" t="s">
        <v>101</v>
      </c>
      <c r="AA73" s="1" t="s">
        <v>8</v>
      </c>
      <c r="AB73" s="1" t="s">
        <v>9</v>
      </c>
      <c r="AC73" s="1" t="s">
        <v>10</v>
      </c>
      <c r="AD73" s="1" t="s">
        <v>103</v>
      </c>
      <c r="AG73" s="269"/>
      <c r="AH73" s="1" t="s">
        <v>101</v>
      </c>
      <c r="AI73" s="1" t="s">
        <v>8</v>
      </c>
      <c r="AJ73" s="1" t="s">
        <v>9</v>
      </c>
      <c r="AK73" s="1" t="s">
        <v>10</v>
      </c>
      <c r="AL73" s="1" t="s">
        <v>103</v>
      </c>
      <c r="AO73" s="269"/>
      <c r="AP73" s="1" t="s">
        <v>101</v>
      </c>
      <c r="AQ73" s="1" t="s">
        <v>8</v>
      </c>
      <c r="AR73" s="1" t="s">
        <v>9</v>
      </c>
      <c r="AS73" s="1" t="s">
        <v>10</v>
      </c>
      <c r="AT73" s="172" t="s">
        <v>103</v>
      </c>
      <c r="AW73" s="269"/>
      <c r="AX73" s="1" t="s">
        <v>101</v>
      </c>
      <c r="AY73" s="1" t="s">
        <v>8</v>
      </c>
      <c r="AZ73" s="1" t="s">
        <v>9</v>
      </c>
      <c r="BA73" s="1" t="s">
        <v>10</v>
      </c>
      <c r="BB73" s="172" t="s">
        <v>103</v>
      </c>
    </row>
    <row r="74" spans="1:55">
      <c r="B74" s="1">
        <v>0</v>
      </c>
      <c r="C74" s="99">
        <v>0</v>
      </c>
      <c r="D74" s="99">
        <f>'【国内】问卷调研-数据源（P3单独执行） '!E74*0.4</f>
        <v>0</v>
      </c>
      <c r="E74" s="99" t="e">
        <f>(G74*B74-$D$72*B74-C74*5900-D74*3400-F74*300)/1200</f>
        <v>#DIV/0!</v>
      </c>
      <c r="F74" s="274">
        <f>'【国内】问卷调研-数据源（P3单独执行） '!F74*1.3</f>
        <v>0</v>
      </c>
      <c r="G74" s="275" t="e">
        <f>'【国内】问卷调研-数据源（P3单独执行） '!G74</f>
        <v>#DIV/0!</v>
      </c>
      <c r="I74" s="269"/>
      <c r="J74" s="1">
        <v>0</v>
      </c>
      <c r="K74" s="99">
        <v>0</v>
      </c>
      <c r="L74" s="99">
        <f>'【国内】问卷调研-数据源（P3单独执行） '!M74*0.4</f>
        <v>0</v>
      </c>
      <c r="M74" s="99" t="e">
        <f>(O74*J74-$L$72*J74-K74*5900-L74*3400-N74*300)/1200</f>
        <v>#DIV/0!</v>
      </c>
      <c r="N74" s="274">
        <f>'【国内】问卷调研-数据源（P3单独执行） '!N74*1.3</f>
        <v>0.13</v>
      </c>
      <c r="O74" s="275" t="e">
        <f>'【国内】问卷调研-数据源（P3单独执行） '!O74</f>
        <v>#DIV/0!</v>
      </c>
      <c r="Q74" s="269"/>
      <c r="R74" s="1">
        <v>0</v>
      </c>
      <c r="S74" s="99">
        <v>0</v>
      </c>
      <c r="T74" s="99">
        <f>'【国内】问卷调研-数据源（P3单独执行） '!U74*0.4</f>
        <v>0</v>
      </c>
      <c r="U74" s="99" t="e">
        <f>(W74*R74-$T$72*R74-S74*5900-T74*3400-V74*300)/1200</f>
        <v>#DIV/0!</v>
      </c>
      <c r="V74" s="274">
        <f>'【国内】问卷调研-数据源（P3单独执行） '!V74*1.3</f>
        <v>0.26</v>
      </c>
      <c r="W74" s="275" t="e">
        <f>'【国内】问卷调研-数据源（P3单独执行） '!W74</f>
        <v>#DIV/0!</v>
      </c>
      <c r="Y74" s="269"/>
      <c r="Z74" s="1">
        <v>0</v>
      </c>
      <c r="AA74" s="99">
        <v>0</v>
      </c>
      <c r="AB74" s="99">
        <f>'【国内】问卷调研-数据源（P3单独执行） '!AC74*0.4</f>
        <v>0</v>
      </c>
      <c r="AC74" s="99" t="e">
        <f>(AE74*Z74-$AB$72*Z74-AA74*5900-AB74*3400-AD74*300)/1200</f>
        <v>#DIV/0!</v>
      </c>
      <c r="AD74" s="274">
        <f>'【国内】问卷调研-数据源（P3单独执行） '!AD74*1.3</f>
        <v>0</v>
      </c>
      <c r="AE74" s="275" t="e">
        <f>'【国内】问卷调研-数据源（P3单独执行） '!AE74</f>
        <v>#DIV/0!</v>
      </c>
      <c r="AG74" s="269"/>
      <c r="AH74" s="1">
        <v>0</v>
      </c>
      <c r="AI74" s="99">
        <v>0</v>
      </c>
      <c r="AJ74" s="99">
        <f>'【国内】问卷调研-数据源（P3单独执行） '!AK74*0.4</f>
        <v>0</v>
      </c>
      <c r="AK74" s="99" t="e">
        <f>(AM74*AH74-$AJ$72*AH74-AI74*5900-AJ74*3400-AL74*300)/1200</f>
        <v>#DIV/0!</v>
      </c>
      <c r="AL74" s="274">
        <f>'【国内】问卷调研-数据源（P3单独执行） '!AL74*1.3</f>
        <v>0</v>
      </c>
      <c r="AM74" s="275" t="e">
        <f>'【国内】问卷调研-数据源（P3单独执行） '!AM74</f>
        <v>#DIV/0!</v>
      </c>
      <c r="AO74" s="269"/>
      <c r="AP74" s="1">
        <v>0</v>
      </c>
      <c r="AQ74" s="99">
        <v>0</v>
      </c>
      <c r="AR74" s="99">
        <f>'【国内】问卷调研-数据源（P3单独执行） '!AS74*0.4</f>
        <v>0</v>
      </c>
      <c r="AS74" s="99" t="e">
        <f>(AU74*AP74-$AR$72*AP74-AQ74*5900-AR74*3400-AT74*300)/1200</f>
        <v>#DIV/0!</v>
      </c>
      <c r="AT74" s="274">
        <f>'【国内】问卷调研-数据源（P3单独执行） '!AT74*1.3</f>
        <v>0</v>
      </c>
      <c r="AU74" s="275" t="e">
        <f>'【国内】问卷调研-数据源（P3单独执行） '!AU74</f>
        <v>#DIV/0!</v>
      </c>
      <c r="AV74" s="1"/>
      <c r="AW74" s="269"/>
      <c r="AX74" s="1">
        <v>0</v>
      </c>
      <c r="AY74" s="99">
        <v>0</v>
      </c>
      <c r="AZ74" s="99">
        <f>'【国内】问卷调研-数据源（P3单独执行） '!BA74*0.4</f>
        <v>0</v>
      </c>
      <c r="BA74" s="99" t="e">
        <f>(BC74*AX74-$AZ$72*AX74-AY74*5900-AZ74*3400-BB74*300)/1200</f>
        <v>#DIV/0!</v>
      </c>
      <c r="BB74" s="274">
        <f>'【国内】问卷调研-数据源（P3单独执行） '!BB74*1.3</f>
        <v>0</v>
      </c>
      <c r="BC74" s="275" t="e">
        <f>'【国内】问卷调研-数据源（P3单独执行） '!BC74</f>
        <v>#DIV/0!</v>
      </c>
    </row>
    <row r="75" spans="1:55">
      <c r="B75" s="1">
        <v>1</v>
      </c>
      <c r="C75" s="99">
        <v>0</v>
      </c>
      <c r="D75" s="99">
        <f>'【国内】问卷调研-数据源（P3单独执行） '!E75*0.4</f>
        <v>0.224</v>
      </c>
      <c r="E75" s="99">
        <f t="shared" ref="E75:E91" si="31">(G75*B75-$D$72*B75-C75*5900-D75*3400-F75*300)/1200</f>
        <v>0.892</v>
      </c>
      <c r="F75" s="274">
        <f>'【国内】问卷调研-数据源（P3单独执行） '!F75*1.3</f>
        <v>1.04</v>
      </c>
      <c r="G75" s="275">
        <f>'【国内】问卷调研-数据源（P3单独执行） '!G75</f>
        <v>2151</v>
      </c>
      <c r="I75" s="276"/>
      <c r="J75" s="1">
        <v>1</v>
      </c>
      <c r="K75" s="99">
        <v>0</v>
      </c>
      <c r="L75" s="99">
        <f>'【国内】问卷调研-数据源（P3单独执行） '!M75*0.4</f>
        <v>0.2576</v>
      </c>
      <c r="M75" s="99">
        <f t="shared" ref="M75:M91" si="32">(O75*J75-$L$72*J75-K75*5900-L75*3400-N75*300)/1200</f>
        <v>1.0273</v>
      </c>
      <c r="N75" s="274">
        <f>'【国内】问卷调研-数据源（P3单独执行） '!N75*1.3</f>
        <v>1.17</v>
      </c>
      <c r="O75" s="275">
        <f>'【国内】问卷调研-数据源（P3单独执行） '!O75</f>
        <v>2468.1</v>
      </c>
      <c r="Q75" s="276"/>
      <c r="R75" s="1">
        <v>1</v>
      </c>
      <c r="S75" s="99">
        <v>0</v>
      </c>
      <c r="T75" s="99">
        <f>'【国内】问卷调研-数据源（P3单独执行） '!U75*0.4</f>
        <v>0.2976</v>
      </c>
      <c r="U75" s="99">
        <f t="shared" ref="U75:U91" si="33">(W75*R75-$T$72*R75-S75*5900-T75*3400-V75*300)/1200</f>
        <v>1.1898</v>
      </c>
      <c r="V75" s="274">
        <f>'【国内】问卷调研-数据源（P3单独执行） '!V75*1.3</f>
        <v>1.3</v>
      </c>
      <c r="W75" s="275">
        <f>'【国内】问卷调研-数据源（P3单独执行） '!W75</f>
        <v>2839.6</v>
      </c>
      <c r="Y75" s="276"/>
      <c r="Z75" s="1">
        <v>1</v>
      </c>
      <c r="AA75" s="99">
        <v>0</v>
      </c>
      <c r="AB75" s="99">
        <f>'【国内】问卷调研-数据源（P3单独执行） '!AC75*0.4</f>
        <v>0.3576</v>
      </c>
      <c r="AC75" s="99">
        <f t="shared" ref="AC75:AC91" si="34">(AE75*Z75-$AB$72*Z75-AA75*5900-AB75*3400-AD75*300)/1200</f>
        <v>1.4373</v>
      </c>
      <c r="AD75" s="274">
        <f>'【国内】问卷调研-数据源（P3单独执行） '!AD75*1.3</f>
        <v>1.43</v>
      </c>
      <c r="AE75" s="275">
        <f>'【国内】问卷调研-数据源（P3单独执行） '!AE75</f>
        <v>3381.1</v>
      </c>
      <c r="AG75" s="276"/>
      <c r="AH75" s="1">
        <v>1</v>
      </c>
      <c r="AI75" s="99">
        <v>0</v>
      </c>
      <c r="AJ75" s="99">
        <f>'【国内】问卷调研-数据源（P3单独执行） '!AK75*0.4</f>
        <v>0.3976</v>
      </c>
      <c r="AK75" s="99">
        <f t="shared" ref="AK75:AK91" si="35">(AM75*AH75-$AJ$72*AH75-AI75*5900-AJ75*3400-AL75*300)/1200</f>
        <v>1.5998</v>
      </c>
      <c r="AL75" s="274">
        <f>'【国内】问卷调研-数据源（P3单独执行） '!AL75*1.3</f>
        <v>1.56</v>
      </c>
      <c r="AM75" s="275">
        <f>'【国内】问卷调研-数据源（P3单独执行） '!AM75</f>
        <v>3752.6</v>
      </c>
      <c r="AO75" s="276"/>
      <c r="AP75" s="1">
        <v>1</v>
      </c>
      <c r="AQ75" s="99">
        <v>0</v>
      </c>
      <c r="AR75" s="99">
        <f>'【国内】问卷调研-数据源（P3单独执行） '!AS75*0.4</f>
        <v>0.4376</v>
      </c>
      <c r="AS75" s="99">
        <f t="shared" ref="AS75:AS91" si="36">(AU75*AP75-$AR$72*AP75-AQ75*5900-AR75*3400-AT75*300)/1200</f>
        <v>1.7623</v>
      </c>
      <c r="AT75" s="274">
        <f>'【国内】问卷调研-数据源（P3单独执行） '!AT75*1.3</f>
        <v>1.69</v>
      </c>
      <c r="AU75" s="275">
        <f>'【国内】问卷调研-数据源（P3单独执行） '!AU75</f>
        <v>4124.1</v>
      </c>
      <c r="AV75" s="1"/>
      <c r="AW75" s="276"/>
      <c r="AX75" s="1">
        <v>1</v>
      </c>
      <c r="AY75" s="99">
        <v>0</v>
      </c>
      <c r="AZ75" s="99">
        <f>'【国内】问卷调研-数据源（P3单独执行） '!BA75*0.4</f>
        <v>0.4776</v>
      </c>
      <c r="BA75" s="99">
        <f t="shared" ref="BA75:BA91" si="37">(BC75*AX75-$AZ$72*AX75-AY75*5900-AZ75*3400-BB75*300)/1200</f>
        <v>1.9248</v>
      </c>
      <c r="BB75" s="274">
        <f>'【国内】问卷调研-数据源（P3单独执行） '!BB75*1.3</f>
        <v>1.82</v>
      </c>
      <c r="BC75" s="275">
        <f>'【国内】问卷调研-数据源（P3单独执行） '!BC75</f>
        <v>4495.6</v>
      </c>
    </row>
    <row r="76" spans="1:55">
      <c r="B76" s="1">
        <v>101</v>
      </c>
      <c r="C76" s="99">
        <v>0</v>
      </c>
      <c r="D76" s="99">
        <f>'【国内】问卷调研-数据源（P3单独执行） '!E76*0.4</f>
        <v>0.224</v>
      </c>
      <c r="E76" s="99">
        <f t="shared" si="31"/>
        <v>0.892</v>
      </c>
      <c r="F76" s="274">
        <f>'【国内】问卷调研-数据源（P3单独执行） '!F76*1.3</f>
        <v>1.04</v>
      </c>
      <c r="G76" s="275">
        <f>'【国内】问卷调研-数据源（P3单独执行） '!G76</f>
        <v>28.2277227722772</v>
      </c>
      <c r="I76" s="276"/>
      <c r="J76" s="1">
        <v>101</v>
      </c>
      <c r="K76" s="99">
        <v>0</v>
      </c>
      <c r="L76" s="99">
        <f>'【国内】问卷调研-数据源（P3单独执行） '!M76*0.4</f>
        <v>0.2576</v>
      </c>
      <c r="M76" s="99">
        <f t="shared" si="32"/>
        <v>1.0273</v>
      </c>
      <c r="N76" s="274">
        <f>'【国内】问卷调研-数据源（P3单独执行） '!N76*1.3</f>
        <v>1.17</v>
      </c>
      <c r="O76" s="275">
        <f>'【国内】问卷调研-数据源（P3单独执行） '!O76</f>
        <v>32.8524752475247</v>
      </c>
      <c r="P76" s="1">
        <f>(K76*5900+L76*3400+M76*1200+J76*L72)/J76</f>
        <v>29.3772277227723</v>
      </c>
      <c r="Q76" s="276"/>
      <c r="R76" s="1">
        <v>101</v>
      </c>
      <c r="S76" s="99">
        <v>0</v>
      </c>
      <c r="T76" s="99">
        <f>'【国内】问卷调研-数据源（P3单独执行） '!U76*0.4</f>
        <v>0.2976</v>
      </c>
      <c r="U76" s="99">
        <f t="shared" si="33"/>
        <v>1.1898</v>
      </c>
      <c r="V76" s="274">
        <f>'【国内】问卷调研-数据源（P3单独执行） '!V76*1.3</f>
        <v>1.3</v>
      </c>
      <c r="W76" s="275">
        <f>'【国内】问卷调研-数据源（P3单独执行） '!W76</f>
        <v>38.0158415841584</v>
      </c>
      <c r="Y76" s="276"/>
      <c r="Z76" s="1">
        <v>101</v>
      </c>
      <c r="AA76" s="99">
        <v>0</v>
      </c>
      <c r="AB76" s="99">
        <f>'【国内】问卷调研-数据源（P3单独执行） '!AC76*0.4</f>
        <v>0.3576</v>
      </c>
      <c r="AC76" s="99">
        <f t="shared" si="34"/>
        <v>1.4373</v>
      </c>
      <c r="AD76" s="274">
        <f>'【国内】问卷调研-数据源（P3单独执行） '!AD76*1.3</f>
        <v>1.43</v>
      </c>
      <c r="AE76" s="275">
        <f>'【国内】问卷调研-数据源（P3单独执行） '!AE76</f>
        <v>44.8623762376238</v>
      </c>
      <c r="AG76" s="276"/>
      <c r="AH76" s="1">
        <v>101</v>
      </c>
      <c r="AI76" s="99">
        <v>0</v>
      </c>
      <c r="AJ76" s="99">
        <f>'【国内】问卷调研-数据源（P3单独执行） '!AK76*0.4</f>
        <v>0.3976</v>
      </c>
      <c r="AK76" s="99">
        <f t="shared" si="35"/>
        <v>1.5998</v>
      </c>
      <c r="AL76" s="274">
        <f>'【国内】问卷调研-数据源（P3单独执行） '!AL76*1.3</f>
        <v>1.56</v>
      </c>
      <c r="AM76" s="275">
        <f>'【国内】问卷调研-数据源（P3单独执行） '!AM76</f>
        <v>50.0257425742574</v>
      </c>
      <c r="AO76" s="276"/>
      <c r="AP76" s="1">
        <v>101</v>
      </c>
      <c r="AQ76" s="99">
        <v>0</v>
      </c>
      <c r="AR76" s="99">
        <f>'【国内】问卷调研-数据源（P3单独执行） '!AS76*0.4</f>
        <v>0.4376</v>
      </c>
      <c r="AS76" s="99">
        <f t="shared" si="36"/>
        <v>1.7623</v>
      </c>
      <c r="AT76" s="274">
        <f>'【国内】问卷调研-数据源（P3单独执行） '!AT76*1.3</f>
        <v>1.69</v>
      </c>
      <c r="AU76" s="275">
        <f>'【国内】问卷调研-数据源（P3单独执行） '!AU76</f>
        <v>55.1891089108911</v>
      </c>
      <c r="AV76" s="1"/>
      <c r="AW76" s="276"/>
      <c r="AX76" s="1">
        <v>101</v>
      </c>
      <c r="AY76" s="99">
        <v>0</v>
      </c>
      <c r="AZ76" s="99">
        <f>'【国内】问卷调研-数据源（P3单独执行） '!BA76*0.4</f>
        <v>0.4776</v>
      </c>
      <c r="BA76" s="99">
        <f t="shared" si="37"/>
        <v>1.9248</v>
      </c>
      <c r="BB76" s="274">
        <f>'【国内】问卷调研-数据源（P3单独执行） '!BB76*1.3</f>
        <v>1.82</v>
      </c>
      <c r="BC76" s="275">
        <f>'【国内】问卷调研-数据源（P3单独执行） '!BC76</f>
        <v>60.3524752475248</v>
      </c>
    </row>
    <row r="77" spans="1:55">
      <c r="B77" s="1">
        <v>201</v>
      </c>
      <c r="C77" s="99">
        <f>'【国内】问卷调研-数据源（P3单独执行） '!C77+0.1</f>
        <v>0.1</v>
      </c>
      <c r="D77" s="99">
        <f>'【国内】问卷调研-数据源（P3单独执行） '!E77*0.4</f>
        <v>0.3584</v>
      </c>
      <c r="E77" s="99">
        <f t="shared" si="31"/>
        <v>0.941533333333334</v>
      </c>
      <c r="F77" s="274">
        <f>'【国内】问卷调研-数据源（P3单独执行） '!F77*1.3</f>
        <v>1.56</v>
      </c>
      <c r="G77" s="275">
        <f>'【国内】问卷调研-数据源（P3单独执行） '!G77</f>
        <v>23.947263681592</v>
      </c>
      <c r="I77" s="276"/>
      <c r="J77" s="1">
        <v>201</v>
      </c>
      <c r="K77" s="99">
        <f>'【国内】问卷调研-数据源（P3单独执行） '!K77+0.1</f>
        <v>0.1</v>
      </c>
      <c r="L77" s="99">
        <f>'【国内】问卷调研-数据源（P3单独执行） '!M77*0.4</f>
        <v>0.41216</v>
      </c>
      <c r="M77" s="99">
        <f t="shared" si="32"/>
        <v>1.16251333333333</v>
      </c>
      <c r="N77" s="274">
        <f>'【国内】问卷调研-数据源（P3单独执行） '!N77*1.3</f>
        <v>1.69</v>
      </c>
      <c r="O77" s="275">
        <f>'【国内】问卷调研-数据源（P3单独执行） '!O77</f>
        <v>27.8699502487562</v>
      </c>
      <c r="Q77" s="276"/>
      <c r="R77" s="1">
        <v>201</v>
      </c>
      <c r="S77" s="99">
        <f>'【国内】问卷调研-数据源（P3单独执行） '!S77+0.1</f>
        <v>0.1</v>
      </c>
      <c r="T77" s="99">
        <f>'【国内】问卷调研-数据源（P3单独执行） '!U77*0.4</f>
        <v>0.45216</v>
      </c>
      <c r="U77" s="99">
        <f t="shared" si="33"/>
        <v>1.32501333333333</v>
      </c>
      <c r="V77" s="274">
        <f>'【国内】问卷调研-数据源（P3单独执行） '!V77*1.3</f>
        <v>1.82</v>
      </c>
      <c r="W77" s="275">
        <f>'【国内】问卷调研-数据源（P3单独执行） '!W77</f>
        <v>31.2107462686567</v>
      </c>
      <c r="Y77" s="276"/>
      <c r="Z77" s="1">
        <v>201</v>
      </c>
      <c r="AA77" s="99">
        <f>'【国内】问卷调研-数据源（P3单独执行） '!AA77+0.1</f>
        <v>0.1</v>
      </c>
      <c r="AB77" s="99">
        <f>'【国内】问卷调研-数据源（P3单独执行） '!AC77*0.4</f>
        <v>0.51216</v>
      </c>
      <c r="AC77" s="99">
        <f t="shared" si="34"/>
        <v>1.57251333333333</v>
      </c>
      <c r="AD77" s="274">
        <f>'【国内】问卷调研-数据源（P3单独执行） '!AD77*1.3</f>
        <v>1.95</v>
      </c>
      <c r="AE77" s="275">
        <f>'【国内】问卷调研-数据源（P3单独执行） '!AE77</f>
        <v>35.3973134328358</v>
      </c>
      <c r="AG77" s="276"/>
      <c r="AH77" s="1">
        <v>201</v>
      </c>
      <c r="AI77" s="99">
        <f>'【国内】问卷调研-数据源（P3单独执行） '!AI77+0.1</f>
        <v>0.1</v>
      </c>
      <c r="AJ77" s="99">
        <f>'【国内】问卷调研-数据源（P3单独执行） '!AK77*0.4</f>
        <v>0.55216</v>
      </c>
      <c r="AK77" s="99">
        <f t="shared" si="35"/>
        <v>1.73501333333333</v>
      </c>
      <c r="AL77" s="274">
        <f>'【国内】问卷调研-数据源（P3单独执行） '!AL77*1.3</f>
        <v>2.08</v>
      </c>
      <c r="AM77" s="275">
        <f>'【国内】问卷调研-数据源（P3单独执行） '!AM77</f>
        <v>38.7381094527363</v>
      </c>
      <c r="AO77" s="276"/>
      <c r="AP77" s="1">
        <v>201</v>
      </c>
      <c r="AQ77" s="99">
        <f>'【国内】问卷调研-数据源（P3单独执行） '!AQ77+0.1</f>
        <v>0.1</v>
      </c>
      <c r="AR77" s="99">
        <f>'【国内】问卷调研-数据源（P3单独执行） '!AS77*0.4</f>
        <v>0.59216</v>
      </c>
      <c r="AS77" s="99">
        <f t="shared" si="36"/>
        <v>1.89751333333333</v>
      </c>
      <c r="AT77" s="274">
        <f>'【国内】问卷调研-数据源（P3单独执行） '!AT77*1.3</f>
        <v>2.21</v>
      </c>
      <c r="AU77" s="275">
        <f>'【国内】问卷调研-数据源（P3单独执行） '!AU77</f>
        <v>42.0789054726368</v>
      </c>
      <c r="AV77" s="1"/>
      <c r="AW77" s="276"/>
      <c r="AX77" s="1">
        <v>201</v>
      </c>
      <c r="AY77" s="99">
        <f>'【国内】问卷调研-数据源（P3单独执行） '!AY77+0.1</f>
        <v>0.1</v>
      </c>
      <c r="AZ77" s="99">
        <f>'【国内】问卷调研-数据源（P3单独执行） '!BA77*0.4</f>
        <v>0.63216</v>
      </c>
      <c r="BA77" s="99">
        <f t="shared" si="37"/>
        <v>2.06001333333333</v>
      </c>
      <c r="BB77" s="274">
        <f>'【国内】问卷调研-数据源（P3单独执行） '!BB77*1.3</f>
        <v>2.34</v>
      </c>
      <c r="BC77" s="275">
        <f>'【国内】问卷调研-数据源（P3单独执行） '!BC77</f>
        <v>45.4197014925373</v>
      </c>
    </row>
    <row r="78" spans="1:55">
      <c r="B78" s="1">
        <v>301</v>
      </c>
      <c r="C78" s="99">
        <f>'【国内】问卷调研-数据源（P3单独执行） '!C78+0.1</f>
        <v>0.1</v>
      </c>
      <c r="D78" s="99">
        <f>'【国内】问卷调研-数据源（P3单独执行） '!E78*0.4</f>
        <v>0.448</v>
      </c>
      <c r="E78" s="99">
        <f t="shared" si="31"/>
        <v>1.31483333333333</v>
      </c>
      <c r="F78" s="274">
        <f>'【国内】问卷调研-数据源（P3单独执行） '!F78*1.3</f>
        <v>1.69</v>
      </c>
      <c r="G78" s="275">
        <f>'【国内】问卷调研-数据源（P3单独执行） '!G78</f>
        <v>20.9468438538206</v>
      </c>
      <c r="I78" s="276"/>
      <c r="J78" s="1">
        <v>301</v>
      </c>
      <c r="K78" s="99">
        <f>'【国内】问卷调研-数据源（P3单独执行） '!K78+0.1</f>
        <v>0.1</v>
      </c>
      <c r="L78" s="99">
        <f>'【国内】问卷调研-数据源（P3单独执行） '!M78*0.4</f>
        <v>0.5152</v>
      </c>
      <c r="M78" s="99">
        <f t="shared" si="32"/>
        <v>1.59293333333333</v>
      </c>
      <c r="N78" s="274">
        <f>'【国内】问卷调研-数据源（P3单独执行） '!N78*1.3</f>
        <v>1.82</v>
      </c>
      <c r="O78" s="275">
        <f>'【国内】问卷调研-数据源（P3单独执行） '!O78</f>
        <v>24.4441860465116</v>
      </c>
      <c r="Q78" s="276"/>
      <c r="R78" s="1">
        <v>301</v>
      </c>
      <c r="S78" s="99">
        <f>'【国内】问卷调研-数据源（P3单独执行） '!S78+0.1</f>
        <v>0.1</v>
      </c>
      <c r="T78" s="99">
        <f>'【国内】问卷调研-数据源（P3单独执行） '!U78*0.4</f>
        <v>0.5552</v>
      </c>
      <c r="U78" s="99">
        <f t="shared" si="33"/>
        <v>1.75543333333333</v>
      </c>
      <c r="V78" s="274">
        <f>'【国内】问卷调研-数据源（P3单独执行） '!V78*1.3</f>
        <v>1.95</v>
      </c>
      <c r="W78" s="275">
        <f>'【国内】问卷调研-数据源（P3单独执行） '!W78</f>
        <v>27.1734219269103</v>
      </c>
      <c r="Y78" s="276"/>
      <c r="Z78" s="1">
        <v>301</v>
      </c>
      <c r="AA78" s="99">
        <f>'【国内】问卷调研-数据源（P3单独执行） '!AA78+0.1</f>
        <v>0.1</v>
      </c>
      <c r="AB78" s="99">
        <f>'【国内】问卷调研-数据源（P3单独执行） '!AC78*0.4</f>
        <v>0.6152</v>
      </c>
      <c r="AC78" s="99">
        <f t="shared" si="34"/>
        <v>2.00293333333333</v>
      </c>
      <c r="AD78" s="274">
        <f>'【国内】问卷调研-数据源（P3单独执行） '!AD78*1.3</f>
        <v>2.08</v>
      </c>
      <c r="AE78" s="275">
        <f>'【国内】问卷调研-数据源（P3单独执行） '!AE78</f>
        <v>30.4674418604651</v>
      </c>
      <c r="AG78" s="276"/>
      <c r="AH78" s="1">
        <v>301</v>
      </c>
      <c r="AI78" s="99">
        <f>'【国内】问卷调研-数据源（P3单独执行） '!AI78+0.1</f>
        <v>0.1</v>
      </c>
      <c r="AJ78" s="99">
        <f>'【国内】问卷调研-数据源（P3单独执行） '!AK78*0.4</f>
        <v>0.6552</v>
      </c>
      <c r="AK78" s="99">
        <f t="shared" si="35"/>
        <v>2.16543333333333</v>
      </c>
      <c r="AL78" s="274">
        <f>'【国内】问卷调研-数据源（P3单独执行） '!AL78*1.3</f>
        <v>2.21</v>
      </c>
      <c r="AM78" s="275">
        <f>'【国内】问卷调研-数据源（P3单独执行） '!AM78</f>
        <v>33.1966777408638</v>
      </c>
      <c r="AO78" s="276"/>
      <c r="AP78" s="1">
        <v>301</v>
      </c>
      <c r="AQ78" s="99">
        <f>'【国内】问卷调研-数据源（P3单独执行） '!AQ78+0.1</f>
        <v>0.1</v>
      </c>
      <c r="AR78" s="99">
        <f>'【国内】问卷调研-数据源（P3单独执行） '!AS78*0.4</f>
        <v>0.6952</v>
      </c>
      <c r="AS78" s="99">
        <f t="shared" si="36"/>
        <v>2.32793333333333</v>
      </c>
      <c r="AT78" s="274">
        <f>'【国内】问卷调研-数据源（P3单独执行） '!AT78*1.3</f>
        <v>2.34</v>
      </c>
      <c r="AU78" s="275">
        <f>'【国内】问卷调研-数据源（P3单独执行） '!AU78</f>
        <v>35.9259136212625</v>
      </c>
      <c r="AV78" s="1"/>
      <c r="AW78" s="276"/>
      <c r="AX78" s="1">
        <v>301</v>
      </c>
      <c r="AY78" s="99">
        <f>'【国内】问卷调研-数据源（P3单独执行） '!AY78+0.1</f>
        <v>0.1</v>
      </c>
      <c r="AZ78" s="99">
        <f>'【国内】问卷调研-数据源（P3单独执行） '!BA78*0.4</f>
        <v>0.7352</v>
      </c>
      <c r="BA78" s="99">
        <f t="shared" si="37"/>
        <v>2.49043333333333</v>
      </c>
      <c r="BB78" s="274">
        <f>'【国内】问卷调研-数据源（P3单独执行） '!BB78*1.3</f>
        <v>2.47</v>
      </c>
      <c r="BC78" s="275">
        <f>'【国内】问卷调研-数据源（P3单独执行） '!BC78</f>
        <v>38.6551495016611</v>
      </c>
    </row>
    <row r="79" spans="1:55">
      <c r="B79" s="1">
        <v>501</v>
      </c>
      <c r="C79" s="99">
        <f>'【国内】问卷调研-数据源（P3单独执行） '!C79+0.1</f>
        <v>0.2</v>
      </c>
      <c r="D79" s="99">
        <f>'【国内】问卷调研-数据源（P3单独执行） '!E79*0.4</f>
        <v>0.5824</v>
      </c>
      <c r="E79" s="99">
        <f t="shared" si="31"/>
        <v>1.87853333333333</v>
      </c>
      <c r="F79" s="274">
        <f>'【国内】问卷调研-数据源（P3单独执行） '!F79*1.3</f>
        <v>1.82</v>
      </c>
      <c r="G79" s="275">
        <f>'【国内】问卷调研-数据源（P3单独执行） '!G79</f>
        <v>18.897005988024</v>
      </c>
      <c r="I79" s="276"/>
      <c r="J79" s="1">
        <v>501</v>
      </c>
      <c r="K79" s="99">
        <f>'【国内】问卷调研-数据源（P3单独执行） '!K79+0.1</f>
        <v>0.2</v>
      </c>
      <c r="L79" s="99">
        <f>'【国内】问卷调研-数据源（P3单独执行） '!M79*0.4</f>
        <v>0.66976</v>
      </c>
      <c r="M79" s="99">
        <f t="shared" si="32"/>
        <v>2.24231333333333</v>
      </c>
      <c r="N79" s="274">
        <f>'【国内】问卷调研-数据源（P3单独执行） '!N79*1.3</f>
        <v>1.95</v>
      </c>
      <c r="O79" s="275">
        <f>'【国内】问卷调研-数据源（P3单独执行） '!O79</f>
        <v>21.9390419161677</v>
      </c>
      <c r="Q79" s="276"/>
      <c r="R79" s="1">
        <v>501</v>
      </c>
      <c r="S79" s="99">
        <f>'【国内】问卷调研-数据源（P3单独执行） '!S79+0.1</f>
        <v>0.2</v>
      </c>
      <c r="T79" s="99">
        <f>'【国内】问卷调研-数据源（P3单独执行） '!U79*0.4</f>
        <v>0.70976</v>
      </c>
      <c r="U79" s="99">
        <f t="shared" si="33"/>
        <v>2.40481333333333</v>
      </c>
      <c r="V79" s="274">
        <f>'【国内】问卷调研-数据源（P3单独执行） '!V79*1.3</f>
        <v>2.08</v>
      </c>
      <c r="W79" s="275">
        <f>'【国内】问卷调研-数据源（P3单独执行） '!W79</f>
        <v>24.1775648702595</v>
      </c>
      <c r="Y79" s="276"/>
      <c r="Z79" s="1">
        <v>501</v>
      </c>
      <c r="AA79" s="99">
        <f>'【国内】问卷调研-数据源（P3单独执行） '!AA79+0.1</f>
        <v>0.21</v>
      </c>
      <c r="AB79" s="99">
        <f>'【国内】问卷调研-数据源（P3单独执行） '!AC79*0.4</f>
        <v>0.76976</v>
      </c>
      <c r="AC79" s="99">
        <f t="shared" si="34"/>
        <v>2.65231333333333</v>
      </c>
      <c r="AD79" s="274">
        <f>'【国内】问卷调研-数据源（P3单独执行） '!AD79*1.3</f>
        <v>2.21</v>
      </c>
      <c r="AE79" s="275">
        <f>'【国内】问卷调研-数据源（P3单独执行） '!AE79</f>
        <v>26.8731736526946</v>
      </c>
      <c r="AG79" s="276"/>
      <c r="AH79" s="1">
        <v>501</v>
      </c>
      <c r="AI79" s="99">
        <f>'【国内】问卷调研-数据源（P3单独执行） '!AI79+0.1</f>
        <v>0.21</v>
      </c>
      <c r="AJ79" s="99">
        <f>'【国内】问卷调研-数据源（P3单独执行） '!AK79*0.4</f>
        <v>0.80976</v>
      </c>
      <c r="AK79" s="99">
        <f t="shared" si="35"/>
        <v>2.81481333333333</v>
      </c>
      <c r="AL79" s="274">
        <f>'【国内】问卷调研-数据源（P3单独执行） '!AL79*1.3</f>
        <v>2.34</v>
      </c>
      <c r="AM79" s="275">
        <f>'【国内】问卷调研-数据源（P3单独执行） '!AM79</f>
        <v>29.1116966067864</v>
      </c>
      <c r="AO79" s="276"/>
      <c r="AP79" s="1">
        <v>501</v>
      </c>
      <c r="AQ79" s="99">
        <f>'【国内】问卷调研-数据源（P3单独执行） '!AQ79+0.1</f>
        <v>0.21</v>
      </c>
      <c r="AR79" s="99">
        <f>'【国内】问卷调研-数据源（P3单独执行） '!AS79*0.4</f>
        <v>0.84976</v>
      </c>
      <c r="AS79" s="99">
        <f t="shared" si="36"/>
        <v>2.97731333333333</v>
      </c>
      <c r="AT79" s="274">
        <f>'【国内】问卷调研-数据源（P3单独执行） '!AT79*1.3</f>
        <v>2.47</v>
      </c>
      <c r="AU79" s="275">
        <f>'【国内】问卷调研-数据源（P3单独执行） '!AU79</f>
        <v>31.3502195608782</v>
      </c>
      <c r="AV79" s="1"/>
      <c r="AW79" s="276"/>
      <c r="AX79" s="1">
        <v>501</v>
      </c>
      <c r="AY79" s="99">
        <f>'【国内】问卷调研-数据源（P3单独执行） '!AY79+0.1</f>
        <v>0.21</v>
      </c>
      <c r="AZ79" s="99">
        <f>'【国内】问卷调研-数据源（P3单独执行） '!BA79*0.4</f>
        <v>0.88976</v>
      </c>
      <c r="BA79" s="99">
        <f t="shared" si="37"/>
        <v>3.13981333333333</v>
      </c>
      <c r="BB79" s="274">
        <f>'【国内】问卷调研-数据源（P3单独执行） '!BB79*1.3</f>
        <v>2.6</v>
      </c>
      <c r="BC79" s="275">
        <f>'【国内】问卷调研-数据源（P3单独执行） '!BC79</f>
        <v>33.5887425149701</v>
      </c>
    </row>
    <row r="80" spans="1:55">
      <c r="B80" s="1">
        <v>701</v>
      </c>
      <c r="C80" s="99">
        <f>'【国内】问卷调研-数据源（P3单独执行） '!C80+0.2</f>
        <v>0.3</v>
      </c>
      <c r="D80" s="99">
        <f>'【国内】问卷调研-数据源（P3单独执行） '!E80*0.4</f>
        <v>0.672</v>
      </c>
      <c r="E80" s="99">
        <f t="shared" si="31"/>
        <v>1.76016666666667</v>
      </c>
      <c r="F80" s="274">
        <f>'【国内】问卷调研-数据源（P3单独执行） '!F80*1.3</f>
        <v>1.95</v>
      </c>
      <c r="G80" s="275">
        <f>'【国内】问卷调研-数据源（P3单独执行） '!G80</f>
        <v>16.6319543509272</v>
      </c>
      <c r="I80" s="276"/>
      <c r="J80" s="1">
        <v>701</v>
      </c>
      <c r="K80" s="99">
        <f>'【国内】问卷调研-数据源（P3单独执行） '!K80+0.2</f>
        <v>0.3</v>
      </c>
      <c r="L80" s="99">
        <f>'【国内】问卷调研-数据源（P3单独执行） '!M80*0.4</f>
        <v>0.7728</v>
      </c>
      <c r="M80" s="99">
        <f t="shared" si="32"/>
        <v>2.18106666666667</v>
      </c>
      <c r="N80" s="274">
        <f>'【国内】问卷调研-数据源（P3单独执行） '!N80*1.3</f>
        <v>2.08</v>
      </c>
      <c r="O80" s="275">
        <f>'【国内】问卷调研-数据源（P3单独执行） '!O80</f>
        <v>19.3970042796006</v>
      </c>
      <c r="Q80" s="276"/>
      <c r="R80" s="1">
        <v>701</v>
      </c>
      <c r="S80" s="99">
        <f>'【国内】问卷调研-数据源（P3单独执行） '!S80+0.2</f>
        <v>0.3</v>
      </c>
      <c r="T80" s="99">
        <f>'【国内】问卷调研-数据源（P3单独执行） '!U80*0.4</f>
        <v>0.8128</v>
      </c>
      <c r="U80" s="99">
        <f t="shared" si="33"/>
        <v>2.34356666666667</v>
      </c>
      <c r="V80" s="274">
        <f>'【国内】问卷调研-数据源（P3单独执行） '!V80*1.3</f>
        <v>2.21</v>
      </c>
      <c r="W80" s="275">
        <f>'【国内】问卷调研-数据源（P3单独执行） '!W80</f>
        <v>21.4248216833096</v>
      </c>
      <c r="Y80" s="276"/>
      <c r="Z80" s="1">
        <v>701</v>
      </c>
      <c r="AA80" s="99">
        <f>'【国内】问卷调研-数据源（P3单独执行） '!AA80+0.2</f>
        <v>0.31</v>
      </c>
      <c r="AB80" s="99">
        <f>'【国内】问卷调研-数据源（P3单独执行） '!AC80*0.4</f>
        <v>0.8728</v>
      </c>
      <c r="AC80" s="99">
        <f t="shared" si="34"/>
        <v>2.59106666666667</v>
      </c>
      <c r="AD80" s="274">
        <f>'【国内】问卷调研-数据源（P3单独执行） '!AD80*1.3</f>
        <v>2.34</v>
      </c>
      <c r="AE80" s="275">
        <f>'【国内】问卷调研-数据源（P3单独执行） '!AE80</f>
        <v>23.7793152639087</v>
      </c>
      <c r="AG80" s="276"/>
      <c r="AH80" s="1">
        <v>701</v>
      </c>
      <c r="AI80" s="99">
        <f>'【国内】问卷调研-数据源（P3单独执行） '!AI80+0.2</f>
        <v>0.31</v>
      </c>
      <c r="AJ80" s="99">
        <f>'【国内】问卷调研-数据源（P3单独执行） '!AK80*0.4</f>
        <v>0.9128</v>
      </c>
      <c r="AK80" s="99">
        <f t="shared" si="35"/>
        <v>2.75356666666667</v>
      </c>
      <c r="AL80" s="274">
        <f>'【国内】问卷调研-数据源（P3单独执行） '!AL80*1.3</f>
        <v>2.47</v>
      </c>
      <c r="AM80" s="275">
        <f>'【国内】问卷调研-数据源（P3单独执行） '!AM80</f>
        <v>25.8071326676177</v>
      </c>
      <c r="AO80" s="276"/>
      <c r="AP80" s="1">
        <v>701</v>
      </c>
      <c r="AQ80" s="99">
        <f>'【国内】问卷调研-数据源（P3单独执行） '!AQ80+0.2</f>
        <v>0.31</v>
      </c>
      <c r="AR80" s="99">
        <f>'【国内】问卷调研-数据源（P3单独执行） '!AS80*0.4</f>
        <v>0.9528</v>
      </c>
      <c r="AS80" s="99">
        <f t="shared" si="36"/>
        <v>2.91606666666667</v>
      </c>
      <c r="AT80" s="274">
        <f>'【国内】问卷调研-数据源（P3单独执行） '!AT80*1.3</f>
        <v>2.6</v>
      </c>
      <c r="AU80" s="275">
        <f>'【国内】问卷调研-数据源（P3单独执行） '!AU80</f>
        <v>27.8349500713267</v>
      </c>
      <c r="AV80" s="1"/>
      <c r="AW80" s="276"/>
      <c r="AX80" s="1">
        <v>701</v>
      </c>
      <c r="AY80" s="99">
        <f>'【国内】问卷调研-数据源（P3单独执行） '!AY80+0.2</f>
        <v>0.31</v>
      </c>
      <c r="AZ80" s="99">
        <f>'【国内】问卷调研-数据源（P3单独执行） '!BA80*0.4</f>
        <v>1.0328</v>
      </c>
      <c r="BA80" s="99">
        <f t="shared" si="37"/>
        <v>3.24856666666667</v>
      </c>
      <c r="BB80" s="274">
        <f>'【国内】问卷调研-数据源（P3单独执行） '!BB80*1.3</f>
        <v>2.73</v>
      </c>
      <c r="BC80" s="275">
        <f>'【国内】问卷调研-数据源（P3单独执行） '!BC80</f>
        <v>30.3477888730385</v>
      </c>
    </row>
    <row r="81" spans="2:55">
      <c r="B81" s="1">
        <v>901</v>
      </c>
      <c r="C81" s="99">
        <f>'【国内】问卷调研-数据源（P3单独执行） '!C81+0.2</f>
        <v>0.3</v>
      </c>
      <c r="D81" s="99">
        <f>'【国内】问卷调研-数据源（P3单独执行） '!E81*0.4</f>
        <v>0.8064</v>
      </c>
      <c r="E81" s="99">
        <f t="shared" si="31"/>
        <v>2.33136666666667</v>
      </c>
      <c r="F81" s="274">
        <f>'【国内】问卷调研-数据源（P3单独执行） '!F81*1.3</f>
        <v>1.95</v>
      </c>
      <c r="G81" s="275">
        <f>'【国内】问卷调研-数据源（P3单独执行） '!G81</f>
        <v>15.761820199778</v>
      </c>
      <c r="I81" s="276"/>
      <c r="J81" s="1">
        <v>901</v>
      </c>
      <c r="K81" s="99">
        <f>'【国内】问卷调研-数据源（P3单独执行） '!K81+0.2</f>
        <v>0.3</v>
      </c>
      <c r="L81" s="99">
        <f>'【国内】问卷调研-数据源（P3单独执行） '!M81*0.4</f>
        <v>0.84</v>
      </c>
      <c r="M81" s="99">
        <f t="shared" si="32"/>
        <v>2.46666666666667</v>
      </c>
      <c r="N81" s="274">
        <f>'【国内】问卷调研-数据源（P3单独执行） '!N81*1.3</f>
        <v>2.08</v>
      </c>
      <c r="O81" s="275">
        <f>'【国内】问卷调研-数据源（P3单独执行） '!O81</f>
        <v>17.6120976692564</v>
      </c>
      <c r="Q81" s="276"/>
      <c r="R81" s="1">
        <v>901</v>
      </c>
      <c r="S81" s="99">
        <f>'【国内】问卷调研-数据源（P3单独执行） '!S81+0.2</f>
        <v>0.3</v>
      </c>
      <c r="T81" s="99">
        <f>'【国内】问卷调研-数据源（P3单独执行） '!U81*0.4</f>
        <v>0.88</v>
      </c>
      <c r="U81" s="99">
        <f t="shared" si="33"/>
        <v>2.62916666666667</v>
      </c>
      <c r="V81" s="274">
        <f>'【国内】问卷调研-数据源（P3单独执行） '!V81*1.3</f>
        <v>2.21</v>
      </c>
      <c r="W81" s="275">
        <f>'【国内】问卷调研-数据源（P3单独执行） '!W81</f>
        <v>19.5227524972253</v>
      </c>
      <c r="Y81" s="276"/>
      <c r="Z81" s="1">
        <v>901</v>
      </c>
      <c r="AA81" s="99">
        <f>'【国内】问卷调研-数据源（P3单独执行） '!AA81+0.2</f>
        <v>0.31</v>
      </c>
      <c r="AB81" s="99">
        <f>'【国内】问卷调研-数据源（P3单独执行） '!AC81*0.4</f>
        <v>0.94</v>
      </c>
      <c r="AC81" s="99">
        <f t="shared" si="34"/>
        <v>2.87666666666667</v>
      </c>
      <c r="AD81" s="274">
        <f>'【国内】问卷调研-数据源（P3单独执行） '!AD81*1.3</f>
        <v>2.34</v>
      </c>
      <c r="AE81" s="275">
        <f>'【国内】问卷调研-数据源（P3单独执行） '!AE81</f>
        <v>21.6875693673696</v>
      </c>
      <c r="AG81" s="276"/>
      <c r="AH81" s="1">
        <v>901</v>
      </c>
      <c r="AI81" s="99">
        <f>'【国内】问卷调研-数据源（P3单独执行） '!AI81+0.2</f>
        <v>0.31</v>
      </c>
      <c r="AJ81" s="99">
        <f>'【国内】问卷调研-数据源（P3单独执行） '!AK81*0.4</f>
        <v>0.98</v>
      </c>
      <c r="AK81" s="99">
        <f t="shared" si="35"/>
        <v>3.03916666666667</v>
      </c>
      <c r="AL81" s="274">
        <f>'【国内】问卷调研-数据源（P3单独执行） '!AL81*1.3</f>
        <v>2.47</v>
      </c>
      <c r="AM81" s="275">
        <f>'【国内】问卷调研-数据源（P3单独执行） '!AM81</f>
        <v>23.5982241953385</v>
      </c>
      <c r="AO81" s="276"/>
      <c r="AP81" s="1">
        <v>901</v>
      </c>
      <c r="AQ81" s="99">
        <f>'【国内】问卷调研-数据源（P3单独执行） '!AQ81+0.2</f>
        <v>0.31</v>
      </c>
      <c r="AR81" s="99">
        <f>'【国内】问卷调研-数据源（P3单独执行） '!AS81*0.4</f>
        <v>1.02</v>
      </c>
      <c r="AS81" s="99">
        <f t="shared" si="36"/>
        <v>3.20166666666667</v>
      </c>
      <c r="AT81" s="274">
        <f>'【国内】问卷调研-数据源（P3单独执行） '!AT81*1.3</f>
        <v>2.6</v>
      </c>
      <c r="AU81" s="275">
        <f>'【国内】问卷调研-数据源（P3单独执行） '!AU81</f>
        <v>25.5088790233074</v>
      </c>
      <c r="AV81" s="1"/>
      <c r="AW81" s="276"/>
      <c r="AX81" s="1">
        <v>901</v>
      </c>
      <c r="AY81" s="99">
        <f>'【国内】问卷调研-数据源（P3单独执行） '!AY81+0.2</f>
        <v>0.31</v>
      </c>
      <c r="AZ81" s="99">
        <f>'【国内】问卷调研-数据源（P3单独执行） '!BA81*0.4</f>
        <v>1.1</v>
      </c>
      <c r="BA81" s="99">
        <f t="shared" si="37"/>
        <v>3.53416666666667</v>
      </c>
      <c r="BB81" s="274">
        <f>'【国内】问卷调研-数据源（P3单独执行） '!BB81*1.3</f>
        <v>2.73</v>
      </c>
      <c r="BC81" s="275">
        <f>'【国内】问卷调研-数据源（P3单独执行） '!BC81</f>
        <v>27.7968923418424</v>
      </c>
    </row>
    <row r="82" spans="2:55">
      <c r="B82" s="1">
        <v>1001</v>
      </c>
      <c r="C82" s="99">
        <f>'【国内】问卷调研-数据源（P3单独执行） '!C82+0.2</f>
        <v>0.4</v>
      </c>
      <c r="D82" s="99">
        <f>'【国内】问卷调研-数据源（P3单独执行） '!E82*0.4</f>
        <v>0.896</v>
      </c>
      <c r="E82" s="99">
        <f t="shared" si="31"/>
        <v>2.69716666666666</v>
      </c>
      <c r="F82" s="274">
        <f>'【国内】问卷调研-数据源（P3单独执行） '!F82*1.3</f>
        <v>2.21</v>
      </c>
      <c r="G82" s="275">
        <f>'【国内】问卷调研-数据源（P3单独执行） '!G82</f>
        <v>16.2967032967033</v>
      </c>
      <c r="I82" s="276"/>
      <c r="J82" s="1">
        <v>1001</v>
      </c>
      <c r="K82" s="99">
        <f>'【国内】问卷调研-数据源（P3单独执行） '!K82+0.2</f>
        <v>0.4</v>
      </c>
      <c r="L82" s="99">
        <f>'【国内】问卷调研-数据源（P3单独执行） '!M82*0.4</f>
        <v>0.936</v>
      </c>
      <c r="M82" s="99">
        <f t="shared" si="32"/>
        <v>2.85966666666667</v>
      </c>
      <c r="N82" s="274">
        <f>'【国内】问卷调研-数据源（P3单独执行） '!N82*1.3</f>
        <v>2.34</v>
      </c>
      <c r="O82" s="275">
        <f>'【国内】问卷调研-数据源（P3单独执行） '!O82</f>
        <v>18.1663336663337</v>
      </c>
      <c r="Q82" s="276"/>
      <c r="R82" s="1">
        <v>1001</v>
      </c>
      <c r="S82" s="99">
        <f>'【国内】问卷调研-数据源（P3单独执行） '!S82+0.2</f>
        <v>0.4</v>
      </c>
      <c r="T82" s="99">
        <f>'【国内】问卷调研-数据源（P3单独执行） '!U82*0.4</f>
        <v>0.976</v>
      </c>
      <c r="U82" s="99">
        <f t="shared" si="33"/>
        <v>3.02216666666667</v>
      </c>
      <c r="V82" s="274">
        <f>'【国内】问卷调研-数据源（P3单独执行） '!V82*1.3</f>
        <v>2.47</v>
      </c>
      <c r="W82" s="275">
        <f>'【国内】问卷调研-数据源（P3单独执行） '!W82</f>
        <v>20.035964035964</v>
      </c>
      <c r="Y82" s="276"/>
      <c r="Z82" s="1">
        <v>1001</v>
      </c>
      <c r="AA82" s="99">
        <f>'【国内】问卷调研-数据源（P3单独执行） '!AA82+0.2</f>
        <v>0.42</v>
      </c>
      <c r="AB82" s="99">
        <f>'【国内】问卷调研-数据源（P3单独执行） '!AC82*0.4</f>
        <v>1.036</v>
      </c>
      <c r="AC82" s="99">
        <f t="shared" si="34"/>
        <v>3.26966666666667</v>
      </c>
      <c r="AD82" s="274">
        <f>'【国内】问卷调研-数据源（P3单独执行） '!AD82*1.3</f>
        <v>2.6</v>
      </c>
      <c r="AE82" s="275">
        <f>'【国内】问卷调研-数据源（P3单独执行） '!AE82</f>
        <v>22.1933066933067</v>
      </c>
      <c r="AG82" s="276"/>
      <c r="AH82" s="1">
        <v>1001</v>
      </c>
      <c r="AI82" s="99">
        <f>'【国内】问卷调研-数据源（P3单独执行） '!AI82+0.2</f>
        <v>0.42</v>
      </c>
      <c r="AJ82" s="99">
        <f>'【国内】问卷调研-数据源（P3单独执行） '!AK82*0.4</f>
        <v>1.076</v>
      </c>
      <c r="AK82" s="99">
        <f t="shared" si="35"/>
        <v>3.43216666666667</v>
      </c>
      <c r="AL82" s="274">
        <f>'【国内】问卷调研-数据源（P3单独执行） '!AL82*1.3</f>
        <v>2.73</v>
      </c>
      <c r="AM82" s="275">
        <f>'【国内】问卷调研-数据源（P3单独执行） '!AM82</f>
        <v>24.0629370629371</v>
      </c>
      <c r="AO82" s="276"/>
      <c r="AP82" s="1">
        <v>1001</v>
      </c>
      <c r="AQ82" s="99">
        <f>'【国内】问卷调研-数据源（P3单独执行） '!AQ82+0.2</f>
        <v>0.42</v>
      </c>
      <c r="AR82" s="99">
        <f>'【国内】问卷调研-数据源（P3单独执行） '!AS82*0.4</f>
        <v>1.116</v>
      </c>
      <c r="AS82" s="99">
        <f t="shared" si="36"/>
        <v>3.59466666666667</v>
      </c>
      <c r="AT82" s="274">
        <f>'【国内】问卷调研-数据源（P3单独执行） '!AT82*1.3</f>
        <v>2.86</v>
      </c>
      <c r="AU82" s="275">
        <f>'【国内】问卷调研-数据源（P3单独执行） '!AU82</f>
        <v>25.9325674325674</v>
      </c>
      <c r="AV82" s="1"/>
      <c r="AW82" s="276"/>
      <c r="AX82" s="1">
        <v>1001</v>
      </c>
      <c r="AY82" s="99">
        <f>'【国内】问卷调研-数据源（P3单独执行） '!AY82+0.2</f>
        <v>0.42</v>
      </c>
      <c r="AZ82" s="99">
        <f>'【国内】问卷调研-数据源（P3单独执行） '!BA82*0.4</f>
        <v>1.196</v>
      </c>
      <c r="BA82" s="99">
        <f t="shared" si="37"/>
        <v>3.92716666666667</v>
      </c>
      <c r="BB82" s="274">
        <f>'【国内】问卷调研-数据源（P3单独执行） '!BB82*1.3</f>
        <v>2.99</v>
      </c>
      <c r="BC82" s="275">
        <f>'【国内】问卷调研-数据源（P3单独执行） '!BC82</f>
        <v>28.1418581418581</v>
      </c>
    </row>
    <row r="83" spans="2:55">
      <c r="B83" s="1">
        <v>1201</v>
      </c>
      <c r="C83" s="99">
        <f>'【国内】问卷调研-数据源（P3单独执行） '!C83+0.2</f>
        <v>0.4</v>
      </c>
      <c r="D83" s="99">
        <f>'【国内】问卷调研-数据源（P3单独执行） '!E83*0.4</f>
        <v>0.9408</v>
      </c>
      <c r="E83" s="99">
        <f t="shared" si="31"/>
        <v>2.87256666666667</v>
      </c>
      <c r="F83" s="274">
        <f>'【国内】问卷调研-数据源（P3单独执行） '!F83*1.3</f>
        <v>2.47</v>
      </c>
      <c r="G83" s="275">
        <f>'【国内】问卷调研-数据源（P3单独执行） '!G83</f>
        <v>15.115570358035</v>
      </c>
      <c r="I83" s="276"/>
      <c r="J83" s="1">
        <v>1201</v>
      </c>
      <c r="K83" s="99">
        <f>'【国内】问卷调研-数据源（P3单独执行） '!K83+0.2</f>
        <v>0.4</v>
      </c>
      <c r="L83" s="99">
        <f>'【国内】问卷调研-数据源（P3单独执行） '!M83*0.4</f>
        <v>0.9808</v>
      </c>
      <c r="M83" s="99">
        <f t="shared" si="32"/>
        <v>3.03506666666667</v>
      </c>
      <c r="N83" s="274">
        <f>'【国内】问卷调研-数据源（P3单独执行） '!N83*1.3</f>
        <v>2.6</v>
      </c>
      <c r="O83" s="275">
        <f>'【国内】问卷调研-数据源（P3单独执行） '!O83</f>
        <v>16.9236469608659</v>
      </c>
      <c r="Q83" s="276"/>
      <c r="R83" s="1">
        <v>1201</v>
      </c>
      <c r="S83" s="99">
        <f>'【国内】问卷调研-数据源（P3单独执行） '!S83+0.2</f>
        <v>0.4</v>
      </c>
      <c r="T83" s="99">
        <f>'【国内】问卷调研-数据源（P3单独执行） '!U83*0.4</f>
        <v>1.0208</v>
      </c>
      <c r="U83" s="99">
        <f t="shared" si="33"/>
        <v>3.19756666666666</v>
      </c>
      <c r="V83" s="274">
        <f>'【国内】问卷调研-数据源（P3单独执行） '!V83*1.3</f>
        <v>2.73</v>
      </c>
      <c r="W83" s="275">
        <f>'【国内】问卷调研-数据源（P3单独执行） '!W83</f>
        <v>18.7317235636969</v>
      </c>
      <c r="Y83" s="276"/>
      <c r="Z83" s="1">
        <v>1201</v>
      </c>
      <c r="AA83" s="99">
        <f>'【国内】问卷调研-数据源（P3单独执行） '!AA83+0.2</f>
        <v>0.42</v>
      </c>
      <c r="AB83" s="99">
        <f>'【国内】问卷调研-数据源（P3单独执行） '!AC83*0.4</f>
        <v>1.0808</v>
      </c>
      <c r="AC83" s="99">
        <f t="shared" si="34"/>
        <v>3.44506666666667</v>
      </c>
      <c r="AD83" s="274">
        <f>'【国内】问卷调研-数据源（P3单独执行） '!AD83*1.3</f>
        <v>2.86</v>
      </c>
      <c r="AE83" s="275">
        <f>'【国内】问卷调研-数据源（P3单独执行） '!AE83</f>
        <v>20.7796003330558</v>
      </c>
      <c r="AG83" s="276"/>
      <c r="AH83" s="1">
        <v>1201</v>
      </c>
      <c r="AI83" s="99">
        <f>'【国内】问卷调研-数据源（P3单独执行） '!AI83+0.2</f>
        <v>0.42</v>
      </c>
      <c r="AJ83" s="99">
        <f>'【国内】问卷调研-数据源（P3单独执行） '!AK83*0.4</f>
        <v>1.1208</v>
      </c>
      <c r="AK83" s="99">
        <f t="shared" si="35"/>
        <v>3.60756666666667</v>
      </c>
      <c r="AL83" s="274">
        <f>'【国内】问卷调研-数据源（P3单独执行） '!AL83*1.3</f>
        <v>2.99</v>
      </c>
      <c r="AM83" s="275">
        <f>'【国内】问卷调研-数据源（P3单独执行） '!AM83</f>
        <v>22.5876769358868</v>
      </c>
      <c r="AO83" s="276"/>
      <c r="AP83" s="1">
        <v>1201</v>
      </c>
      <c r="AQ83" s="99">
        <f>'【国内】问卷调研-数据源（P3单独执行） '!AQ83+0.2</f>
        <v>0.42</v>
      </c>
      <c r="AR83" s="99">
        <f>'【国内】问卷调研-数据源（P3单独执行） '!AS83*0.4</f>
        <v>1.1608</v>
      </c>
      <c r="AS83" s="99">
        <f t="shared" si="36"/>
        <v>3.77006666666667</v>
      </c>
      <c r="AT83" s="274">
        <f>'【国内】问卷调研-数据源（P3单独执行） '!AT83*1.3</f>
        <v>3.12</v>
      </c>
      <c r="AU83" s="275">
        <f>'【国内】问卷调研-数据源（P3单独执行） '!AU83</f>
        <v>24.3957535387177</v>
      </c>
      <c r="AV83" s="1"/>
      <c r="AW83" s="276"/>
      <c r="AX83" s="1">
        <v>1201</v>
      </c>
      <c r="AY83" s="99">
        <f>'【国内】问卷调研-数据源（P3单独执行） '!AY83+0.2</f>
        <v>0.42</v>
      </c>
      <c r="AZ83" s="99">
        <f>'【国内】问卷调研-数据源（P3单独执行） '!BA83*0.4</f>
        <v>1.2408</v>
      </c>
      <c r="BA83" s="99">
        <f t="shared" si="37"/>
        <v>4.10256666666667</v>
      </c>
      <c r="BB83" s="274">
        <f>'【国内】问卷调研-数据源（P3单独执行） '!BB83*1.3</f>
        <v>3.25</v>
      </c>
      <c r="BC83" s="275">
        <f>'【国内】问卷调研-数据源（P3单独执行） '!BC83</f>
        <v>26.4869275603664</v>
      </c>
    </row>
    <row r="84" spans="2:55">
      <c r="B84" s="1">
        <v>1401</v>
      </c>
      <c r="C84" s="99">
        <f>'【国内】问卷调研-数据源（P3单独执行） '!C84+0.2</f>
        <v>0.4</v>
      </c>
      <c r="D84" s="99">
        <f>'【国内】问卷调研-数据源（P3单独执行） '!E84*0.6</f>
        <v>1.4784</v>
      </c>
      <c r="E84" s="99">
        <f t="shared" si="31"/>
        <v>1.6592</v>
      </c>
      <c r="F84" s="274">
        <f>'【国内】问卷调研-数据源（P3单独执行） '!F84*1.3</f>
        <v>2.6</v>
      </c>
      <c r="G84" s="275">
        <f>'【国内】问卷调研-数据源（P3单独执行） '!G84</f>
        <v>14.250249821556</v>
      </c>
      <c r="I84" s="276"/>
      <c r="J84" s="1">
        <v>1401</v>
      </c>
      <c r="K84" s="99">
        <f>'【国内】问卷调研-数据源（P3单独执行） '!K84+0.2</f>
        <v>0.4</v>
      </c>
      <c r="L84" s="99">
        <f>'【国内】问卷调研-数据源（P3单独执行） '!M84*0.6</f>
        <v>1.5384</v>
      </c>
      <c r="M84" s="99">
        <f t="shared" si="32"/>
        <v>1.76503333333333</v>
      </c>
      <c r="N84" s="274">
        <f>'【国内】问卷调研-数据源（P3单独执行） '!N84*1.3</f>
        <v>2.73</v>
      </c>
      <c r="O84" s="275">
        <f>'【国内】问卷调研-数据源（P3单独执行） '!O84</f>
        <v>16.0143468950749</v>
      </c>
      <c r="Q84" s="276"/>
      <c r="R84" s="1">
        <v>1401</v>
      </c>
      <c r="S84" s="99">
        <f>'【国内】问卷调研-数据源（P3单独执行） '!S84+0.2</f>
        <v>0.4</v>
      </c>
      <c r="T84" s="99">
        <f>'【国内】问卷调研-数据源（P3单独执行） '!U84*0.6</f>
        <v>1.5984</v>
      </c>
      <c r="U84" s="99">
        <f t="shared" si="33"/>
        <v>1.87086666666667</v>
      </c>
      <c r="V84" s="274">
        <f>'【国内】问卷调研-数据源（P3单独执行） '!V84*1.3</f>
        <v>2.86</v>
      </c>
      <c r="W84" s="275">
        <f>'【国内】问卷调研-数据源（P3单独执行） '!W84</f>
        <v>17.7784439685939</v>
      </c>
      <c r="Y84" s="276"/>
      <c r="Z84" s="1">
        <v>1401</v>
      </c>
      <c r="AA84" s="99">
        <f>'【国内】问卷调研-数据源（P3单独执行） '!AA84+0.2</f>
        <v>0.42</v>
      </c>
      <c r="AB84" s="99">
        <f>'【国内】问卷调研-数据源（P3单独执行） '!AC84*0.6</f>
        <v>1.6884</v>
      </c>
      <c r="AC84" s="99">
        <f t="shared" si="34"/>
        <v>2.03336666666667</v>
      </c>
      <c r="AD84" s="274">
        <f>'【国内】问卷调研-数据源（P3单独执行） '!AD84*1.3</f>
        <v>2.99</v>
      </c>
      <c r="AE84" s="275">
        <f>'【国内】问卷调研-数据源（P3单独执行） '!AE84</f>
        <v>19.7481084939329</v>
      </c>
      <c r="AG84" s="276"/>
      <c r="AH84" s="1">
        <v>1401</v>
      </c>
      <c r="AI84" s="99">
        <f>'【国内】问卷调研-数据源（P3单独执行） '!AI84+0.2</f>
        <v>0.42</v>
      </c>
      <c r="AJ84" s="99">
        <f>'【国内】问卷调研-数据源（P3单独执行） '!AK84*0.6</f>
        <v>1.7484</v>
      </c>
      <c r="AK84" s="99">
        <f t="shared" si="35"/>
        <v>2.1392</v>
      </c>
      <c r="AL84" s="274">
        <f>'【国内】问卷调研-数据源（P3单独执行） '!AL84*1.3</f>
        <v>3.12</v>
      </c>
      <c r="AM84" s="275">
        <f>'【国内】问卷调研-数据源（P3单独执行） '!AM84</f>
        <v>21.5122055674518</v>
      </c>
      <c r="AO84" s="276"/>
      <c r="AP84" s="1">
        <v>1401</v>
      </c>
      <c r="AQ84" s="99">
        <f>'【国内】问卷调研-数据源（P3单独执行） '!AQ84+0.2</f>
        <v>0.42</v>
      </c>
      <c r="AR84" s="99">
        <f>'【国内】问卷调研-数据源（P3单独执行） '!AS84*0.6</f>
        <v>1.8084</v>
      </c>
      <c r="AS84" s="99">
        <f t="shared" si="36"/>
        <v>2.24503333333333</v>
      </c>
      <c r="AT84" s="274">
        <f>'【国内】问卷调研-数据源（P3单独执行） '!AT84*1.3</f>
        <v>3.25</v>
      </c>
      <c r="AU84" s="275">
        <f>'【国内】问卷调研-数据源（P3单独执行） '!AU84</f>
        <v>23.2763026409707</v>
      </c>
      <c r="AV84" s="1"/>
      <c r="AW84" s="276"/>
      <c r="AX84" s="1">
        <v>1401</v>
      </c>
      <c r="AY84" s="99">
        <f>'【国内】问卷调研-数据源（P3单独执行） '!AY84+0.2</f>
        <v>0.42</v>
      </c>
      <c r="AZ84" s="99">
        <f>'【国内】问卷调研-数据源（P3单独执行） '!BA84*0.6</f>
        <v>1.9284</v>
      </c>
      <c r="BA84" s="99">
        <f t="shared" si="37"/>
        <v>2.4642</v>
      </c>
      <c r="BB84" s="274">
        <f>'【国内】问卷调研-数据源（P3单独执行） '!BB84*1.3</f>
        <v>3.38</v>
      </c>
      <c r="BC84" s="275">
        <f>'【国内】问卷调研-数据源（P3单独执行） '!BC84</f>
        <v>25.2830835117773</v>
      </c>
    </row>
    <row r="85" spans="2:55">
      <c r="B85" s="1">
        <v>1601</v>
      </c>
      <c r="C85" s="99">
        <f>'【国内】问卷调研-数据源（P3单独执行） '!C85+0.2</f>
        <v>0.4</v>
      </c>
      <c r="D85" s="99">
        <f>'【国内】问卷调研-数据源（P3单独执行） '!E85*0.6</f>
        <v>1.6128</v>
      </c>
      <c r="E85" s="99">
        <f t="shared" si="31"/>
        <v>1.91306666666667</v>
      </c>
      <c r="F85" s="274">
        <f>'【国内】问卷调研-数据源（P3单独执行） '!F85*1.3</f>
        <v>2.6</v>
      </c>
      <c r="G85" s="275">
        <f>'【国内】问卷调研-数据源（P3单独执行） '!G85</f>
        <v>13.8202373516552</v>
      </c>
      <c r="I85" s="276"/>
      <c r="J85" s="1">
        <v>1601</v>
      </c>
      <c r="K85" s="99">
        <f>'【国内】问卷调研-数据源（P3单独执行） '!K85+0.2</f>
        <v>0.4</v>
      </c>
      <c r="L85" s="99">
        <f>'【国内】问卷调研-数据源（P3单独执行） '!M85*0.6</f>
        <v>1.6728</v>
      </c>
      <c r="M85" s="99">
        <f t="shared" si="32"/>
        <v>2.0189</v>
      </c>
      <c r="N85" s="274">
        <f>'【国内】问卷调研-数据源（P3单独执行） '!N85*1.3</f>
        <v>2.73</v>
      </c>
      <c r="O85" s="275">
        <f>'【国内】问卷调研-数据源（P3单独执行） '!O85</f>
        <v>15.5513429106808</v>
      </c>
      <c r="Q85" s="276"/>
      <c r="R85" s="1">
        <v>1601</v>
      </c>
      <c r="S85" s="99">
        <f>'【国内】问卷调研-数据源（P3单独执行） '!S85+0.2</f>
        <v>0.4</v>
      </c>
      <c r="T85" s="99">
        <f>'【国内】问卷调研-数据源（P3单独执行） '!U85*0.6</f>
        <v>1.7328</v>
      </c>
      <c r="U85" s="99">
        <f t="shared" si="33"/>
        <v>2.12473333333333</v>
      </c>
      <c r="V85" s="274">
        <f>'【国内】问卷调研-数据源（P3单独执行） '!V85*1.3</f>
        <v>2.86</v>
      </c>
      <c r="W85" s="275">
        <f>'【国内】问卷调研-数据源（P3单独执行） '!W85</f>
        <v>17.2824484697064</v>
      </c>
      <c r="Y85" s="276"/>
      <c r="Z85" s="1">
        <v>1601</v>
      </c>
      <c r="AA85" s="99">
        <f>'【国内】问卷调研-数据源（P3单独执行） '!AA85+0.2</f>
        <v>0.42</v>
      </c>
      <c r="AB85" s="99">
        <f>'【国内】问卷调研-数据源（P3单独执行） '!AC85*0.6</f>
        <v>1.8228</v>
      </c>
      <c r="AC85" s="99">
        <f t="shared" si="34"/>
        <v>2.28723333333333</v>
      </c>
      <c r="AD85" s="274">
        <f>'【国内】问卷调研-数据源（P3单独执行） '!AD85*1.3</f>
        <v>2.99</v>
      </c>
      <c r="AE85" s="275">
        <f>'【国内】问卷调研-数据源（P3单独执行） '!AE85</f>
        <v>19.1934415990006</v>
      </c>
      <c r="AG85" s="276"/>
      <c r="AH85" s="1">
        <v>1601</v>
      </c>
      <c r="AI85" s="99">
        <f>'【国内】问卷调研-数据源（P3单独执行） '!AI85+0.2</f>
        <v>0.42</v>
      </c>
      <c r="AJ85" s="99">
        <f>'【国内】问卷调研-数据源（P3单独执行） '!AK85*0.6</f>
        <v>1.8828</v>
      </c>
      <c r="AK85" s="99">
        <f t="shared" si="35"/>
        <v>2.39306666666666</v>
      </c>
      <c r="AL85" s="274">
        <f>'【国内】问卷调研-数据源（P3单独执行） '!AL85*1.3</f>
        <v>3.12</v>
      </c>
      <c r="AM85" s="275">
        <f>'【国内】问卷调研-数据源（P3单独执行） '!AM85</f>
        <v>20.9245471580262</v>
      </c>
      <c r="AO85" s="276"/>
      <c r="AP85" s="1">
        <v>1601</v>
      </c>
      <c r="AQ85" s="99">
        <f>'【国内】问卷调研-数据源（P3单独执行） '!AQ85+0.2</f>
        <v>0.42</v>
      </c>
      <c r="AR85" s="99">
        <f>'【国内】问卷调研-数据源（P3单独执行） '!AS85*0.6</f>
        <v>1.9428</v>
      </c>
      <c r="AS85" s="99">
        <f t="shared" si="36"/>
        <v>2.4989</v>
      </c>
      <c r="AT85" s="274">
        <f>'【国内】问卷调研-数据源（P3单独执行） '!AT85*1.3</f>
        <v>3.25</v>
      </c>
      <c r="AU85" s="275">
        <f>'【国内】问卷调研-数据源（P3单独执行） '!AU85</f>
        <v>22.6556527170518</v>
      </c>
      <c r="AV85" s="1"/>
      <c r="AW85" s="276"/>
      <c r="AX85" s="1">
        <v>1601</v>
      </c>
      <c r="AY85" s="99">
        <f>'【国内】问卷调研-数据源（P3单独执行） '!AY85+0.2</f>
        <v>0.42</v>
      </c>
      <c r="AZ85" s="99">
        <f>'【国内】问卷调研-数据源（P3单独执行） '!BA85*0.6</f>
        <v>2.0628</v>
      </c>
      <c r="BA85" s="99">
        <f t="shared" si="37"/>
        <v>2.71806666666667</v>
      </c>
      <c r="BB85" s="274">
        <f>'【国内】问卷调研-数据源（P3单独执行） '!BB85*1.3</f>
        <v>3.38</v>
      </c>
      <c r="BC85" s="275">
        <f>'【国内】问卷调研-数据源（P3单独执行） '!BC85</f>
        <v>24.5991255465334</v>
      </c>
    </row>
    <row r="86" spans="2:55">
      <c r="B86" s="1">
        <v>1801</v>
      </c>
      <c r="C86" s="99">
        <f>'【国内】问卷调研-数据源（P3单独执行） '!C86+0.2</f>
        <v>0.4</v>
      </c>
      <c r="D86" s="99">
        <f>'【国内】问卷调研-数据源（P3单独执行） '!E86*0.6</f>
        <v>1.7472</v>
      </c>
      <c r="E86" s="99">
        <f t="shared" si="31"/>
        <v>2.16693333333333</v>
      </c>
      <c r="F86" s="274">
        <f>'【国内】问卷调研-数据源（P3单独执行） '!F86*1.3</f>
        <v>2.6</v>
      </c>
      <c r="G86" s="275">
        <f>'【国内】问卷调研-数据源（P3单独执行） '!G86</f>
        <v>13.4857301499167</v>
      </c>
      <c r="I86" s="276"/>
      <c r="J86" s="1">
        <v>1801</v>
      </c>
      <c r="K86" s="99">
        <f>'【国内】问卷调研-数据源（P3单独执行） '!K86+0.2</f>
        <v>0.4</v>
      </c>
      <c r="L86" s="99">
        <f>'【国内】问卷调研-数据源（P3单独执行） '!M86*0.6</f>
        <v>1.8072</v>
      </c>
      <c r="M86" s="99">
        <f t="shared" si="32"/>
        <v>2.27276666666667</v>
      </c>
      <c r="N86" s="274">
        <f>'【国内】问卷调研-数据源（P3单独执行） '!N86*1.3</f>
        <v>2.73</v>
      </c>
      <c r="O86" s="275">
        <f>'【国内】问卷调研-数据源（P3单独执行） '!O86</f>
        <v>15.1911715713492</v>
      </c>
      <c r="Q86" s="276"/>
      <c r="R86" s="1">
        <v>1801</v>
      </c>
      <c r="S86" s="99">
        <f>'【国内】问卷调研-数据源（P3单独执行） '!S86+0.2</f>
        <v>0.4</v>
      </c>
      <c r="T86" s="99">
        <f>'【国内】问卷调研-数据源（P3单独执行） '!U86*0.6</f>
        <v>1.8672</v>
      </c>
      <c r="U86" s="99">
        <f t="shared" si="33"/>
        <v>2.3786</v>
      </c>
      <c r="V86" s="274">
        <f>'【国内】问卷调研-数据源（P3单独执行） '!V86*1.3</f>
        <v>2.86</v>
      </c>
      <c r="W86" s="275">
        <f>'【国内】问卷调研-数据源（P3单独执行） '!W86</f>
        <v>16.8966129927818</v>
      </c>
      <c r="Y86" s="276"/>
      <c r="Z86" s="1">
        <v>1801</v>
      </c>
      <c r="AA86" s="99">
        <f>'【国内】问卷调研-数据源（P3单独执行） '!AA86+0.2</f>
        <v>0.42</v>
      </c>
      <c r="AB86" s="99">
        <f>'【国内】问卷调研-数据源（P3单独执行） '!AC86*0.6</f>
        <v>1.9572</v>
      </c>
      <c r="AC86" s="99">
        <f t="shared" si="34"/>
        <v>2.5411</v>
      </c>
      <c r="AD86" s="274">
        <f>'【国内】问卷调研-数据源（P3单独执行） '!AD86*1.3</f>
        <v>2.99</v>
      </c>
      <c r="AE86" s="275">
        <f>'【国内】问卷调研-数据源（P3单独执行） '!AE86</f>
        <v>18.7619655746807</v>
      </c>
      <c r="AG86" s="276"/>
      <c r="AH86" s="1">
        <v>1801</v>
      </c>
      <c r="AI86" s="99">
        <f>'【国内】问卷调研-数据源（P3单独执行） '!AI86+0.2</f>
        <v>0.42</v>
      </c>
      <c r="AJ86" s="99">
        <f>'【国内】问卷调研-数据源（P3单独执行） '!AK86*0.6</f>
        <v>2.0172</v>
      </c>
      <c r="AK86" s="99">
        <f t="shared" si="35"/>
        <v>2.64693333333334</v>
      </c>
      <c r="AL86" s="274">
        <f>'【国内】问卷调研-数据源（P3单独执行） '!AL86*1.3</f>
        <v>3.12</v>
      </c>
      <c r="AM86" s="275">
        <f>'【国内】问卷调研-数据源（P3单独执行） '!AM86</f>
        <v>20.4674069961133</v>
      </c>
      <c r="AO86" s="276"/>
      <c r="AP86" s="1">
        <v>1801</v>
      </c>
      <c r="AQ86" s="99">
        <f>'【国内】问卷调研-数据源（P3单独执行） '!AQ86+0.2</f>
        <v>0.42</v>
      </c>
      <c r="AR86" s="99">
        <f>'【国内】问卷调研-数据源（P3单独执行） '!AS86*0.6</f>
        <v>2.0772</v>
      </c>
      <c r="AS86" s="99">
        <f t="shared" si="36"/>
        <v>2.75276666666667</v>
      </c>
      <c r="AT86" s="274">
        <f>'【国内】问卷调研-数据源（P3单独执行） '!AT86*1.3</f>
        <v>3.25</v>
      </c>
      <c r="AU86" s="275">
        <f>'【国内】问卷调研-数据源（P3单独执行） '!AU86</f>
        <v>22.1728484175458</v>
      </c>
      <c r="AV86" s="1"/>
      <c r="AW86" s="276"/>
      <c r="AX86" s="1">
        <v>1801</v>
      </c>
      <c r="AY86" s="99">
        <f>'【国内】问卷调研-数据源（P3单独执行） '!AY86+0.2</f>
        <v>0.42</v>
      </c>
      <c r="AZ86" s="99">
        <f>'【国内】问卷调研-数据源（P3单独执行） '!BA86*0.6</f>
        <v>2.1972</v>
      </c>
      <c r="BA86" s="99">
        <f t="shared" si="37"/>
        <v>2.97193333333334</v>
      </c>
      <c r="BB86" s="274">
        <f>'【国内】问卷调研-数据源（P3单独执行） '!BB86*1.3</f>
        <v>3.38</v>
      </c>
      <c r="BC86" s="275">
        <f>'【国内】问卷调研-数据源（P3单独执行） '!BC86</f>
        <v>24.0670738478623</v>
      </c>
    </row>
    <row r="87" spans="2:55">
      <c r="B87" s="1">
        <v>2001</v>
      </c>
      <c r="C87" s="99">
        <f>'【国内】问卷调研-数据源（P3单独执行） '!C87+0.2</f>
        <v>0.5</v>
      </c>
      <c r="D87" s="99">
        <f>'【国内】问卷调研-数据源（P3单独执行） '!E87*0.6</f>
        <v>1.8816</v>
      </c>
      <c r="E87" s="99">
        <f t="shared" si="31"/>
        <v>2.4058</v>
      </c>
      <c r="F87" s="274">
        <f>'【国内】问卷调研-数据源（P3单独执行） '!F87*1.3</f>
        <v>2.86</v>
      </c>
      <c r="G87" s="275">
        <f>'【国内】问卷调研-数据源（P3单独执行） '!G87</f>
        <v>13.5429285357321</v>
      </c>
      <c r="I87" s="276"/>
      <c r="J87" s="1">
        <v>2001</v>
      </c>
      <c r="K87" s="99">
        <f>'【国内】问卷调研-数据源（P3单独执行） '!K87+0.2</f>
        <v>0.5</v>
      </c>
      <c r="L87" s="99">
        <f>'【国内】问卷调研-数据源（P3单独执行） '!M87*0.6</f>
        <v>1.9416</v>
      </c>
      <c r="M87" s="99">
        <f t="shared" si="32"/>
        <v>2.51163333333333</v>
      </c>
      <c r="N87" s="274">
        <f>'【国内】问卷调研-数据源（P3单独执行） '!N87*1.3</f>
        <v>2.99</v>
      </c>
      <c r="O87" s="275">
        <f>'【国内】问卷调研-数据源（P3单独执行） '!O87</f>
        <v>15.227836081959</v>
      </c>
      <c r="Q87" s="276"/>
      <c r="R87" s="1">
        <v>2001</v>
      </c>
      <c r="S87" s="99">
        <f>'【国内】问卷调研-数据源（P3单独执行） '!S87+0.2</f>
        <v>0.5</v>
      </c>
      <c r="T87" s="99">
        <f>'【国内】问卷调研-数据源（P3单独执行） '!U87*0.6</f>
        <v>2.0016</v>
      </c>
      <c r="U87" s="99">
        <f t="shared" si="33"/>
        <v>2.61746666666667</v>
      </c>
      <c r="V87" s="274">
        <f>'【国内】问卷调研-数据源（P3单独执行） '!V87*1.3</f>
        <v>3.12</v>
      </c>
      <c r="W87" s="275">
        <f>'【国内】问卷调研-数据源（P3单独执行） '!W87</f>
        <v>16.9127436281859</v>
      </c>
      <c r="Y87" s="276"/>
      <c r="Z87" s="1">
        <v>2001</v>
      </c>
      <c r="AA87" s="99">
        <f>'【国内】问卷调研-数据源（P3单独执行） '!AA87+0.2</f>
        <v>0.53</v>
      </c>
      <c r="AB87" s="99">
        <f>'【国内】问卷调研-数据源（P3单独执行） '!AC87*0.6</f>
        <v>2.0916</v>
      </c>
      <c r="AC87" s="99">
        <f t="shared" si="34"/>
        <v>2.77996666666667</v>
      </c>
      <c r="AD87" s="274">
        <f>'【国内】问卷调研-数据源（P3单独执行） '!AD87*1.3</f>
        <v>3.25</v>
      </c>
      <c r="AE87" s="275">
        <f>'【国内】问卷调研-数据源（P3单独执行） '!AE87</f>
        <v>18.7710644677661</v>
      </c>
      <c r="AG87" s="276"/>
      <c r="AH87" s="1">
        <v>2001</v>
      </c>
      <c r="AI87" s="99">
        <f>'【国内】问卷调研-数据源（P3单独执行） '!AI87+0.2</f>
        <v>0.53</v>
      </c>
      <c r="AJ87" s="99">
        <f>'【国内】问卷调研-数据源（P3单独执行） '!AK87*0.6</f>
        <v>2.1516</v>
      </c>
      <c r="AK87" s="99">
        <f t="shared" si="35"/>
        <v>2.8858</v>
      </c>
      <c r="AL87" s="274">
        <f>'【国内】问卷调研-数据源（P3单独执行） '!AL87*1.3</f>
        <v>3.38</v>
      </c>
      <c r="AM87" s="275">
        <f>'【国内】问卷调研-数据源（P3单独执行） '!AM87</f>
        <v>20.455972013993</v>
      </c>
      <c r="AO87" s="276"/>
      <c r="AP87" s="1">
        <v>2001</v>
      </c>
      <c r="AQ87" s="99">
        <f>'【国内】问卷调研-数据源（P3单独执行） '!AQ87+0.2</f>
        <v>0.53</v>
      </c>
      <c r="AR87" s="99">
        <f>'【国内】问卷调研-数据源（P3单独执行） '!AS87*0.6</f>
        <v>2.2116</v>
      </c>
      <c r="AS87" s="99">
        <f t="shared" si="36"/>
        <v>2.99163333333333</v>
      </c>
      <c r="AT87" s="274">
        <f>'【国内】问卷调研-数据源（P3单独执行） '!AT87*1.3</f>
        <v>3.51</v>
      </c>
      <c r="AU87" s="275">
        <f>'【国内】问卷调研-数据源（P3单独执行） '!AU87</f>
        <v>22.1408795602199</v>
      </c>
      <c r="AV87" s="1"/>
      <c r="AW87" s="276"/>
      <c r="AX87" s="1">
        <v>2001</v>
      </c>
      <c r="AY87" s="99">
        <f>'【国内】问卷调研-数据源（P3单独执行） '!AY87+0.2</f>
        <v>0.53</v>
      </c>
      <c r="AZ87" s="99">
        <f>'【国内】问卷调研-数据源（P3单独执行） '!BA87*0.6</f>
        <v>2.3316</v>
      </c>
      <c r="BA87" s="99">
        <f t="shared" si="37"/>
        <v>3.2108</v>
      </c>
      <c r="BB87" s="274">
        <f>'【国内】问卷调研-数据源（P3单独执行） '!BB87*1.3</f>
        <v>3.64</v>
      </c>
      <c r="BC87" s="275">
        <f>'【国内】问卷调研-数据源（P3单独执行） '!BC87</f>
        <v>23.9957021489255</v>
      </c>
    </row>
    <row r="88" spans="2:55">
      <c r="B88" s="1">
        <v>2201</v>
      </c>
      <c r="C88" s="99">
        <f>'【国内】问卷调研-数据源（P3单独执行） '!C88+0.2</f>
        <v>0.5</v>
      </c>
      <c r="D88" s="99">
        <f>'【国内】问卷调研-数据源（P3单独执行） '!E88*0.6</f>
        <v>2.016</v>
      </c>
      <c r="E88" s="99">
        <f t="shared" si="31"/>
        <v>2.65966666666667</v>
      </c>
      <c r="F88" s="274">
        <f>'【国内】问卷调研-数据源（P3单独执行） '!F88*1.3</f>
        <v>2.86</v>
      </c>
      <c r="G88" s="275">
        <f>'【国内】问卷调研-数据源（P3单独执行） '!G88</f>
        <v>13.2944116310768</v>
      </c>
      <c r="I88" s="276"/>
      <c r="J88" s="1">
        <v>2201</v>
      </c>
      <c r="K88" s="99">
        <f>'【国内】问卷调研-数据源（P3单独执行） '!K88+0.2</f>
        <v>0.5</v>
      </c>
      <c r="L88" s="99">
        <f>'【国内】问卷调研-数据源（P3单独执行） '!M88*0.6</f>
        <v>2.076</v>
      </c>
      <c r="M88" s="99">
        <f t="shared" si="32"/>
        <v>2.7655</v>
      </c>
      <c r="N88" s="274">
        <f>'【国内】问卷调研-数据源（P3单独执行） '!N88*1.3</f>
        <v>2.99</v>
      </c>
      <c r="O88" s="275">
        <f>'【国内】问卷调研-数据源（P3单独执行） '!O88</f>
        <v>14.9625170377101</v>
      </c>
      <c r="Q88" s="276"/>
      <c r="R88" s="1">
        <v>2201</v>
      </c>
      <c r="S88" s="99">
        <f>'【国内】问卷调研-数据源（P3单独执行） '!S88+0.2</f>
        <v>0.5</v>
      </c>
      <c r="T88" s="99">
        <f>'【国内】问卷调研-数据源（P3单独执行） '!U88*0.6</f>
        <v>2.136</v>
      </c>
      <c r="U88" s="99">
        <f t="shared" si="33"/>
        <v>2.87133333333333</v>
      </c>
      <c r="V88" s="274">
        <f>'【国内】问卷调研-数据源（P3单独执行） '!V88*1.3</f>
        <v>3.12</v>
      </c>
      <c r="W88" s="275">
        <f>'【国内】问卷调研-数据源（P3单独执行） '!W88</f>
        <v>16.6306224443435</v>
      </c>
      <c r="Y88" s="276"/>
      <c r="Z88" s="1">
        <v>2201</v>
      </c>
      <c r="AA88" s="99">
        <f>'【国内】问卷调研-数据源（P3单独执行） '!AA88+0.2</f>
        <v>0.53</v>
      </c>
      <c r="AB88" s="99">
        <f>'【国内】问卷调研-数据源（P3单独执行） '!AC88*0.6</f>
        <v>2.226</v>
      </c>
      <c r="AC88" s="99">
        <f t="shared" si="34"/>
        <v>3.03383333333333</v>
      </c>
      <c r="AD88" s="274">
        <f>'【国内】问卷调研-数据源（P3单独执行） '!AD88*1.3</f>
        <v>3.25</v>
      </c>
      <c r="AE88" s="275">
        <f>'【国内】问卷调研-数据源（P3单独执行） '!AE88</f>
        <v>18.4563834620627</v>
      </c>
      <c r="AG88" s="276"/>
      <c r="AH88" s="1">
        <v>2201</v>
      </c>
      <c r="AI88" s="99">
        <f>'【国内】问卷调研-数据源（P3单独执行） '!AI88+0.2</f>
        <v>0.53</v>
      </c>
      <c r="AJ88" s="99">
        <f>'【国内】问卷调研-数据源（P3单独执行） '!AK88*0.6</f>
        <v>2.286</v>
      </c>
      <c r="AK88" s="99">
        <f t="shared" si="35"/>
        <v>3.13966666666667</v>
      </c>
      <c r="AL88" s="274">
        <f>'【国内】问卷调研-数据源（P3单独执行） '!AL88*1.3</f>
        <v>3.38</v>
      </c>
      <c r="AM88" s="275">
        <f>'【国内】问卷调研-数据源（P3单独执行） '!AM88</f>
        <v>20.124488868696</v>
      </c>
      <c r="AO88" s="276"/>
      <c r="AP88" s="1">
        <v>2201</v>
      </c>
      <c r="AQ88" s="99">
        <f>'【国内】问卷调研-数据源（P3单独执行） '!AQ88+0.2</f>
        <v>0.53</v>
      </c>
      <c r="AR88" s="99">
        <f>'【国内】问卷调研-数据源（P3单独执行） '!AS88*0.6</f>
        <v>2.346</v>
      </c>
      <c r="AS88" s="99">
        <f t="shared" si="36"/>
        <v>3.2455</v>
      </c>
      <c r="AT88" s="274">
        <f>'【国内】问卷调研-数据源（P3单独执行） '!AT88*1.3</f>
        <v>3.51</v>
      </c>
      <c r="AU88" s="275">
        <f>'【国内】问卷调研-数据源（P3单独执行） '!AU88</f>
        <v>21.7925942753294</v>
      </c>
      <c r="AV88" s="1"/>
      <c r="AW88" s="276"/>
      <c r="AX88" s="1">
        <v>2201</v>
      </c>
      <c r="AY88" s="99">
        <f>'【国内】问卷调研-数据源（P3单独执行） '!AY88+0.2</f>
        <v>0.53</v>
      </c>
      <c r="AZ88" s="99">
        <f>'【国内】问卷调研-数据源（P3单独执行） '!BA88*0.6</f>
        <v>2.466</v>
      </c>
      <c r="BA88" s="99">
        <f t="shared" si="37"/>
        <v>3.46466666666667</v>
      </c>
      <c r="BB88" s="274">
        <f>'【国内】问卷调研-数据源（P3单独执行） '!BB88*1.3</f>
        <v>3.64</v>
      </c>
      <c r="BC88" s="275">
        <f>'【国内】问卷调研-数据源（P3单独执行） '!BC88</f>
        <v>23.6151749204907</v>
      </c>
    </row>
    <row r="89" spans="2:55">
      <c r="B89" s="1">
        <v>2401</v>
      </c>
      <c r="C89" s="99">
        <f>'【国内】问卷调研-数据源（P3单独执行） '!C89+0.2</f>
        <v>0.5</v>
      </c>
      <c r="D89" s="99">
        <f>'【国内】问卷调研-数据源（P3单独执行） '!E89*0.6</f>
        <v>2.0832</v>
      </c>
      <c r="E89" s="99">
        <f t="shared" si="31"/>
        <v>2.7866</v>
      </c>
      <c r="F89" s="274">
        <f>'【国内】问卷调研-数据源（P3单独执行） '!F89*1.3</f>
        <v>2.86</v>
      </c>
      <c r="G89" s="275">
        <f>'【国内】问卷调研-数据源（P3单独执行） '!G89</f>
        <v>12.9286963765098</v>
      </c>
      <c r="I89" s="276"/>
      <c r="J89" s="1">
        <v>2401</v>
      </c>
      <c r="K89" s="99">
        <f>'【国内】问卷调研-数据源（P3单独执行） '!K89+0.2</f>
        <v>0.5</v>
      </c>
      <c r="L89" s="99">
        <f>'【国内】问卷调研-数据源（P3单独执行） '!M89*0.6</f>
        <v>2.1432</v>
      </c>
      <c r="M89" s="99">
        <f t="shared" si="32"/>
        <v>2.89243333333334</v>
      </c>
      <c r="N89" s="274">
        <f>'【国内】问卷调研-数据源（P3单独执行） '!N89*1.3</f>
        <v>2.99</v>
      </c>
      <c r="O89" s="275">
        <f>'【国内】问卷调研-数据源（P3单独执行） '!O89</f>
        <v>14.5827988338192</v>
      </c>
      <c r="Q89" s="276"/>
      <c r="R89" s="1">
        <v>2401</v>
      </c>
      <c r="S89" s="99">
        <f>'【国内】问卷调研-数据源（P3单独执行） '!S89+0.2</f>
        <v>0.5</v>
      </c>
      <c r="T89" s="99">
        <f>'【国内】问卷调研-数据源（P3单独执行） '!U89*0.6</f>
        <v>2.2032</v>
      </c>
      <c r="U89" s="99">
        <f t="shared" si="33"/>
        <v>2.99826666666666</v>
      </c>
      <c r="V89" s="274">
        <f>'【国内】问卷调研-数据源（P3单独执行） '!V89*1.3</f>
        <v>3.12</v>
      </c>
      <c r="W89" s="275">
        <f>'【国内】问卷调研-数据源（P3单独执行） '!W89</f>
        <v>16.2369012911287</v>
      </c>
      <c r="Y89" s="276"/>
      <c r="Z89" s="1">
        <v>2401</v>
      </c>
      <c r="AA89" s="99">
        <f>'【国内】问卷调研-数据源（P3单独执行） '!AA89+0.2</f>
        <v>0.53</v>
      </c>
      <c r="AB89" s="99">
        <f>'【国内】问卷调研-数据源（P3单独执行） '!AC89*0.6</f>
        <v>2.2932</v>
      </c>
      <c r="AC89" s="99">
        <f t="shared" si="34"/>
        <v>3.16076666666667</v>
      </c>
      <c r="AD89" s="274">
        <f>'【国内】问卷调研-数据源（P3单独执行） '!AD89*1.3</f>
        <v>3.25</v>
      </c>
      <c r="AE89" s="275">
        <f>'【国内】问卷调研-数据源（P3单独执行） '!AE89</f>
        <v>18.0355268638067</v>
      </c>
      <c r="AG89" s="276"/>
      <c r="AH89" s="1">
        <v>2401</v>
      </c>
      <c r="AI89" s="99">
        <f>'【国内】问卷调研-数据源（P3单独执行） '!AI89+0.2</f>
        <v>0.53</v>
      </c>
      <c r="AJ89" s="99">
        <f>'【国内】问卷调研-数据源（P3单独执行） '!AK89*0.6</f>
        <v>2.3532</v>
      </c>
      <c r="AK89" s="99">
        <f t="shared" si="35"/>
        <v>3.2666</v>
      </c>
      <c r="AL89" s="274">
        <f>'【国内】问卷调研-数据源（P3单独执行） '!AL89*1.3</f>
        <v>3.38</v>
      </c>
      <c r="AM89" s="275">
        <f>'【国内】问卷调研-数据源（P3单独执行） '!AM89</f>
        <v>19.6896293211162</v>
      </c>
      <c r="AO89" s="276"/>
      <c r="AP89" s="1">
        <v>2401</v>
      </c>
      <c r="AQ89" s="99">
        <f>'【国内】问卷调研-数据源（P3单独执行） '!AQ89+0.2</f>
        <v>0.53</v>
      </c>
      <c r="AR89" s="99">
        <f>'【国内】问卷调研-数据源（P3单独执行） '!AS89*0.6</f>
        <v>2.4132</v>
      </c>
      <c r="AS89" s="99">
        <f t="shared" si="36"/>
        <v>3.37243333333333</v>
      </c>
      <c r="AT89" s="274">
        <f>'【国内】问卷调研-数据源（P3单独执行） '!AT89*1.3</f>
        <v>3.51</v>
      </c>
      <c r="AU89" s="275">
        <f>'【国内】问卷调研-数据源（P3单独执行） '!AU89</f>
        <v>21.3437317784257</v>
      </c>
      <c r="AV89" s="1"/>
      <c r="AW89" s="276"/>
      <c r="AX89" s="1">
        <v>2401</v>
      </c>
      <c r="AY89" s="99">
        <f>'【国内】问卷调研-数据源（P3单独执行） '!AY89+0.2</f>
        <v>0.53</v>
      </c>
      <c r="AZ89" s="99">
        <f>'【国内】问卷调研-数据源（P3单独执行） '!BA89*0.6</f>
        <v>2.5332</v>
      </c>
      <c r="BA89" s="99">
        <f t="shared" si="37"/>
        <v>3.5916</v>
      </c>
      <c r="BB89" s="274">
        <f>'【国内】问卷调研-数据源（P3单独执行） '!BB89*1.3</f>
        <v>3.64</v>
      </c>
      <c r="BC89" s="275">
        <f>'【国内】问卷调研-数据源（P3单独执行） '!BC89</f>
        <v>23.1394418992087</v>
      </c>
    </row>
    <row r="90" spans="2:55">
      <c r="B90" s="1">
        <v>2601</v>
      </c>
      <c r="C90" s="99">
        <f>'【国内】问卷调研-数据源（P3单独执行） '!C90+0.2</f>
        <v>0.6</v>
      </c>
      <c r="D90" s="99">
        <f>'【国内】问卷调研-数据源（P3单独执行） '!E90*0.6</f>
        <v>2.1504</v>
      </c>
      <c r="E90" s="99">
        <f t="shared" si="31"/>
        <v>2.91353333333333</v>
      </c>
      <c r="F90" s="274">
        <f>'【国内】问卷调研-数据源（P3单独执行） '!F90*1.3</f>
        <v>2.86</v>
      </c>
      <c r="G90" s="275">
        <f>'【国内】问卷调研-数据源（P3单独执行） '!G90</f>
        <v>12.8460592079969</v>
      </c>
      <c r="I90" s="276"/>
      <c r="J90" s="1">
        <v>2601</v>
      </c>
      <c r="K90" s="99">
        <f>'【国内】问卷调研-数据源（P3单独执行） '!K90+0.2</f>
        <v>0.6</v>
      </c>
      <c r="L90" s="99">
        <f>'【国内】问卷调研-数据源（P3单独执行） '!M90*0.6</f>
        <v>2.2104</v>
      </c>
      <c r="M90" s="99">
        <f t="shared" si="32"/>
        <v>3.01936666666667</v>
      </c>
      <c r="N90" s="274">
        <f>'【国内】问卷调研-数据源（P3单独执行） '!N90*1.3</f>
        <v>2.99</v>
      </c>
      <c r="O90" s="275">
        <f>'【国内】问卷调研-数据源（P3单独执行） '!O90</f>
        <v>14.4883121876201</v>
      </c>
      <c r="Q90" s="276"/>
      <c r="R90" s="1">
        <v>2601</v>
      </c>
      <c r="S90" s="99">
        <f>'【国内】问卷调研-数据源（P3单独执行） '!S90+0.2</f>
        <v>0.6</v>
      </c>
      <c r="T90" s="99">
        <f>'【国内】问卷调研-数据源（P3单独执行） '!U90*0.6</f>
        <v>2.2704</v>
      </c>
      <c r="U90" s="99">
        <f t="shared" si="33"/>
        <v>3.1252</v>
      </c>
      <c r="V90" s="274">
        <f>'【国内】问卷调研-数据源（P3单独执行） '!V90*1.3</f>
        <v>3.12</v>
      </c>
      <c r="W90" s="275">
        <f>'【国内】问卷调研-数据源（P3单独执行） '!W90</f>
        <v>16.1305651672434</v>
      </c>
      <c r="Y90" s="276"/>
      <c r="Z90" s="1">
        <v>2601</v>
      </c>
      <c r="AA90" s="99">
        <f>'【国内】问卷调研-数据源（P3单独执行） '!AA90+0.2</f>
        <v>0.64</v>
      </c>
      <c r="AB90" s="99">
        <f>'【国内】问卷调研-数据源（P3单独执行） '!AC90*0.6</f>
        <v>2.3604</v>
      </c>
      <c r="AC90" s="99">
        <f t="shared" si="34"/>
        <v>3.2877</v>
      </c>
      <c r="AD90" s="274">
        <f>'【国内】问卷调研-数据源（P3单独执行） '!AD90*1.3</f>
        <v>3.25</v>
      </c>
      <c r="AE90" s="275">
        <f>'【国内】问卷调研-数据源（P3单独执行） '!AE90</f>
        <v>17.9289119569396</v>
      </c>
      <c r="AG90" s="276"/>
      <c r="AH90" s="1">
        <v>2601</v>
      </c>
      <c r="AI90" s="99">
        <f>'【国内】问卷调研-数据源（P3单独执行） '!AI90+0.2</f>
        <v>0.64</v>
      </c>
      <c r="AJ90" s="99">
        <f>'【国内】问卷调研-数据源（P3单独执行） '!AK90*0.6</f>
        <v>2.4204</v>
      </c>
      <c r="AK90" s="99">
        <f t="shared" si="35"/>
        <v>3.39353333333333</v>
      </c>
      <c r="AL90" s="274">
        <f>'【国内】问卷调研-数据源（P3单独执行） '!AL90*1.3</f>
        <v>3.38</v>
      </c>
      <c r="AM90" s="275">
        <f>'【国内】问卷调研-数据源（P3单独执行） '!AM90</f>
        <v>19.5711649365629</v>
      </c>
      <c r="AO90" s="276"/>
      <c r="AP90" s="1">
        <v>2601</v>
      </c>
      <c r="AQ90" s="99">
        <f>'【国内】问卷调研-数据源（P3单独执行） '!AQ90+0.2</f>
        <v>0.64</v>
      </c>
      <c r="AR90" s="99">
        <f>'【国内】问卷调研-数据源（P3单独执行） '!AS90*0.6</f>
        <v>2.4804</v>
      </c>
      <c r="AS90" s="99">
        <f t="shared" si="36"/>
        <v>3.49936666666667</v>
      </c>
      <c r="AT90" s="274">
        <f>'【国内】问卷调研-数据源（P3单独执行） '!AT90*1.3</f>
        <v>3.51</v>
      </c>
      <c r="AU90" s="275">
        <f>'【国内】问卷调研-数据源（P3单独执行） '!AU90</f>
        <v>21.2134179161861</v>
      </c>
      <c r="AV90" s="1"/>
      <c r="AW90" s="276"/>
      <c r="AX90" s="1">
        <v>2601</v>
      </c>
      <c r="AY90" s="99">
        <f>'【国内】问卷调研-数据源（P3单独执行） '!AY90+0.2</f>
        <v>0.64</v>
      </c>
      <c r="AZ90" s="99">
        <f>'【国内】问卷调研-数据源（P3单独执行） '!BA90*0.6</f>
        <v>2.6004</v>
      </c>
      <c r="BA90" s="99">
        <f t="shared" si="37"/>
        <v>3.71853333333333</v>
      </c>
      <c r="BB90" s="274">
        <f>'【国内】问卷调研-数据源（P3单独执行） '!BB90*1.3</f>
        <v>3.64</v>
      </c>
      <c r="BC90" s="275">
        <f>'【国内】问卷调研-数据源（P3单独执行） '!BC90</f>
        <v>22.9863898500577</v>
      </c>
    </row>
    <row r="91" spans="2:55">
      <c r="B91" s="1">
        <v>2801</v>
      </c>
      <c r="C91" s="99">
        <f>'【国内】问卷调研-数据源（P3单独执行） '!C91+0.2</f>
        <v>0.6</v>
      </c>
      <c r="D91" s="99">
        <f>'【国内】问卷调研-数据源（P3单独执行） '!E91*0.6</f>
        <v>2.4192</v>
      </c>
      <c r="E91" s="99">
        <f t="shared" si="31"/>
        <v>3.42126666666667</v>
      </c>
      <c r="F91" s="274">
        <f>'【国内】问卷调研-数据源（P3单独执行） '!F91*1.3</f>
        <v>2.86</v>
      </c>
      <c r="G91" s="275">
        <f>'【国内】问卷调研-数据源（P3单独执行） '!G91</f>
        <v>12.9724384148518</v>
      </c>
      <c r="I91" s="276"/>
      <c r="J91" s="1">
        <v>2801</v>
      </c>
      <c r="K91" s="99">
        <f>'【国内】问卷调研-数据源（P3单独执行） '!K91+0.2</f>
        <v>0.6</v>
      </c>
      <c r="L91" s="99">
        <f>'【国内】问卷调研-数据源（P3单独执行） '!M91*0.6</f>
        <v>2.4792</v>
      </c>
      <c r="M91" s="99">
        <f t="shared" si="32"/>
        <v>3.5271</v>
      </c>
      <c r="N91" s="274">
        <f>'【国内】问卷调研-数据源（P3单独执行） '!N91*1.3</f>
        <v>2.99</v>
      </c>
      <c r="O91" s="275">
        <f>'【国内】问卷调研-数据源（P3单独执行） '!O91</f>
        <v>14.6045340949661</v>
      </c>
      <c r="Q91" s="276"/>
      <c r="R91" s="1">
        <v>2801</v>
      </c>
      <c r="S91" s="99">
        <f>'【国内】问卷调研-数据源（P3单独执行） '!S91+0.2</f>
        <v>0.6</v>
      </c>
      <c r="T91" s="99">
        <f>'【国内】问卷调研-数据源（P3单独执行） '!U91*0.6</f>
        <v>2.5392</v>
      </c>
      <c r="U91" s="99">
        <f t="shared" si="33"/>
        <v>3.63293333333333</v>
      </c>
      <c r="V91" s="274">
        <f>'【国内】问卷调研-数据源（P3单独执行） '!V91*1.3</f>
        <v>3.12</v>
      </c>
      <c r="W91" s="275">
        <f>'【国内】问卷调研-数据源（P3单独执行） '!W91</f>
        <v>16.2366297750803</v>
      </c>
      <c r="Y91" s="276"/>
      <c r="Z91" s="1">
        <v>2801</v>
      </c>
      <c r="AA91" s="99">
        <f>'【国内】问卷调研-数据源（P3单独执行） '!AA91+0.2</f>
        <v>0.64</v>
      </c>
      <c r="AB91" s="99">
        <f>'【国内】问卷调研-数据源（P3单独执行） '!AC91*0.6</f>
        <v>2.6292</v>
      </c>
      <c r="AC91" s="99">
        <f t="shared" si="34"/>
        <v>3.79543333333334</v>
      </c>
      <c r="AD91" s="274">
        <f>'【国内】问卷调研-数据源（P3单独执行） '!AD91*1.3</f>
        <v>3.25</v>
      </c>
      <c r="AE91" s="275">
        <f>'【国内】问卷调研-数据源（P3单独执行） '!AE91</f>
        <v>18.0136736879686</v>
      </c>
      <c r="AG91" s="276"/>
      <c r="AH91" s="1">
        <v>2801</v>
      </c>
      <c r="AI91" s="99">
        <f>'【国内】问卷调研-数据源（P3单独执行） '!AI91+0.2</f>
        <v>0.64</v>
      </c>
      <c r="AJ91" s="99">
        <f>'【国内】问卷调研-数据源（P3单独执行） '!AK91*0.6</f>
        <v>2.6892</v>
      </c>
      <c r="AK91" s="99">
        <f t="shared" si="35"/>
        <v>3.90126666666667</v>
      </c>
      <c r="AL91" s="274">
        <f>'【国内】问卷调研-数据源（P3单独执行） '!AL91*1.3</f>
        <v>3.38</v>
      </c>
      <c r="AM91" s="275">
        <f>'【国内】问卷调研-数据源（P3单独执行） '!AM91</f>
        <v>19.6457693680828</v>
      </c>
      <c r="AO91" s="276"/>
      <c r="AP91" s="1">
        <v>2801</v>
      </c>
      <c r="AQ91" s="99">
        <f>'【国内】问卷调研-数据源（P3单独执行） '!AQ91+0.2</f>
        <v>0.64</v>
      </c>
      <c r="AR91" s="99">
        <f>'【国内】问卷调研-数据源（P3单独执行） '!AS91*0.6</f>
        <v>2.7492</v>
      </c>
      <c r="AS91" s="99">
        <f t="shared" si="36"/>
        <v>4.0071</v>
      </c>
      <c r="AT91" s="274">
        <f>'【国内】问卷调研-数据源（P3单独执行） '!AT91*1.3</f>
        <v>3.51</v>
      </c>
      <c r="AU91" s="275">
        <f>'【国内】问卷调研-数据源（P3单独执行） '!AU91</f>
        <v>21.2778650481971</v>
      </c>
      <c r="AV91" s="1"/>
      <c r="AW91" s="276"/>
      <c r="AX91" s="1">
        <v>2801</v>
      </c>
      <c r="AY91" s="99">
        <f>'【国内】问卷调研-数据源（P3单独执行） '!AY91+0.2</f>
        <v>0.64</v>
      </c>
      <c r="AZ91" s="99">
        <f>'【国内】问卷调研-数据源（P3单独执行） '!BA91*0.6</f>
        <v>2.8692</v>
      </c>
      <c r="BA91" s="99">
        <f t="shared" si="37"/>
        <v>4.22626666666667</v>
      </c>
      <c r="BB91" s="274">
        <f>'【国内】问卷调研-数据源（P3单独执行） '!BB91*1.3</f>
        <v>3.64</v>
      </c>
      <c r="BC91" s="275">
        <f>'【国内】问卷调研-数据源（P3单独执行） '!BC91</f>
        <v>23.0313459478758</v>
      </c>
    </row>
    <row r="92" spans="2:55">
      <c r="I92" s="269"/>
      <c r="Q92" s="269"/>
      <c r="Y92" s="269"/>
      <c r="AG92" s="269"/>
      <c r="AO92" s="269"/>
      <c r="AW92" s="269"/>
    </row>
    <row r="93" spans="2:55">
      <c r="B93" s="268" t="s">
        <v>91</v>
      </c>
      <c r="C93" s="268" t="s">
        <v>123</v>
      </c>
      <c r="I93" s="269"/>
      <c r="J93" s="268" t="s">
        <v>91</v>
      </c>
      <c r="K93" s="268"/>
      <c r="L93" s="268" t="s">
        <v>123</v>
      </c>
      <c r="Q93" s="269"/>
      <c r="R93" s="268" t="s">
        <v>91</v>
      </c>
      <c r="S93" s="268"/>
      <c r="T93" s="268" t="s">
        <v>123</v>
      </c>
      <c r="Y93" s="269"/>
      <c r="Z93" s="268" t="s">
        <v>91</v>
      </c>
      <c r="AA93" s="268"/>
      <c r="AB93" s="268" t="s">
        <v>123</v>
      </c>
      <c r="AG93" s="269"/>
      <c r="AH93" s="268" t="s">
        <v>91</v>
      </c>
      <c r="AI93" s="268"/>
      <c r="AJ93" s="268" t="s">
        <v>123</v>
      </c>
      <c r="AO93" s="269"/>
      <c r="AP93" s="268" t="s">
        <v>91</v>
      </c>
      <c r="AQ93" s="268"/>
      <c r="AR93" s="268" t="s">
        <v>123</v>
      </c>
      <c r="AW93" s="269"/>
      <c r="AX93" s="268" t="s">
        <v>91</v>
      </c>
      <c r="AY93" s="268"/>
      <c r="AZ93" s="268" t="s">
        <v>123</v>
      </c>
    </row>
    <row r="94" spans="2:55">
      <c r="B94" s="270" t="s">
        <v>92</v>
      </c>
      <c r="C94" s="270" t="s">
        <v>93</v>
      </c>
      <c r="I94" s="269"/>
      <c r="J94" s="270" t="s">
        <v>92</v>
      </c>
      <c r="K94" s="270"/>
      <c r="L94" s="270" t="s">
        <v>94</v>
      </c>
      <c r="Q94" s="269"/>
      <c r="R94" s="270" t="s">
        <v>92</v>
      </c>
      <c r="S94" s="270"/>
      <c r="T94" s="270" t="s">
        <v>95</v>
      </c>
      <c r="Y94" s="269"/>
      <c r="Z94" s="270" t="s">
        <v>92</v>
      </c>
      <c r="AA94" s="270"/>
      <c r="AB94" s="270" t="s">
        <v>96</v>
      </c>
      <c r="AG94" s="269"/>
      <c r="AH94" s="270" t="s">
        <v>92</v>
      </c>
      <c r="AI94" s="270"/>
      <c r="AJ94" s="270" t="s">
        <v>97</v>
      </c>
      <c r="AO94" s="269"/>
      <c r="AP94" s="270" t="s">
        <v>92</v>
      </c>
      <c r="AQ94" s="270"/>
      <c r="AR94" s="270" t="s">
        <v>98</v>
      </c>
      <c r="AW94" s="269"/>
      <c r="AX94" s="270" t="s">
        <v>92</v>
      </c>
      <c r="AY94" s="270"/>
      <c r="AZ94" s="270" t="s">
        <v>99</v>
      </c>
    </row>
    <row r="95" spans="2:55">
      <c r="B95" s="271" t="s">
        <v>100</v>
      </c>
      <c r="C95" s="271"/>
      <c r="D95" s="271">
        <v>10</v>
      </c>
      <c r="F95" s="59"/>
      <c r="G95" s="282">
        <f>AVERAGE(G99:G114)</f>
        <v>20.4783750903654</v>
      </c>
      <c r="H95" s="59"/>
      <c r="I95" s="269"/>
      <c r="J95" s="271" t="s">
        <v>100</v>
      </c>
      <c r="K95" s="271"/>
      <c r="L95" s="271">
        <v>12</v>
      </c>
      <c r="N95" s="59"/>
      <c r="O95" s="282">
        <f>AVERAGE(O99:O114)</f>
        <v>23.1390131228059</v>
      </c>
      <c r="P95" s="59"/>
      <c r="Q95" s="269"/>
      <c r="R95" s="271" t="s">
        <v>100</v>
      </c>
      <c r="S95" s="271"/>
      <c r="T95" s="271">
        <v>14</v>
      </c>
      <c r="V95" s="59"/>
      <c r="W95" s="283">
        <f>AVERAGE(W99:W114)</f>
        <v>25.7996511552464</v>
      </c>
      <c r="X95" s="59"/>
      <c r="Y95" s="269"/>
      <c r="Z95" s="271" t="s">
        <v>100</v>
      </c>
      <c r="AA95" s="271"/>
      <c r="AB95" s="271">
        <v>16</v>
      </c>
      <c r="AD95" s="59"/>
      <c r="AE95" s="283">
        <f>AVERAGE(AE99:AE114)</f>
        <v>28.460289187687</v>
      </c>
      <c r="AF95" s="59"/>
      <c r="AG95" s="269"/>
      <c r="AH95" s="271" t="s">
        <v>100</v>
      </c>
      <c r="AI95" s="271"/>
      <c r="AJ95" s="271">
        <v>18</v>
      </c>
      <c r="AL95" s="59"/>
      <c r="AM95" s="272">
        <f>AVERAGE(AM99:AM114)</f>
        <v>31.1209272201275</v>
      </c>
      <c r="AN95" s="59"/>
      <c r="AO95" s="269"/>
      <c r="AP95" s="271" t="s">
        <v>100</v>
      </c>
      <c r="AQ95" s="271"/>
      <c r="AR95" s="271">
        <v>20</v>
      </c>
      <c r="AT95" s="273"/>
      <c r="AU95" s="272">
        <f>AVERAGE(AU99:AU114)</f>
        <v>33.781565252568</v>
      </c>
      <c r="AV95" s="273"/>
      <c r="AW95" s="269"/>
      <c r="AX95" s="271" t="s">
        <v>100</v>
      </c>
      <c r="AY95" s="271"/>
      <c r="AZ95" s="271">
        <v>22</v>
      </c>
      <c r="BB95" s="273"/>
      <c r="BC95" s="272">
        <f>AVERAGE(BC99:BC114)</f>
        <v>36.3886380391349</v>
      </c>
    </row>
    <row r="96" spans="2:55">
      <c r="B96" s="1" t="s">
        <v>101</v>
      </c>
      <c r="C96" s="1" t="s">
        <v>8</v>
      </c>
      <c r="D96" s="1" t="s">
        <v>9</v>
      </c>
      <c r="E96" s="1" t="s">
        <v>10</v>
      </c>
      <c r="F96" s="1" t="s">
        <v>103</v>
      </c>
      <c r="G96" s="1" t="s">
        <v>104</v>
      </c>
      <c r="I96" s="269"/>
      <c r="J96" s="1" t="s">
        <v>101</v>
      </c>
      <c r="K96" s="1" t="s">
        <v>8</v>
      </c>
      <c r="L96" s="1" t="s">
        <v>9</v>
      </c>
      <c r="M96" s="1" t="s">
        <v>10</v>
      </c>
      <c r="N96" s="1" t="s">
        <v>103</v>
      </c>
      <c r="O96" s="1" t="s">
        <v>104</v>
      </c>
      <c r="Q96" s="269"/>
      <c r="R96" s="1" t="s">
        <v>101</v>
      </c>
      <c r="S96" s="1" t="s">
        <v>8</v>
      </c>
      <c r="T96" s="1" t="s">
        <v>9</v>
      </c>
      <c r="U96" s="1" t="s">
        <v>10</v>
      </c>
      <c r="V96" s="1" t="s">
        <v>103</v>
      </c>
      <c r="W96" s="1" t="s">
        <v>104</v>
      </c>
      <c r="Y96" s="269"/>
      <c r="Z96" s="1" t="s">
        <v>101</v>
      </c>
      <c r="AA96" s="1" t="s">
        <v>8</v>
      </c>
      <c r="AB96" s="1" t="s">
        <v>9</v>
      </c>
      <c r="AC96" s="1" t="s">
        <v>10</v>
      </c>
      <c r="AD96" s="1" t="s">
        <v>103</v>
      </c>
      <c r="AG96" s="269"/>
      <c r="AH96" s="1" t="s">
        <v>101</v>
      </c>
      <c r="AI96" s="1" t="s">
        <v>8</v>
      </c>
      <c r="AJ96" s="1" t="s">
        <v>9</v>
      </c>
      <c r="AK96" s="1" t="s">
        <v>10</v>
      </c>
      <c r="AL96" s="1" t="s">
        <v>103</v>
      </c>
      <c r="AO96" s="269"/>
      <c r="AP96" s="1" t="s">
        <v>101</v>
      </c>
      <c r="AQ96" s="1" t="s">
        <v>8</v>
      </c>
      <c r="AR96" s="1" t="s">
        <v>9</v>
      </c>
      <c r="AS96" s="1" t="s">
        <v>10</v>
      </c>
      <c r="AT96" s="1" t="s">
        <v>103</v>
      </c>
      <c r="AW96" s="269"/>
      <c r="AX96" s="1" t="s">
        <v>101</v>
      </c>
      <c r="AY96" s="1" t="s">
        <v>8</v>
      </c>
      <c r="AZ96" s="1" t="s">
        <v>9</v>
      </c>
      <c r="BA96" s="1" t="s">
        <v>10</v>
      </c>
      <c r="BB96" s="1" t="s">
        <v>103</v>
      </c>
    </row>
    <row r="97" spans="2:55">
      <c r="B97" s="1">
        <v>0</v>
      </c>
      <c r="C97" s="99">
        <v>0</v>
      </c>
      <c r="D97" s="99">
        <f>'【国内】问卷调研-数据源（P3单独执行） '!E97*0.4</f>
        <v>0</v>
      </c>
      <c r="E97" s="99" t="e">
        <f>(G97*B97-$D$95*B97-C97*5900-D97*3400-F97*300)/1200</f>
        <v>#DIV/0!</v>
      </c>
      <c r="F97" s="274">
        <f>'【国内】问卷调研-数据源（P3单独执行） '!F97*1.3</f>
        <v>0.13</v>
      </c>
      <c r="G97" s="275" t="e">
        <f>'【国内】问卷调研-数据源（P3单独执行） '!G97</f>
        <v>#DIV/0!</v>
      </c>
      <c r="I97" s="269"/>
      <c r="J97" s="1">
        <v>0</v>
      </c>
      <c r="K97" s="99">
        <v>0</v>
      </c>
      <c r="L97" s="99">
        <f>'【国内】问卷调研-数据源（P3单独执行） '!M97*0.4</f>
        <v>0</v>
      </c>
      <c r="M97" s="99" t="e">
        <f>(O97*J97-$L$95*J97-K97*5900-L97*3400-N97*300)/1200</f>
        <v>#DIV/0!</v>
      </c>
      <c r="N97" s="274">
        <f>'【国内】问卷调研-数据源（P3单独执行） '!N97*1.3</f>
        <v>0.26</v>
      </c>
      <c r="O97" s="275" t="e">
        <f>'【国内】问卷调研-数据源（P3单独执行） '!O97</f>
        <v>#DIV/0!</v>
      </c>
      <c r="Q97" s="269"/>
      <c r="R97" s="1">
        <v>0</v>
      </c>
      <c r="S97" s="99">
        <f>K97</f>
        <v>0</v>
      </c>
      <c r="T97" s="99">
        <f>'【国内】问卷调研-数据源（P3单独执行） '!U97*0.4</f>
        <v>0</v>
      </c>
      <c r="U97" s="99" t="e">
        <f>(W97*R97-$T$95*R97-S97*5900-T97*3400-V97*300)/1200</f>
        <v>#DIV/0!</v>
      </c>
      <c r="V97" s="274">
        <f>'【国内】问卷调研-数据源（P3单独执行） '!V97*1.3</f>
        <v>0.39</v>
      </c>
      <c r="W97" s="275" t="e">
        <f>'【国内】问卷调研-数据源（P3单独执行） '!W97</f>
        <v>#DIV/0!</v>
      </c>
      <c r="Y97" s="269"/>
      <c r="Z97" s="1">
        <v>0</v>
      </c>
      <c r="AA97" s="99">
        <f>S97</f>
        <v>0</v>
      </c>
      <c r="AB97" s="99">
        <f>'【国内】问卷调研-数据源（P3单独执行） '!AC97*0.4</f>
        <v>0</v>
      </c>
      <c r="AC97" s="99" t="e">
        <f>(AE97*Z97-$AB$95*Z97-AA97*5900-AB97*3400-AD97*300)/1200</f>
        <v>#DIV/0!</v>
      </c>
      <c r="AD97" s="274">
        <f>'【国内】问卷调研-数据源（P3单独执行） '!AD97*1.3</f>
        <v>0.52</v>
      </c>
      <c r="AE97" s="275" t="e">
        <f>'【国内】问卷调研-数据源（P3单独执行） '!AE97</f>
        <v>#DIV/0!</v>
      </c>
      <c r="AG97" s="269"/>
      <c r="AH97" s="1">
        <v>0</v>
      </c>
      <c r="AI97" s="99">
        <f>AA97</f>
        <v>0</v>
      </c>
      <c r="AJ97" s="99">
        <f>'【国内】问卷调研-数据源（P3单独执行） '!AK97*0.4</f>
        <v>0</v>
      </c>
      <c r="AK97" s="99" t="e">
        <f>(AM97*AH97-$AJ$95*AH97-AI97*5900-AJ97*3400-AL97*300)/1200</f>
        <v>#DIV/0!</v>
      </c>
      <c r="AL97" s="274">
        <f>'【国内】问卷调研-数据源（P3单独执行） '!AL97*1.3</f>
        <v>0.65</v>
      </c>
      <c r="AM97" s="275" t="e">
        <f>'【国内】问卷调研-数据源（P3单独执行） '!AM97</f>
        <v>#DIV/0!</v>
      </c>
      <c r="AO97" s="269"/>
      <c r="AP97" s="1">
        <v>0</v>
      </c>
      <c r="AQ97" s="99">
        <f>AI97</f>
        <v>0</v>
      </c>
      <c r="AR97" s="99">
        <f>'【国内】问卷调研-数据源（P3单独执行） '!AS97*0.4</f>
        <v>0</v>
      </c>
      <c r="AS97" s="99" t="e">
        <f>(AU97*AP97-$AR$95*AP97-AQ97*5900-AR97*3400-AT97*300)/1200</f>
        <v>#DIV/0!</v>
      </c>
      <c r="AT97" s="274">
        <f>'【国内】问卷调研-数据源（P3单独执行） '!AT97*1.3</f>
        <v>0.78</v>
      </c>
      <c r="AU97" s="275" t="e">
        <f>'【国内】问卷调研-数据源（P3单独执行） '!AU97</f>
        <v>#DIV/0!</v>
      </c>
      <c r="AV97" s="1"/>
      <c r="AW97" s="269"/>
      <c r="AX97" s="1">
        <v>0</v>
      </c>
      <c r="AY97" s="99">
        <f>AQ97</f>
        <v>0</v>
      </c>
      <c r="AZ97" s="99">
        <f>'【国内】问卷调研-数据源（P3单独执行） '!BA97*0.4</f>
        <v>0</v>
      </c>
      <c r="BA97" s="99" t="e">
        <f>(BC97*AX97-$AZ$95*AX97-AY97*5900-AZ97*3400-BB97*300)/1200</f>
        <v>#DIV/0!</v>
      </c>
      <c r="BB97" s="274">
        <f>'【国内】问卷调研-数据源（P3单独执行） '!BB97*1.3</f>
        <v>0</v>
      </c>
      <c r="BC97" s="275" t="e">
        <f>'【国内】问卷调研-数据源（P3单独执行） '!BC97</f>
        <v>#DIV/0!</v>
      </c>
    </row>
    <row r="98" spans="2:55">
      <c r="B98" s="1">
        <v>1</v>
      </c>
      <c r="C98" s="99">
        <v>0</v>
      </c>
      <c r="D98" s="99">
        <f>'【国内】问卷调研-数据源（P3单独执行） '!E98*0.4</f>
        <v>0.264</v>
      </c>
      <c r="E98" s="99">
        <f t="shared" ref="E98:E114" si="38">(G98*B98-$D$95*B98-C98*5900-D98*3400-F98*300)/1200</f>
        <v>1.0545</v>
      </c>
      <c r="F98" s="274">
        <f>'【国内】问卷调研-数据源（P3单独执行） '!F98*1.3</f>
        <v>1.17</v>
      </c>
      <c r="G98" s="275">
        <f>'【国内】问卷调研-数据源（P3单独执行） '!G98</f>
        <v>2524</v>
      </c>
      <c r="I98" s="276"/>
      <c r="J98" s="1">
        <v>1</v>
      </c>
      <c r="K98" s="99">
        <v>0</v>
      </c>
      <c r="L98" s="99">
        <f>'【国内】问卷调研-数据源（P3单独执行） '!M98*0.4</f>
        <v>0.304</v>
      </c>
      <c r="M98" s="99">
        <f t="shared" ref="M98:M114" si="39">(O98*J98-$L$95*J98-K98*5900-L98*3400-N98*300)/1200</f>
        <v>1.217</v>
      </c>
      <c r="N98" s="274">
        <f>'【国内】问卷调研-数据源（P3单独执行） '!N98*1.3</f>
        <v>1.3</v>
      </c>
      <c r="O98" s="275">
        <f>'【国内】问卷调研-数据源（P3单独执行） '!O98</f>
        <v>2896</v>
      </c>
      <c r="Q98" s="276"/>
      <c r="R98" s="1">
        <v>1</v>
      </c>
      <c r="S98" s="99">
        <f t="shared" ref="S98:S114" si="40">K98</f>
        <v>0</v>
      </c>
      <c r="T98" s="99">
        <f>'【国内】问卷调研-数据源（P3单独执行） '!U98*0.4</f>
        <v>0.344</v>
      </c>
      <c r="U98" s="99">
        <f t="shared" ref="U98:U114" si="41">(W98*R98-$T$95*R98-S98*5900-T98*3400-V98*300)/1200</f>
        <v>1.3795</v>
      </c>
      <c r="V98" s="274">
        <f>'【国内】问卷调研-数据源（P3单独执行） '!V98*1.3</f>
        <v>1.43</v>
      </c>
      <c r="W98" s="275">
        <f>'【国内】问卷调研-数据源（P3单独执行） '!W98</f>
        <v>3268</v>
      </c>
      <c r="Y98" s="276"/>
      <c r="Z98" s="1">
        <v>1</v>
      </c>
      <c r="AA98" s="99">
        <f t="shared" ref="AA98:AA114" si="42">S98</f>
        <v>0</v>
      </c>
      <c r="AB98" s="99">
        <f>'【国内】问卷调研-数据源（P3单独执行） '!AC98*0.4</f>
        <v>0.384</v>
      </c>
      <c r="AC98" s="99">
        <f t="shared" ref="AC98:AC114" si="43">(AE98*Z98-$AB$95*Z98-AA98*5900-AB98*3400-AD98*300)/1200</f>
        <v>1.542</v>
      </c>
      <c r="AD98" s="274">
        <f>'【国内】问卷调研-数据源（P3单独执行） '!AD98*1.3</f>
        <v>1.56</v>
      </c>
      <c r="AE98" s="275">
        <f>'【国内】问卷调研-数据源（P3单独执行） '!AE98</f>
        <v>3640</v>
      </c>
      <c r="AG98" s="276"/>
      <c r="AH98" s="1">
        <v>1</v>
      </c>
      <c r="AI98" s="99">
        <f>AA98</f>
        <v>0</v>
      </c>
      <c r="AJ98" s="99">
        <f>'【国内】问卷调研-数据源（P3单独执行） '!AK98*0.4</f>
        <v>0.424</v>
      </c>
      <c r="AK98" s="99">
        <f t="shared" ref="AK98:AK114" si="44">(AM98*AH98-$AJ$95*AH98-AI98*5900-AJ98*3400-AL98*300)/1200</f>
        <v>1.7045</v>
      </c>
      <c r="AL98" s="274">
        <f>'【国内】问卷调研-数据源（P3单独执行） '!AL98*1.3</f>
        <v>1.69</v>
      </c>
      <c r="AM98" s="275">
        <f>'【国内】问卷调研-数据源（P3单独执行） '!AM98</f>
        <v>4012</v>
      </c>
      <c r="AO98" s="276"/>
      <c r="AP98" s="1">
        <v>1</v>
      </c>
      <c r="AQ98" s="99">
        <f>AI98</f>
        <v>0</v>
      </c>
      <c r="AR98" s="99">
        <f>'【国内】问卷调研-数据源（P3单独执行） '!AS98*0.4</f>
        <v>0.464</v>
      </c>
      <c r="AS98" s="99">
        <f t="shared" ref="AS98:AS114" si="45">(AU98*AP98-$AR$95*AP98-AQ98*5900-AR98*3400-AT98*300)/1200</f>
        <v>1.867</v>
      </c>
      <c r="AT98" s="274">
        <f>'【国内】问卷调研-数据源（P3单独执行） '!AT98*1.3</f>
        <v>1.82</v>
      </c>
      <c r="AU98" s="275">
        <f>'【国内】问卷调研-数据源（P3单独执行） '!AU98</f>
        <v>4384</v>
      </c>
      <c r="AV98" s="1"/>
      <c r="AW98" s="276"/>
      <c r="AX98" s="1">
        <v>1</v>
      </c>
      <c r="AY98" s="99">
        <f>AQ98</f>
        <v>0</v>
      </c>
      <c r="AZ98" s="99">
        <f>'【国内】问卷调研-数据源（P3单独执行） '!BA98*0.4</f>
        <v>0.504</v>
      </c>
      <c r="BA98" s="99">
        <f t="shared" ref="BA98:BA114" si="46">(BC98*AX98-$AZ$95*AX98-AY98*5900-AZ98*3400-BB98*300)/1200</f>
        <v>2.037</v>
      </c>
      <c r="BB98" s="274">
        <f>'【国内】问卷调研-数据源（P3单独执行） '!BB98*1.3</f>
        <v>1.82</v>
      </c>
      <c r="BC98" s="275">
        <f>'【国内】问卷调研-数据源（P3单独执行） '!BC98</f>
        <v>4726</v>
      </c>
    </row>
    <row r="99" spans="2:55">
      <c r="B99" s="1">
        <v>101</v>
      </c>
      <c r="C99" s="99">
        <v>0</v>
      </c>
      <c r="D99" s="99">
        <f>'【国内】问卷调研-数据源（P3单独执行） '!E99*0.4</f>
        <v>0.264</v>
      </c>
      <c r="E99" s="99">
        <f t="shared" si="38"/>
        <v>1.0545</v>
      </c>
      <c r="F99" s="274">
        <f>'【国内】问卷调研-数据源（P3单独执行） '!F99*1.3</f>
        <v>1.17</v>
      </c>
      <c r="G99" s="275">
        <f>'【国内】问卷调研-数据源（P3单独执行） '!G99</f>
        <v>34.8910891089109</v>
      </c>
      <c r="I99" s="276"/>
      <c r="J99" s="1">
        <v>101</v>
      </c>
      <c r="K99" s="99">
        <v>0</v>
      </c>
      <c r="L99" s="99">
        <f>'【国内】问卷调研-数据源（P3单独执行） '!M99*0.4</f>
        <v>0.304</v>
      </c>
      <c r="M99" s="99">
        <f t="shared" si="39"/>
        <v>1.217</v>
      </c>
      <c r="N99" s="274">
        <f>'【国内】问卷调研-数据源（P3单独执行） '!N99*1.3</f>
        <v>1.3</v>
      </c>
      <c r="O99" s="275">
        <f>'【国内】问卷调研-数据源（P3单独执行） '!O99</f>
        <v>40.5544554455445</v>
      </c>
      <c r="Q99" s="276"/>
      <c r="R99" s="1">
        <v>101</v>
      </c>
      <c r="S99" s="99">
        <f t="shared" si="40"/>
        <v>0</v>
      </c>
      <c r="T99" s="99">
        <f>'【国内】问卷调研-数据源（P3单独执行） '!U99*0.4</f>
        <v>0.344</v>
      </c>
      <c r="U99" s="99">
        <f t="shared" si="41"/>
        <v>1.3795</v>
      </c>
      <c r="V99" s="274">
        <f>'【国内】问卷调研-数据源（P3单独执行） '!V99*1.3</f>
        <v>1.43</v>
      </c>
      <c r="W99" s="275">
        <f>'【国内】问卷调研-数据源（P3单独执行） '!W99</f>
        <v>46.2178217821782</v>
      </c>
      <c r="Y99" s="276"/>
      <c r="Z99" s="1">
        <v>101</v>
      </c>
      <c r="AA99" s="99">
        <f t="shared" si="42"/>
        <v>0</v>
      </c>
      <c r="AB99" s="99">
        <f>'【国内】问卷调研-数据源（P3单独执行） '!AC99*0.4</f>
        <v>0.384</v>
      </c>
      <c r="AC99" s="99">
        <f t="shared" si="43"/>
        <v>1.542</v>
      </c>
      <c r="AD99" s="274">
        <f>'【国内】问卷调研-数据源（P3单独执行） '!AD99*1.3</f>
        <v>1.56</v>
      </c>
      <c r="AE99" s="275">
        <f>'【国内】问卷调研-数据源（P3单独执行） '!AE99</f>
        <v>51.8811881188119</v>
      </c>
      <c r="AG99" s="276"/>
      <c r="AH99" s="1">
        <v>101</v>
      </c>
      <c r="AI99" s="99">
        <f>AA99</f>
        <v>0</v>
      </c>
      <c r="AJ99" s="99">
        <f>'【国内】问卷调研-数据源（P3单独执行） '!AK99*0.4</f>
        <v>0.424</v>
      </c>
      <c r="AK99" s="99">
        <f t="shared" si="44"/>
        <v>1.7045</v>
      </c>
      <c r="AL99" s="274">
        <f>'【国内】问卷调研-数据源（P3单独执行） '!AL99*1.3</f>
        <v>1.69</v>
      </c>
      <c r="AM99" s="275">
        <f>'【国内】问卷调研-数据源（P3单独执行） '!AM99</f>
        <v>57.5445544554455</v>
      </c>
      <c r="AO99" s="276"/>
      <c r="AP99" s="1">
        <v>101</v>
      </c>
      <c r="AQ99" s="99">
        <f>AI99</f>
        <v>0</v>
      </c>
      <c r="AR99" s="99">
        <f>'【国内】问卷调研-数据源（P3单独执行） '!AS99*0.4</f>
        <v>0.464</v>
      </c>
      <c r="AS99" s="99">
        <f t="shared" si="45"/>
        <v>1.867</v>
      </c>
      <c r="AT99" s="274">
        <f>'【国内】问卷调研-数据源（P3单独执行） '!AT99*1.3</f>
        <v>1.82</v>
      </c>
      <c r="AU99" s="275">
        <f>'【国内】问卷调研-数据源（P3单独执行） '!AU99</f>
        <v>63.2079207920792</v>
      </c>
      <c r="AV99" s="1"/>
      <c r="AW99" s="276"/>
      <c r="AX99" s="1">
        <v>101</v>
      </c>
      <c r="AY99" s="99">
        <f>AQ99</f>
        <v>0</v>
      </c>
      <c r="AZ99" s="99">
        <f>'【国内】问卷调研-数据源（P3单独执行） '!BA99*0.4</f>
        <v>0.504</v>
      </c>
      <c r="BA99" s="99">
        <f t="shared" si="46"/>
        <v>2.037</v>
      </c>
      <c r="BB99" s="274">
        <f>'【国内】问卷调研-数据源（P3单独执行） '!BB99*1.3</f>
        <v>1.82</v>
      </c>
      <c r="BC99" s="275">
        <f>'【国内】问卷调研-数据源（P3单独执行） '!BC99</f>
        <v>68.5742574257426</v>
      </c>
    </row>
    <row r="100" spans="2:55">
      <c r="B100" s="1">
        <v>201</v>
      </c>
      <c r="C100" s="99">
        <f>'【国内】问卷调研-数据源（P3单独执行） '!C100+0.1</f>
        <v>0.1</v>
      </c>
      <c r="D100" s="99">
        <f>'【国内】问卷调研-数据源（P3单独执行） '!E100*0.4</f>
        <v>0.3984</v>
      </c>
      <c r="E100" s="99">
        <f t="shared" si="38"/>
        <v>1.10403333333333</v>
      </c>
      <c r="F100" s="274">
        <f>'【国内】问卷调研-数据源（P3单独执行） '!F100*1.3</f>
        <v>1.69</v>
      </c>
      <c r="G100" s="275">
        <f>'【国内】问卷调研-数据源（P3单独执行） '!G100</f>
        <v>28.7880597014925</v>
      </c>
      <c r="I100" s="276"/>
      <c r="J100" s="1">
        <v>201</v>
      </c>
      <c r="K100" s="99">
        <f t="shared" ref="K98:K114" si="47">C100</f>
        <v>0.1</v>
      </c>
      <c r="L100" s="99">
        <f>'【国内】问卷调研-数据源（P3单独执行） '!M100*0.4</f>
        <v>0.4384</v>
      </c>
      <c r="M100" s="99">
        <f t="shared" si="39"/>
        <v>1.26653333333333</v>
      </c>
      <c r="N100" s="274">
        <f>'【国内】问卷调研-数据源（P3单独执行） '!N100*1.3</f>
        <v>1.82</v>
      </c>
      <c r="O100" s="275">
        <f>'【国内】问卷调研-数据源（P3单独执行） '!O100</f>
        <v>32.628855721393</v>
      </c>
      <c r="Q100" s="276"/>
      <c r="R100" s="1">
        <v>201</v>
      </c>
      <c r="S100" s="99">
        <f t="shared" si="40"/>
        <v>0.1</v>
      </c>
      <c r="T100" s="99">
        <f>'【国内】问卷调研-数据源（P3单独执行） '!U100*0.4</f>
        <v>0.4784</v>
      </c>
      <c r="U100" s="99">
        <f t="shared" si="41"/>
        <v>1.42903333333333</v>
      </c>
      <c r="V100" s="274">
        <f>'【国内】问卷调研-数据源（P3单独执行） '!V100*1.3</f>
        <v>1.95</v>
      </c>
      <c r="W100" s="275">
        <f>'【国内】问卷调研-数据源（P3单独执行） '!W100</f>
        <v>36.4696517412935</v>
      </c>
      <c r="Y100" s="276"/>
      <c r="Z100" s="1">
        <v>201</v>
      </c>
      <c r="AA100" s="99">
        <f t="shared" si="42"/>
        <v>0.1</v>
      </c>
      <c r="AB100" s="99">
        <f>'【国内】问卷调研-数据源（P3单独执行） '!AC100*0.4</f>
        <v>0.5184</v>
      </c>
      <c r="AC100" s="99">
        <f t="shared" si="43"/>
        <v>1.59153333333333</v>
      </c>
      <c r="AD100" s="274">
        <f>'【国内】问卷调研-数据源（P3单独执行） '!AD100*1.3</f>
        <v>2.08</v>
      </c>
      <c r="AE100" s="275">
        <f>'【国内】问卷调研-数据源（P3单独执行） '!AE100</f>
        <v>40.310447761194</v>
      </c>
      <c r="AG100" s="276"/>
      <c r="AH100" s="1">
        <v>201</v>
      </c>
      <c r="AI100" s="99">
        <f>AA100</f>
        <v>0.1</v>
      </c>
      <c r="AJ100" s="99">
        <f>'【国内】问卷调研-数据源（P3单独执行） '!AK100*0.4</f>
        <v>0.5584</v>
      </c>
      <c r="AK100" s="99">
        <f t="shared" si="44"/>
        <v>1.75403333333333</v>
      </c>
      <c r="AL100" s="274">
        <f>'【国内】问卷调研-数据源（P3单独执行） '!AL100*1.3</f>
        <v>2.21</v>
      </c>
      <c r="AM100" s="275">
        <f>'【国内】问卷调研-数据源（P3单独执行） '!AM100</f>
        <v>44.1512437810945</v>
      </c>
      <c r="AO100" s="276"/>
      <c r="AP100" s="1">
        <v>201</v>
      </c>
      <c r="AQ100" s="99">
        <f>AI100</f>
        <v>0.1</v>
      </c>
      <c r="AR100" s="99">
        <f>'【国内】问卷调研-数据源（P3单独执行） '!AS100*0.4</f>
        <v>0.5984</v>
      </c>
      <c r="AS100" s="99">
        <f t="shared" si="45"/>
        <v>1.91653333333333</v>
      </c>
      <c r="AT100" s="274">
        <f>'【国内】问卷调研-数据源（P3单独执行） '!AT100*1.3</f>
        <v>2.34</v>
      </c>
      <c r="AU100" s="275">
        <f>'【国内】问卷调研-数据源（P3单独执行） '!AU100</f>
        <v>47.992039800995</v>
      </c>
      <c r="AV100" s="1"/>
      <c r="AW100" s="276"/>
      <c r="AX100" s="1">
        <v>201</v>
      </c>
      <c r="AY100" s="99">
        <f>AQ100</f>
        <v>0.1</v>
      </c>
      <c r="AZ100" s="99">
        <f>'【国内】问卷调研-数据源（P3单独执行） '!BA100*0.4</f>
        <v>0.6384</v>
      </c>
      <c r="BA100" s="99">
        <f t="shared" si="46"/>
        <v>2.08653333333333</v>
      </c>
      <c r="BB100" s="274">
        <f>'【国内】问卷调研-数据源（P3单独执行） '!BB100*1.3</f>
        <v>2.34</v>
      </c>
      <c r="BC100" s="275">
        <f>'【国内】问卷调研-数据源（P3单独执行） '!BC100</f>
        <v>51.6835820895522</v>
      </c>
    </row>
    <row r="101" spans="2:55">
      <c r="B101" s="1">
        <v>301</v>
      </c>
      <c r="C101" s="99">
        <f>'【国内】问卷调研-数据源（P3单独执行） '!C101+0.1</f>
        <v>0.1</v>
      </c>
      <c r="D101" s="99">
        <f>'【国内】问卷调研-数据源（P3单独执行） '!E101*0.4</f>
        <v>0.488</v>
      </c>
      <c r="E101" s="99">
        <f t="shared" si="38"/>
        <v>1.47733333333333</v>
      </c>
      <c r="F101" s="274">
        <f>'【国内】问卷调研-数据源（P3单独执行） '!F101*1.3</f>
        <v>1.82</v>
      </c>
      <c r="G101" s="275">
        <f>'【国内】问卷调研-数据源（P3单独执行） '!G101</f>
        <v>25.1760797342193</v>
      </c>
      <c r="I101" s="276"/>
      <c r="J101" s="1">
        <v>301</v>
      </c>
      <c r="K101" s="99">
        <f t="shared" si="47"/>
        <v>0.1</v>
      </c>
      <c r="L101" s="99">
        <f>'【国内】问卷调研-数据源（P3单独执行） '!M101*0.4</f>
        <v>0.528</v>
      </c>
      <c r="M101" s="99">
        <f t="shared" si="39"/>
        <v>1.63983333333333</v>
      </c>
      <c r="N101" s="274">
        <f>'【国内】问卷调研-数据源（P3单独执行） '!N101*1.3</f>
        <v>1.95</v>
      </c>
      <c r="O101" s="275">
        <f>'【国内】问卷调研-数据源（P3单独执行） '!O101</f>
        <v>28.4053156146179</v>
      </c>
      <c r="Q101" s="276"/>
      <c r="R101" s="1">
        <v>301</v>
      </c>
      <c r="S101" s="99">
        <f t="shared" si="40"/>
        <v>0.1</v>
      </c>
      <c r="T101" s="99">
        <f>'【国内】问卷调研-数据源（P3单独执行） '!U101*0.4</f>
        <v>0.568</v>
      </c>
      <c r="U101" s="99">
        <f t="shared" si="41"/>
        <v>1.80233333333333</v>
      </c>
      <c r="V101" s="274">
        <f>'【国内】问卷调研-数据源（P3单独执行） '!V101*1.3</f>
        <v>2.08</v>
      </c>
      <c r="W101" s="275">
        <f>'【国内】问卷调研-数据源（P3单独执行） '!W101</f>
        <v>31.6345514950166</v>
      </c>
      <c r="Y101" s="276"/>
      <c r="Z101" s="1">
        <v>301</v>
      </c>
      <c r="AA101" s="99">
        <f t="shared" si="42"/>
        <v>0.1</v>
      </c>
      <c r="AB101" s="99">
        <f>'【国内】问卷调研-数据源（P3单独执行） '!AC101*0.4</f>
        <v>0.608</v>
      </c>
      <c r="AC101" s="99">
        <f t="shared" si="43"/>
        <v>1.96483333333333</v>
      </c>
      <c r="AD101" s="274">
        <f>'【国内】问卷调研-数据源（P3单独执行） '!AD101*1.3</f>
        <v>2.21</v>
      </c>
      <c r="AE101" s="275">
        <f>'【国内】问卷调研-数据源（P3单独执行） '!AE101</f>
        <v>34.8637873754153</v>
      </c>
      <c r="AG101" s="276"/>
      <c r="AH101" s="1">
        <v>301</v>
      </c>
      <c r="AI101" s="99">
        <f>AA101</f>
        <v>0.1</v>
      </c>
      <c r="AJ101" s="99">
        <f>'【国内】问卷调研-数据源（P3单独执行） '!AK101*0.4</f>
        <v>0.648</v>
      </c>
      <c r="AK101" s="99">
        <f t="shared" si="44"/>
        <v>2.12733333333333</v>
      </c>
      <c r="AL101" s="274">
        <f>'【国内】问卷调研-数据源（P3单独执行） '!AL101*1.3</f>
        <v>2.34</v>
      </c>
      <c r="AM101" s="275">
        <f>'【国内】问卷调研-数据源（P3单独执行） '!AM101</f>
        <v>38.093023255814</v>
      </c>
      <c r="AO101" s="276"/>
      <c r="AP101" s="1">
        <v>301</v>
      </c>
      <c r="AQ101" s="99">
        <f>AI101</f>
        <v>0.1</v>
      </c>
      <c r="AR101" s="99">
        <f>'【国内】问卷调研-数据源（P3单独执行） '!AS101*0.4</f>
        <v>0.688</v>
      </c>
      <c r="AS101" s="99">
        <f t="shared" si="45"/>
        <v>2.28983333333333</v>
      </c>
      <c r="AT101" s="274">
        <f>'【国内】问卷调研-数据源（P3单独执行） '!AT101*1.3</f>
        <v>2.47</v>
      </c>
      <c r="AU101" s="275">
        <f>'【国内】问卷调研-数据源（P3单独执行） '!AU101</f>
        <v>41.3222591362126</v>
      </c>
      <c r="AV101" s="1"/>
      <c r="AW101" s="276"/>
      <c r="AX101" s="1">
        <v>301</v>
      </c>
      <c r="AY101" s="99">
        <f>AQ101</f>
        <v>0.1</v>
      </c>
      <c r="AZ101" s="99">
        <f>'【国内】问卷调研-数据源（P3单独执行） '!BA101*0.4</f>
        <v>0.728</v>
      </c>
      <c r="BA101" s="99">
        <f t="shared" si="46"/>
        <v>2.45983333333333</v>
      </c>
      <c r="BB101" s="274">
        <f>'【国内】问卷调研-数据源（P3单独执行） '!BB101*1.3</f>
        <v>2.47</v>
      </c>
      <c r="BC101" s="275">
        <f>'【国内】问卷调研-数据源（P3单独执行） '!BC101</f>
        <v>44.4518272425249</v>
      </c>
    </row>
    <row r="102" spans="2:55">
      <c r="B102" s="1">
        <v>501</v>
      </c>
      <c r="C102" s="99">
        <f>'【国内】问卷调研-数据源（P3单独执行） '!C102+0.1</f>
        <v>0.3</v>
      </c>
      <c r="D102" s="99">
        <f>'【国内】问卷调研-数据源（P3单独执行） '!E102*0.4</f>
        <v>0.6224</v>
      </c>
      <c r="E102" s="99">
        <f t="shared" si="38"/>
        <v>2.04103333333333</v>
      </c>
      <c r="F102" s="274">
        <f>'【国内】问卷调研-数据源（P3单独执行） '!F102*1.3</f>
        <v>1.95</v>
      </c>
      <c r="G102" s="275">
        <f>'【国内】问卷调研-数据源（P3单独执行） '!G102</f>
        <v>23.8131736526946</v>
      </c>
      <c r="I102" s="276"/>
      <c r="J102" s="1">
        <v>501</v>
      </c>
      <c r="K102" s="99">
        <f t="shared" si="47"/>
        <v>0.3</v>
      </c>
      <c r="L102" s="99">
        <f>'【国内】问卷调研-数据源（P3单独执行） '!M102*0.4</f>
        <v>0.6624</v>
      </c>
      <c r="M102" s="99">
        <f t="shared" si="39"/>
        <v>2.20353333333333</v>
      </c>
      <c r="N102" s="274">
        <f>'【国内】问卷调研-数据源（P3单独执行） '!N102*1.3</f>
        <v>2.08</v>
      </c>
      <c r="O102" s="275">
        <f>'【国内】问卷调研-数据源（P3单独执行） '!O102</f>
        <v>26.5516966067864</v>
      </c>
      <c r="Q102" s="276"/>
      <c r="R102" s="1">
        <v>501</v>
      </c>
      <c r="S102" s="99">
        <f t="shared" si="40"/>
        <v>0.3</v>
      </c>
      <c r="T102" s="99">
        <f>'【国内】问卷调研-数据源（P3单独执行） '!U102*0.4</f>
        <v>0.7024</v>
      </c>
      <c r="U102" s="99">
        <f t="shared" si="41"/>
        <v>2.36603333333333</v>
      </c>
      <c r="V102" s="274">
        <f>'【国内】问卷调研-数据源（P3单独执行） '!V102*1.3</f>
        <v>2.21</v>
      </c>
      <c r="W102" s="275">
        <f>'【国内】问卷调研-数据源（P3单独执行） '!W102</f>
        <v>29.2902195608782</v>
      </c>
      <c r="Y102" s="276"/>
      <c r="Z102" s="1">
        <v>501</v>
      </c>
      <c r="AA102" s="99">
        <f t="shared" si="42"/>
        <v>0.3</v>
      </c>
      <c r="AB102" s="99">
        <f>'【国内】问卷调研-数据源（P3单独执行） '!AC102*0.4</f>
        <v>0.7424</v>
      </c>
      <c r="AC102" s="99">
        <f t="shared" si="43"/>
        <v>2.52853333333333</v>
      </c>
      <c r="AD102" s="274">
        <f>'【国内】问卷调研-数据源（P3单独执行） '!AD102*1.3</f>
        <v>2.34</v>
      </c>
      <c r="AE102" s="275">
        <f>'【国内】问卷调研-数据源（P3单独执行） '!AE102</f>
        <v>32.0287425149701</v>
      </c>
      <c r="AG102" s="276"/>
      <c r="AH102" s="1">
        <v>501</v>
      </c>
      <c r="AI102" s="99">
        <f>'【国内】问卷调研-数据源（P3单独执行） '!AI102+0.1</f>
        <v>0.3</v>
      </c>
      <c r="AJ102" s="99">
        <f>'【国内】问卷调研-数据源（P3单独执行） '!AK102*0.4</f>
        <v>0.7824</v>
      </c>
      <c r="AK102" s="99">
        <f t="shared" si="44"/>
        <v>2.69103333333333</v>
      </c>
      <c r="AL102" s="274">
        <f>'【国内】问卷调研-数据源（P3单独执行） '!AL102*1.3</f>
        <v>2.47</v>
      </c>
      <c r="AM102" s="275">
        <f>'【国内】问卷调研-数据源（P3单独执行） '!AM102</f>
        <v>34.7672654690619</v>
      </c>
      <c r="AO102" s="276"/>
      <c r="AP102" s="1">
        <v>501</v>
      </c>
      <c r="AQ102" s="99">
        <f>'【国内】问卷调研-数据源（P3单独执行） '!AQ102+0.1</f>
        <v>0.3</v>
      </c>
      <c r="AR102" s="99">
        <f>'【国内】问卷调研-数据源（P3单独执行） '!AS102*0.4</f>
        <v>0.8224</v>
      </c>
      <c r="AS102" s="99">
        <f t="shared" si="45"/>
        <v>2.85353333333333</v>
      </c>
      <c r="AT102" s="274">
        <f>'【国内】问卷调研-数据源（P3单独执行） '!AT102*1.3</f>
        <v>2.6</v>
      </c>
      <c r="AU102" s="275">
        <f>'【国内】问卷调研-数据源（P3单独执行） '!AU102</f>
        <v>37.5057884231537</v>
      </c>
      <c r="AV102" s="1"/>
      <c r="AW102" s="276"/>
      <c r="AX102" s="1">
        <v>501</v>
      </c>
      <c r="AY102" s="99">
        <f>'【国内】问卷调研-数据源（P3单独执行） '!AY102+0.1</f>
        <v>0.3</v>
      </c>
      <c r="AZ102" s="99">
        <f>'【国内】问卷调研-数据源（P3单独执行） '!BA102*0.4</f>
        <v>0.8624</v>
      </c>
      <c r="BA102" s="99">
        <f t="shared" si="46"/>
        <v>3.02353333333333</v>
      </c>
      <c r="BB102" s="274">
        <f>'【国内】问卷调研-数据源（P3单独执行） '!BB102*1.3</f>
        <v>2.6</v>
      </c>
      <c r="BC102" s="275">
        <f>'【国内】问卷调研-数据源（P3单独执行） '!BC102</f>
        <v>40.1844311377246</v>
      </c>
    </row>
    <row r="103" spans="2:55">
      <c r="B103" s="1">
        <v>701</v>
      </c>
      <c r="C103" s="99">
        <f>'【国内】问卷调研-数据源（P3单独执行） '!C103+0.2</f>
        <v>0.4</v>
      </c>
      <c r="D103" s="99">
        <f>'【国内】问卷调研-数据源（P3单独执行） '!E103*0.4</f>
        <v>0.712</v>
      </c>
      <c r="E103" s="99">
        <f t="shared" si="38"/>
        <v>1.92266666666667</v>
      </c>
      <c r="F103" s="274">
        <f>'【国内】问卷调研-数据源（P3单独执行） '!F103*1.3</f>
        <v>2.08</v>
      </c>
      <c r="G103" s="275">
        <f>'【国内】问卷调研-数据源（P3单独执行） '!G103</f>
        <v>21.0014265335235</v>
      </c>
      <c r="I103" s="276"/>
      <c r="J103" s="1">
        <v>701</v>
      </c>
      <c r="K103" s="99">
        <f t="shared" si="47"/>
        <v>0.4</v>
      </c>
      <c r="L103" s="99">
        <f>'【国内】问卷调研-数据源（P3单独执行） '!M103*0.4</f>
        <v>0.752</v>
      </c>
      <c r="M103" s="99">
        <f t="shared" si="39"/>
        <v>2.08516666666667</v>
      </c>
      <c r="N103" s="274">
        <f>'【国内】问卷调研-数据源（P3单独执行） '!N103*1.3</f>
        <v>2.21</v>
      </c>
      <c r="O103" s="275">
        <f>'【国内】问卷调研-数据源（P3单独执行） '!O103</f>
        <v>23.5292439372325</v>
      </c>
      <c r="Q103" s="276"/>
      <c r="R103" s="1">
        <v>701</v>
      </c>
      <c r="S103" s="99">
        <f t="shared" si="40"/>
        <v>0.4</v>
      </c>
      <c r="T103" s="99">
        <f>'【国内】问卷调研-数据源（P3单独执行） '!U103*0.4</f>
        <v>0.792</v>
      </c>
      <c r="U103" s="99">
        <f t="shared" si="41"/>
        <v>2.24766666666667</v>
      </c>
      <c r="V103" s="274">
        <f>'【国内】问卷调研-数据源（P3单独执行） '!V103*1.3</f>
        <v>2.34</v>
      </c>
      <c r="W103" s="275">
        <f>'【国内】问卷调研-数据源（P3单独执行） '!W103</f>
        <v>26.0570613409415</v>
      </c>
      <c r="Y103" s="276"/>
      <c r="Z103" s="1">
        <v>701</v>
      </c>
      <c r="AA103" s="99">
        <f t="shared" si="42"/>
        <v>0.4</v>
      </c>
      <c r="AB103" s="99">
        <f>'【国内】问卷调研-数据源（P3单独执行） '!AC103*0.4</f>
        <v>0.832</v>
      </c>
      <c r="AC103" s="99">
        <f t="shared" si="43"/>
        <v>2.41016666666667</v>
      </c>
      <c r="AD103" s="274">
        <f>'【国内】问卷调研-数据源（P3单独执行） '!AD103*1.3</f>
        <v>2.47</v>
      </c>
      <c r="AE103" s="275">
        <f>'【国内】问卷调研-数据源（P3单独执行） '!AE103</f>
        <v>28.5848787446505</v>
      </c>
      <c r="AG103" s="276"/>
      <c r="AH103" s="1">
        <v>701</v>
      </c>
      <c r="AI103" s="99">
        <f>'【国内】问卷调研-数据源（P3单独执行） '!AI103+0.2</f>
        <v>0.4</v>
      </c>
      <c r="AJ103" s="99">
        <f>'【国内】问卷调研-数据源（P3单独执行） '!AK103*0.4</f>
        <v>0.872</v>
      </c>
      <c r="AK103" s="99">
        <f t="shared" si="44"/>
        <v>2.57266666666667</v>
      </c>
      <c r="AL103" s="274">
        <f>'【国内】问卷调研-数据源（P3单独执行） '!AL103*1.3</f>
        <v>2.6</v>
      </c>
      <c r="AM103" s="275">
        <f>'【国内】问卷调研-数据源（P3单独执行） '!AM103</f>
        <v>31.1126961483595</v>
      </c>
      <c r="AO103" s="276"/>
      <c r="AP103" s="1">
        <v>701</v>
      </c>
      <c r="AQ103" s="99">
        <f>'【国内】问卷调研-数据源（P3单独执行） '!AQ103+0.2</f>
        <v>0.4</v>
      </c>
      <c r="AR103" s="99">
        <f>'【国内】问卷调研-数据源（P3单独执行） '!AS103*0.4</f>
        <v>0.912</v>
      </c>
      <c r="AS103" s="99">
        <f t="shared" si="45"/>
        <v>2.73516666666667</v>
      </c>
      <c r="AT103" s="274">
        <f>'【国内】问卷调研-数据源（P3单独执行） '!AT103*1.3</f>
        <v>2.73</v>
      </c>
      <c r="AU103" s="275">
        <f>'【国内】问卷调研-数据源（P3单独执行） '!AU103</f>
        <v>33.6405135520685</v>
      </c>
      <c r="AV103" s="1"/>
      <c r="AW103" s="276"/>
      <c r="AX103" s="1">
        <v>701</v>
      </c>
      <c r="AY103" s="99">
        <f>'【国内】问卷调研-数据源（P3单独执行） '!AY103+0.2</f>
        <v>0.4</v>
      </c>
      <c r="AZ103" s="99">
        <f>'【国内】问卷调研-数据源（P3单独执行） '!BA103*0.4</f>
        <v>0.952</v>
      </c>
      <c r="BA103" s="99">
        <f t="shared" si="46"/>
        <v>2.90516666666667</v>
      </c>
      <c r="BB103" s="274">
        <f>'【国内】问卷调研-数据源（P3单独执行） '!BB103*1.3</f>
        <v>2.73</v>
      </c>
      <c r="BC103" s="275">
        <f>'【国内】问卷调研-数据源（P3单独执行） '!BC103</f>
        <v>36.1255349500713</v>
      </c>
    </row>
    <row r="104" spans="2:55">
      <c r="B104" s="1">
        <v>901</v>
      </c>
      <c r="C104" s="99">
        <f>'【国内】问卷调研-数据源（P3单独执行） '!C104+0.2</f>
        <v>0.4</v>
      </c>
      <c r="D104" s="99">
        <f>'【国内】问卷调研-数据源（P3单独执行） '!E104*0.4</f>
        <v>0.8464</v>
      </c>
      <c r="E104" s="99">
        <f t="shared" si="38"/>
        <v>2.49386666666667</v>
      </c>
      <c r="F104" s="274">
        <f>'【国内】问卷调研-数据源（P3单独执行） '!F104*1.3</f>
        <v>2.08</v>
      </c>
      <c r="G104" s="275">
        <f>'【国内】问卷调研-数据源（P3单独执行） '!G104</f>
        <v>19.8273029966704</v>
      </c>
      <c r="I104" s="276"/>
      <c r="J104" s="1">
        <v>901</v>
      </c>
      <c r="K104" s="99">
        <f t="shared" si="47"/>
        <v>0.4</v>
      </c>
      <c r="L104" s="99">
        <f>'【国内】问卷调研-数据源（P3单独执行） '!M104*0.4</f>
        <v>0.8864</v>
      </c>
      <c r="M104" s="99">
        <f t="shared" si="39"/>
        <v>2.65636666666667</v>
      </c>
      <c r="N104" s="274">
        <f>'【国内】问卷调研-数据源（P3单独执行） '!N104*1.3</f>
        <v>2.21</v>
      </c>
      <c r="O104" s="275">
        <f>'【国内】问卷调研-数据源（P3单独执行） '!O104</f>
        <v>22.2379578246393</v>
      </c>
      <c r="Q104" s="276"/>
      <c r="R104" s="1">
        <v>901</v>
      </c>
      <c r="S104" s="99">
        <f t="shared" si="40"/>
        <v>0.4</v>
      </c>
      <c r="T104" s="99">
        <f>'【国内】问卷调研-数据源（P3单独执行） '!U104*0.4</f>
        <v>0.9264</v>
      </c>
      <c r="U104" s="99">
        <f t="shared" si="41"/>
        <v>2.81886666666667</v>
      </c>
      <c r="V104" s="274">
        <f>'【国内】问卷调研-数据源（P3单独执行） '!V104*1.3</f>
        <v>2.34</v>
      </c>
      <c r="W104" s="275">
        <f>'【国内】问卷调研-数据源（P3单独执行） '!W104</f>
        <v>24.6486126526082</v>
      </c>
      <c r="Y104" s="276"/>
      <c r="Z104" s="1">
        <v>901</v>
      </c>
      <c r="AA104" s="99">
        <f t="shared" si="42"/>
        <v>0.4</v>
      </c>
      <c r="AB104" s="99">
        <f>'【国内】问卷调研-数据源（P3单独执行） '!AC104*0.4</f>
        <v>0.9664</v>
      </c>
      <c r="AC104" s="99">
        <f t="shared" si="43"/>
        <v>2.98136666666667</v>
      </c>
      <c r="AD104" s="274">
        <f>'【国内】问卷调研-数据源（P3单独执行） '!AD104*1.3</f>
        <v>2.47</v>
      </c>
      <c r="AE104" s="275">
        <f>'【国内】问卷调研-数据源（P3单独执行） '!AE104</f>
        <v>27.0592674805771</v>
      </c>
      <c r="AG104" s="276"/>
      <c r="AH104" s="1">
        <v>901</v>
      </c>
      <c r="AI104" s="99">
        <f>'【国内】问卷调研-数据源（P3单独执行） '!AI104+0.2</f>
        <v>0.4</v>
      </c>
      <c r="AJ104" s="99">
        <f>'【国内】问卷调研-数据源（P3单独执行） '!AK104*0.4</f>
        <v>1.0064</v>
      </c>
      <c r="AK104" s="99">
        <f t="shared" si="44"/>
        <v>3.14386666666667</v>
      </c>
      <c r="AL104" s="274">
        <f>'【国内】问卷调研-数据源（P3单独执行） '!AL104*1.3</f>
        <v>2.6</v>
      </c>
      <c r="AM104" s="275">
        <f>'【国内】问卷调研-数据源（P3单独执行） '!AM104</f>
        <v>29.4699223085461</v>
      </c>
      <c r="AO104" s="276"/>
      <c r="AP104" s="1">
        <v>901</v>
      </c>
      <c r="AQ104" s="99">
        <f>'【国内】问卷调研-数据源（P3单独执行） '!AQ104+0.2</f>
        <v>0.4</v>
      </c>
      <c r="AR104" s="99">
        <f>'【国内】问卷调研-数据源（P3单独执行） '!AS104*0.4</f>
        <v>1.0464</v>
      </c>
      <c r="AS104" s="99">
        <f t="shared" si="45"/>
        <v>3.30636666666667</v>
      </c>
      <c r="AT104" s="274">
        <f>'【国内】问卷调研-数据源（P3单独执行） '!AT104*1.3</f>
        <v>2.73</v>
      </c>
      <c r="AU104" s="275">
        <f>'【国内】问卷调研-数据源（P3单独执行） '!AU104</f>
        <v>31.880577136515</v>
      </c>
      <c r="AV104" s="1"/>
      <c r="AW104" s="276"/>
      <c r="AX104" s="1">
        <v>901</v>
      </c>
      <c r="AY104" s="99">
        <f>'【国内】问卷调研-数据源（P3单独执行） '!AY104+0.2</f>
        <v>0.4</v>
      </c>
      <c r="AZ104" s="99">
        <f>'【国内】问卷调研-数据源（P3单独执行） '!BA104*0.4</f>
        <v>1.0864</v>
      </c>
      <c r="BA104" s="99">
        <f t="shared" si="46"/>
        <v>3.47636666666667</v>
      </c>
      <c r="BB104" s="274">
        <f>'【国内】问卷调研-数据源（P3单独执行） '!BB104*1.3</f>
        <v>2.73</v>
      </c>
      <c r="BC104" s="275">
        <f>'【国内】问卷调研-数据源（P3单独执行） '!BC104</f>
        <v>34.257935627081</v>
      </c>
    </row>
    <row r="105" spans="2:55">
      <c r="B105" s="1">
        <v>1001</v>
      </c>
      <c r="C105" s="99">
        <f>'【国内】问卷调研-数据源（P3单独执行） '!C105+0.2</f>
        <v>0.5</v>
      </c>
      <c r="D105" s="99">
        <f>'【国内】问卷调研-数据源（P3单独执行） '!E105*0.4</f>
        <v>0.936</v>
      </c>
      <c r="E105" s="99">
        <f t="shared" si="38"/>
        <v>2.85966666666667</v>
      </c>
      <c r="F105" s="274">
        <f>'【国内】问卷调研-数据源（P3单独执行） '!F105*1.3</f>
        <v>2.34</v>
      </c>
      <c r="G105" s="275">
        <f>'【国内】问卷调研-数据源（P3单独执行） '!G105</f>
        <v>20.2557442557443</v>
      </c>
      <c r="I105" s="276"/>
      <c r="J105" s="1">
        <v>1001</v>
      </c>
      <c r="K105" s="99">
        <f t="shared" si="47"/>
        <v>0.5</v>
      </c>
      <c r="L105" s="99">
        <f>'【国内】问卷调研-数据源（P3单独执行） '!M105*0.4</f>
        <v>0.976</v>
      </c>
      <c r="M105" s="99">
        <f t="shared" si="39"/>
        <v>3.02216666666667</v>
      </c>
      <c r="N105" s="274">
        <f>'【国内】问卷调研-数据源（P3单独执行） '!N105*1.3</f>
        <v>2.47</v>
      </c>
      <c r="O105" s="275">
        <f>'【国内】问卷调研-数据源（P3单独执行） '!O105</f>
        <v>22.6253746253746</v>
      </c>
      <c r="Q105" s="276"/>
      <c r="R105" s="1">
        <v>1001</v>
      </c>
      <c r="S105" s="99">
        <f t="shared" si="40"/>
        <v>0.5</v>
      </c>
      <c r="T105" s="99">
        <f>'【国内】问卷调研-数据源（P3单独执行） '!U105*0.4</f>
        <v>1.016</v>
      </c>
      <c r="U105" s="99">
        <f t="shared" si="41"/>
        <v>3.18466666666667</v>
      </c>
      <c r="V105" s="274">
        <f>'【国内】问卷调研-数据源（P3单独执行） '!V105*1.3</f>
        <v>2.6</v>
      </c>
      <c r="W105" s="275">
        <f>'【国内】问卷调研-数据源（P3单独执行） '!W105</f>
        <v>24.995004995005</v>
      </c>
      <c r="Y105" s="276"/>
      <c r="Z105" s="1">
        <v>1001</v>
      </c>
      <c r="AA105" s="99">
        <f t="shared" si="42"/>
        <v>0.5</v>
      </c>
      <c r="AB105" s="99">
        <f>'【国内】问卷调研-数据源（P3单独执行） '!AC105*0.4</f>
        <v>1.056</v>
      </c>
      <c r="AC105" s="99">
        <f t="shared" si="43"/>
        <v>3.34716666666667</v>
      </c>
      <c r="AD105" s="274">
        <f>'【国内】问卷调研-数据源（P3单独执行） '!AD105*1.3</f>
        <v>2.73</v>
      </c>
      <c r="AE105" s="275">
        <f>'【国内】问卷调研-数据源（P3单独执行） '!AE105</f>
        <v>27.3646353646354</v>
      </c>
      <c r="AG105" s="276"/>
      <c r="AH105" s="1">
        <v>1001</v>
      </c>
      <c r="AI105" s="99">
        <f>'【国内】问卷调研-数据源（P3单独执行） '!AI105+0.2</f>
        <v>0.5</v>
      </c>
      <c r="AJ105" s="99">
        <f>'【国内】问卷调研-数据源（P3单独执行） '!AK105*0.4</f>
        <v>1.096</v>
      </c>
      <c r="AK105" s="99">
        <f t="shared" si="44"/>
        <v>3.50966666666667</v>
      </c>
      <c r="AL105" s="274">
        <f>'【国内】问卷调研-数据源（P3单独执行） '!AL105*1.3</f>
        <v>2.86</v>
      </c>
      <c r="AM105" s="275">
        <f>'【国内】问卷调研-数据源（P3单独执行） '!AM105</f>
        <v>29.7342657342657</v>
      </c>
      <c r="AO105" s="276"/>
      <c r="AP105" s="1">
        <v>1001</v>
      </c>
      <c r="AQ105" s="99">
        <f>'【国内】问卷调研-数据源（P3单独执行） '!AQ105+0.2</f>
        <v>0.5</v>
      </c>
      <c r="AR105" s="99">
        <f>'【国内】问卷调研-数据源（P3单独执行） '!AS105*0.4</f>
        <v>1.136</v>
      </c>
      <c r="AS105" s="99">
        <f t="shared" si="45"/>
        <v>3.67216666666667</v>
      </c>
      <c r="AT105" s="274">
        <f>'【国内】问卷调研-数据源（P3单独执行） '!AT105*1.3</f>
        <v>2.99</v>
      </c>
      <c r="AU105" s="275">
        <f>'【国内】问卷调研-数据源（P3单独执行） '!AU105</f>
        <v>32.1038961038961</v>
      </c>
      <c r="AV105" s="1"/>
      <c r="AW105" s="276"/>
      <c r="AX105" s="1">
        <v>1001</v>
      </c>
      <c r="AY105" s="99">
        <f>'【国内】问卷调研-数据源（P3单独执行） '!AY105+0.2</f>
        <v>0.5</v>
      </c>
      <c r="AZ105" s="99">
        <f>'【国内】问卷调研-数据源（P3单独执行） '!BA105*0.4</f>
        <v>1.176</v>
      </c>
      <c r="BA105" s="99">
        <f t="shared" si="46"/>
        <v>3.84216666666667</v>
      </c>
      <c r="BB105" s="274">
        <f>'【国内】问卷调研-数据源（P3单独执行） '!BB105*1.3</f>
        <v>2.99</v>
      </c>
      <c r="BC105" s="275">
        <f>'【国内】问卷调研-数据源（P3单独执行） '!BC105</f>
        <v>34.4435564435564</v>
      </c>
    </row>
    <row r="106" spans="2:55">
      <c r="B106" s="1">
        <v>1201</v>
      </c>
      <c r="C106" s="99">
        <f>'【国内】问卷调研-数据源（P3单独执行） '!C106+0.2</f>
        <v>0.5</v>
      </c>
      <c r="D106" s="99">
        <f>'【国内】问卷调研-数据源（P3单独执行） '!E106*0.4</f>
        <v>0.9808</v>
      </c>
      <c r="E106" s="99">
        <f t="shared" si="38"/>
        <v>3.03506666666667</v>
      </c>
      <c r="F106" s="274">
        <f>'【国内】问卷调研-数据源（P3单独执行） '!F106*1.3</f>
        <v>2.6</v>
      </c>
      <c r="G106" s="275">
        <f>'【国内】问卷调研-数据源（P3单独执行） '!G106</f>
        <v>18.9149042464613</v>
      </c>
      <c r="I106" s="276"/>
      <c r="J106" s="1">
        <v>1201</v>
      </c>
      <c r="K106" s="99">
        <f t="shared" si="47"/>
        <v>0.5</v>
      </c>
      <c r="L106" s="99">
        <f>'【国内】问卷调研-数据源（P3单独执行） '!M106*0.4</f>
        <v>1.0208</v>
      </c>
      <c r="M106" s="99">
        <f t="shared" si="39"/>
        <v>3.19756666666666</v>
      </c>
      <c r="N106" s="274">
        <f>'【国内】问卷调研-数据源（P3单独执行） '!N106*1.3</f>
        <v>2.73</v>
      </c>
      <c r="O106" s="275">
        <f>'【国内】问卷调研-数据源（P3单独执行） '!O106</f>
        <v>21.2229808492923</v>
      </c>
      <c r="Q106" s="276"/>
      <c r="R106" s="1">
        <v>1201</v>
      </c>
      <c r="S106" s="99">
        <f t="shared" si="40"/>
        <v>0.5</v>
      </c>
      <c r="T106" s="99">
        <f>'【国内】问卷调研-数据源（P3单独执行） '!U106*0.4</f>
        <v>1.0608</v>
      </c>
      <c r="U106" s="99">
        <f t="shared" si="41"/>
        <v>3.36006666666667</v>
      </c>
      <c r="V106" s="274">
        <f>'【国内】问卷调研-数据源（P3单独执行） '!V106*1.3</f>
        <v>2.86</v>
      </c>
      <c r="W106" s="275">
        <f>'【国内】问卷调研-数据源（P3单独执行） '!W106</f>
        <v>23.5310574521232</v>
      </c>
      <c r="Y106" s="276"/>
      <c r="Z106" s="1">
        <v>1201</v>
      </c>
      <c r="AA106" s="99">
        <f t="shared" si="42"/>
        <v>0.5</v>
      </c>
      <c r="AB106" s="99">
        <f>'【国内】问卷调研-数据源（P3单独执行） '!AC106*0.4</f>
        <v>1.1008</v>
      </c>
      <c r="AC106" s="99">
        <f t="shared" si="43"/>
        <v>3.52256666666667</v>
      </c>
      <c r="AD106" s="274">
        <f>'【国内】问卷调研-数据源（P3单独执行） '!AD106*1.3</f>
        <v>2.99</v>
      </c>
      <c r="AE106" s="275">
        <f>'【国内】问卷调研-数据源（P3单独执行） '!AE106</f>
        <v>25.8391340549542</v>
      </c>
      <c r="AG106" s="276"/>
      <c r="AH106" s="1">
        <v>1201</v>
      </c>
      <c r="AI106" s="99">
        <f>'【国内】问卷调研-数据源（P3单独执行） '!AI106+0.2</f>
        <v>0.5</v>
      </c>
      <c r="AJ106" s="99">
        <f>'【国内】问卷调研-数据源（P3单独执行） '!AK106*0.4</f>
        <v>1.1408</v>
      </c>
      <c r="AK106" s="99">
        <f t="shared" si="44"/>
        <v>3.68506666666667</v>
      </c>
      <c r="AL106" s="274">
        <f>'【国内】问卷调研-数据源（P3单独执行） '!AL106*1.3</f>
        <v>3.12</v>
      </c>
      <c r="AM106" s="275">
        <f>'【国内】问卷调研-数据源（P3单独执行） '!AM106</f>
        <v>28.1472106577852</v>
      </c>
      <c r="AO106" s="276"/>
      <c r="AP106" s="1">
        <v>1201</v>
      </c>
      <c r="AQ106" s="99">
        <f>'【国内】问卷调研-数据源（P3单独执行） '!AQ106+0.2</f>
        <v>0.5</v>
      </c>
      <c r="AR106" s="99">
        <f>'【国内】问卷调研-数据源（P3单独执行） '!AS106*0.4</f>
        <v>1.1808</v>
      </c>
      <c r="AS106" s="99">
        <f t="shared" si="45"/>
        <v>3.84756666666667</v>
      </c>
      <c r="AT106" s="274">
        <f>'【国内】问卷调研-数据源（P3单独执行） '!AT106*1.3</f>
        <v>3.25</v>
      </c>
      <c r="AU106" s="275">
        <f>'【国内】问卷调研-数据源（P3单独执行） '!AU106</f>
        <v>30.4552872606162</v>
      </c>
      <c r="AV106" s="1"/>
      <c r="AW106" s="276"/>
      <c r="AX106" s="1">
        <v>1201</v>
      </c>
      <c r="AY106" s="99">
        <f>'【国内】问卷调研-数据源（P3单独执行） '!AY106+0.2</f>
        <v>0.5</v>
      </c>
      <c r="AZ106" s="99">
        <f>'【国内】问卷调研-数据源（P3单独执行） '!BA106*0.4</f>
        <v>1.2208</v>
      </c>
      <c r="BA106" s="99">
        <f t="shared" si="46"/>
        <v>4.01756666666667</v>
      </c>
      <c r="BB106" s="274">
        <f>'【国内】问卷调研-数据源（P3单独执行） '!BB106*1.3</f>
        <v>3.25</v>
      </c>
      <c r="BC106" s="275">
        <f>'【国内】问卷调研-数据源（P3单独执行） '!BC106</f>
        <v>32.7383846794338</v>
      </c>
    </row>
    <row r="107" spans="2:55">
      <c r="B107" s="1">
        <v>1401</v>
      </c>
      <c r="C107" s="99">
        <f>'【国内】问卷调研-数据源（P3单独执行） '!C107+0.2</f>
        <v>0.5</v>
      </c>
      <c r="D107" s="99">
        <f>'【国内】问卷调研-数据源（P3单独执行） '!E107*0.6</f>
        <v>1.5384</v>
      </c>
      <c r="E107" s="99">
        <f t="shared" si="38"/>
        <v>1.76503333333333</v>
      </c>
      <c r="F107" s="274">
        <f>'【国内】问卷调研-数据源（P3单独执行） '!F107*1.3</f>
        <v>2.73</v>
      </c>
      <c r="G107" s="275">
        <f>'【国内】问卷调研-数据源（P3单独执行） '!G107</f>
        <v>17.9354746609565</v>
      </c>
      <c r="I107" s="276"/>
      <c r="J107" s="1">
        <v>1401</v>
      </c>
      <c r="K107" s="99">
        <f t="shared" si="47"/>
        <v>0.5</v>
      </c>
      <c r="L107" s="99">
        <f>'【国内】问卷调研-数据源（P3单独执行） '!M107*0.6</f>
        <v>1.5984</v>
      </c>
      <c r="M107" s="99">
        <f t="shared" si="39"/>
        <v>1.87086666666667</v>
      </c>
      <c r="N107" s="274">
        <f>'【国内】问卷调研-数据源（P3单独执行） '!N107*1.3</f>
        <v>2.86</v>
      </c>
      <c r="O107" s="275">
        <f>'【国内】问卷调研-数据源（P3单独执行） '!O107</f>
        <v>20.1995717344754</v>
      </c>
      <c r="Q107" s="276"/>
      <c r="R107" s="1">
        <v>1401</v>
      </c>
      <c r="S107" s="99">
        <f t="shared" si="40"/>
        <v>0.5</v>
      </c>
      <c r="T107" s="99">
        <f>'【国内】问卷调研-数据源（P3单独执行） '!U107*0.6</f>
        <v>1.6584</v>
      </c>
      <c r="U107" s="99">
        <f t="shared" si="41"/>
        <v>1.9767</v>
      </c>
      <c r="V107" s="274">
        <f>'【国内】问卷调研-数据源（P3单独执行） '!V107*1.3</f>
        <v>2.99</v>
      </c>
      <c r="W107" s="275">
        <f>'【国内】问卷调研-数据源（P3单独执行） '!W107</f>
        <v>22.4636688079943</v>
      </c>
      <c r="Y107" s="276"/>
      <c r="Z107" s="1">
        <v>1401</v>
      </c>
      <c r="AA107" s="99">
        <f t="shared" si="42"/>
        <v>0.5</v>
      </c>
      <c r="AB107" s="99">
        <f>'【国内】问卷调研-数据源（P3单独执行） '!AC107*0.6</f>
        <v>1.7184</v>
      </c>
      <c r="AC107" s="99">
        <f t="shared" si="43"/>
        <v>2.08253333333333</v>
      </c>
      <c r="AD107" s="274">
        <f>'【国内】问卷调研-数据源（P3单独执行） '!AD107*1.3</f>
        <v>3.12</v>
      </c>
      <c r="AE107" s="275">
        <f>'【国内】问卷调研-数据源（P3单独执行） '!AE107</f>
        <v>24.7277658815132</v>
      </c>
      <c r="AG107" s="276"/>
      <c r="AH107" s="1">
        <v>1401</v>
      </c>
      <c r="AI107" s="99">
        <f>'【国内】问卷调研-数据源（P3单独执行） '!AI107+0.2</f>
        <v>0.5</v>
      </c>
      <c r="AJ107" s="99">
        <f>'【国内】问卷调研-数据源（P3单独执行） '!AK107*0.6</f>
        <v>1.7784</v>
      </c>
      <c r="AK107" s="99">
        <f t="shared" si="44"/>
        <v>2.18836666666667</v>
      </c>
      <c r="AL107" s="274">
        <f>'【国内】问卷调研-数据源（P3单独执行） '!AL107*1.3</f>
        <v>3.25</v>
      </c>
      <c r="AM107" s="275">
        <f>'【国内】问卷调研-数据源（P3单独执行） '!AM107</f>
        <v>26.9918629550321</v>
      </c>
      <c r="AO107" s="276"/>
      <c r="AP107" s="1">
        <v>1401</v>
      </c>
      <c r="AQ107" s="99">
        <f>'【国内】问卷调研-数据源（P3单独执行） '!AQ107+0.2</f>
        <v>0.5</v>
      </c>
      <c r="AR107" s="99">
        <f>'【国内】问卷调研-数据源（P3单独执行） '!AS107*0.6</f>
        <v>1.8384</v>
      </c>
      <c r="AS107" s="99">
        <f t="shared" si="45"/>
        <v>2.2942</v>
      </c>
      <c r="AT107" s="274">
        <f>'【国内】问卷调研-数据源（P3单独执行） '!AT107*1.3</f>
        <v>3.38</v>
      </c>
      <c r="AU107" s="275">
        <f>'【国内】问卷调研-数据源（P3单独执行） '!AU107</f>
        <v>29.255960028551</v>
      </c>
      <c r="AV107" s="1"/>
      <c r="AW107" s="276"/>
      <c r="AX107" s="1">
        <v>1401</v>
      </c>
      <c r="AY107" s="99">
        <f>'【国内】问卷调研-数据源（P3单独执行） '!AY107+0.2</f>
        <v>0.5</v>
      </c>
      <c r="AZ107" s="99">
        <f>'【国内】问卷调研-数据源（P3单独执行） '!BA107*0.6</f>
        <v>1.8984</v>
      </c>
      <c r="BA107" s="99">
        <f t="shared" si="46"/>
        <v>2.40753333333334</v>
      </c>
      <c r="BB107" s="274">
        <f>'【国内】问卷调研-数据源（P3单独执行） '!BB107*1.3</f>
        <v>3.38</v>
      </c>
      <c r="BC107" s="275">
        <f>'【国内】问卷调研-数据源（P3单独执行） '!BC107</f>
        <v>31.4986438258387</v>
      </c>
    </row>
    <row r="108" spans="2:55">
      <c r="B108" s="1">
        <v>1601</v>
      </c>
      <c r="C108" s="99">
        <f>'【国内】问卷调研-数据源（P3单独执行） '!C108+0.2</f>
        <v>0.5</v>
      </c>
      <c r="D108" s="99">
        <f>'【国内】问卷调研-数据源（P3单独执行） '!E108*0.6</f>
        <v>1.6728</v>
      </c>
      <c r="E108" s="99">
        <f t="shared" si="38"/>
        <v>2.0189</v>
      </c>
      <c r="F108" s="274">
        <f>'【国内】问卷调研-数据源（P3单独执行） '!F108*1.3</f>
        <v>2.73</v>
      </c>
      <c r="G108" s="275">
        <f>'【国内】问卷调研-数据源（P3单独执行） '!G108</f>
        <v>17.4198625858838</v>
      </c>
      <c r="I108" s="276"/>
      <c r="J108" s="1">
        <v>1601</v>
      </c>
      <c r="K108" s="99">
        <f t="shared" si="47"/>
        <v>0.5</v>
      </c>
      <c r="L108" s="99">
        <f>'【国内】问卷调研-数据源（P3单独执行） '!M108*0.6</f>
        <v>1.7328</v>
      </c>
      <c r="M108" s="99">
        <f t="shared" si="39"/>
        <v>2.12473333333333</v>
      </c>
      <c r="N108" s="274">
        <f>'【国内】问卷调研-数据源（P3单独执行） '!N108*1.3</f>
        <v>2.86</v>
      </c>
      <c r="O108" s="275">
        <f>'【国内】问卷调研-数据源（P3单独执行） '!O108</f>
        <v>19.6509681449094</v>
      </c>
      <c r="Q108" s="276"/>
      <c r="R108" s="1">
        <v>1601</v>
      </c>
      <c r="S108" s="99">
        <f t="shared" si="40"/>
        <v>0.5</v>
      </c>
      <c r="T108" s="99">
        <f>'【国内】问卷调研-数据源（P3单独执行） '!U108*0.6</f>
        <v>1.7928</v>
      </c>
      <c r="U108" s="99">
        <f t="shared" si="41"/>
        <v>2.23056666666666</v>
      </c>
      <c r="V108" s="274">
        <f>'【国内】问卷调研-数据源（P3单独执行） '!V108*1.3</f>
        <v>2.99</v>
      </c>
      <c r="W108" s="275">
        <f>'【国内】问卷调研-数据源（P3单独执行） '!W108</f>
        <v>21.882073703935</v>
      </c>
      <c r="Y108" s="276"/>
      <c r="Z108" s="1">
        <v>1601</v>
      </c>
      <c r="AA108" s="99">
        <f t="shared" si="42"/>
        <v>0.5</v>
      </c>
      <c r="AB108" s="99">
        <f>'【国内】问卷调研-数据源（P3单独执行） '!AC108*0.6</f>
        <v>1.8528</v>
      </c>
      <c r="AC108" s="99">
        <f t="shared" si="43"/>
        <v>2.3364</v>
      </c>
      <c r="AD108" s="274">
        <f>'【国内】问卷调研-数据源（P3单独执行） '!AD108*1.3</f>
        <v>3.12</v>
      </c>
      <c r="AE108" s="275">
        <f>'【国内】问卷调研-数据源（P3单独执行） '!AE108</f>
        <v>24.1131792629607</v>
      </c>
      <c r="AG108" s="276"/>
      <c r="AH108" s="1">
        <v>1601</v>
      </c>
      <c r="AI108" s="99">
        <f>'【国内】问卷调研-数据源（P3单独执行） '!AI108+0.2</f>
        <v>0.5</v>
      </c>
      <c r="AJ108" s="99">
        <f>'【国内】问卷调研-数据源（P3单独执行） '!AK108*0.6</f>
        <v>1.9128</v>
      </c>
      <c r="AK108" s="99">
        <f t="shared" si="44"/>
        <v>2.44223333333334</v>
      </c>
      <c r="AL108" s="274">
        <f>'【国内】问卷调研-数据源（P3单独执行） '!AL108*1.3</f>
        <v>3.25</v>
      </c>
      <c r="AM108" s="275">
        <f>'【国内】问卷调研-数据源（P3单独执行） '!AM108</f>
        <v>26.3442848219863</v>
      </c>
      <c r="AO108" s="276"/>
      <c r="AP108" s="1">
        <v>1601</v>
      </c>
      <c r="AQ108" s="99">
        <f>'【国内】问卷调研-数据源（P3单独执行） '!AQ108+0.2</f>
        <v>0.5</v>
      </c>
      <c r="AR108" s="99">
        <f>'【国内】问卷调研-数据源（P3单独执行） '!AS108*0.6</f>
        <v>1.9728</v>
      </c>
      <c r="AS108" s="99">
        <f t="shared" si="45"/>
        <v>2.54806666666667</v>
      </c>
      <c r="AT108" s="274">
        <f>'【国内】问卷调研-数据源（P3单独执行） '!AT108*1.3</f>
        <v>3.38</v>
      </c>
      <c r="AU108" s="275">
        <f>'【国内】问卷调研-数据源（P3单独执行） '!AU108</f>
        <v>28.5753903810119</v>
      </c>
      <c r="AV108" s="1"/>
      <c r="AW108" s="276"/>
      <c r="AX108" s="1">
        <v>1601</v>
      </c>
      <c r="AY108" s="99">
        <f>'【国内】问卷调研-数据源（P3单独执行） '!AY108+0.2</f>
        <v>0.5</v>
      </c>
      <c r="AZ108" s="99">
        <f>'【国内】问卷调研-数据源（P3单独执行） '!BA108*0.6</f>
        <v>2.0328</v>
      </c>
      <c r="BA108" s="99">
        <f t="shared" si="46"/>
        <v>2.6614</v>
      </c>
      <c r="BB108" s="274">
        <f>'【国内】问卷调研-数据源（P3单独执行） '!BB108*1.3</f>
        <v>3.38</v>
      </c>
      <c r="BC108" s="275">
        <f>'【国内】问卷调研-数据源（P3单独执行） '!BC108</f>
        <v>30.7877576514678</v>
      </c>
    </row>
    <row r="109" spans="2:55">
      <c r="B109" s="1">
        <v>1801</v>
      </c>
      <c r="C109" s="99">
        <f>'【国内】问卷调研-数据源（P3单独执行） '!C109+0.2</f>
        <v>0.5</v>
      </c>
      <c r="D109" s="99">
        <f>'【国内】问卷调研-数据源（P3单独执行） '!E109*0.6</f>
        <v>1.8072</v>
      </c>
      <c r="E109" s="99">
        <f t="shared" si="38"/>
        <v>2.27276666666667</v>
      </c>
      <c r="F109" s="274">
        <f>'【国内】问卷调研-数据源（P3单独执行） '!F109*1.3</f>
        <v>2.73</v>
      </c>
      <c r="G109" s="275">
        <f>'【国内】问卷调研-数据源（P3单独执行） '!G109</f>
        <v>17.0187673514714</v>
      </c>
      <c r="I109" s="276"/>
      <c r="J109" s="1">
        <v>1801</v>
      </c>
      <c r="K109" s="99">
        <f t="shared" si="47"/>
        <v>0.5</v>
      </c>
      <c r="L109" s="99">
        <f>'【国内】问卷调研-数据源（P3单独执行） '!M109*0.6</f>
        <v>1.8672</v>
      </c>
      <c r="M109" s="99">
        <f t="shared" si="39"/>
        <v>2.3786</v>
      </c>
      <c r="N109" s="274">
        <f>'【国内】问卷调研-数据源（P3单独执行） '!N109*1.3</f>
        <v>2.86</v>
      </c>
      <c r="O109" s="275">
        <f>'【国内】问卷调研-数据源（P3单独执行） '!O109</f>
        <v>19.2242087729039</v>
      </c>
      <c r="Q109" s="276"/>
      <c r="R109" s="1">
        <v>1801</v>
      </c>
      <c r="S109" s="99">
        <f t="shared" si="40"/>
        <v>0.5</v>
      </c>
      <c r="T109" s="99">
        <f>'【国内】问卷调研-数据源（P3单独执行） '!U109*0.6</f>
        <v>1.9272</v>
      </c>
      <c r="U109" s="99">
        <f t="shared" si="41"/>
        <v>2.48443333333334</v>
      </c>
      <c r="V109" s="274">
        <f>'【国内】问卷调研-数据源（P3单独执行） '!V109*1.3</f>
        <v>2.99</v>
      </c>
      <c r="W109" s="275">
        <f>'【国内】问卷调研-数据源（P3单独执行） '!W109</f>
        <v>21.4296501943365</v>
      </c>
      <c r="Y109" s="276"/>
      <c r="Z109" s="1">
        <v>1801</v>
      </c>
      <c r="AA109" s="99">
        <f t="shared" si="42"/>
        <v>0.5</v>
      </c>
      <c r="AB109" s="99">
        <f>'【国内】问卷调研-数据源（P3单独执行） '!AC109*0.6</f>
        <v>1.9872</v>
      </c>
      <c r="AC109" s="99">
        <f t="shared" si="43"/>
        <v>2.59026666666667</v>
      </c>
      <c r="AD109" s="274">
        <f>'【国内】问卷调研-数据源（P3单独执行） '!AD109*1.3</f>
        <v>3.12</v>
      </c>
      <c r="AE109" s="275">
        <f>'【国内】问卷调研-数据源（P3单独执行） '!AE109</f>
        <v>23.635091615769</v>
      </c>
      <c r="AG109" s="276"/>
      <c r="AH109" s="1">
        <v>1801</v>
      </c>
      <c r="AI109" s="99">
        <f>'【国内】问卷调研-数据源（P3单独执行） '!AI109+0.2</f>
        <v>0.5</v>
      </c>
      <c r="AJ109" s="99">
        <f>'【国内】问卷调研-数据源（P3单独执行） '!AK109*0.6</f>
        <v>2.0472</v>
      </c>
      <c r="AK109" s="99">
        <f t="shared" si="44"/>
        <v>2.6961</v>
      </c>
      <c r="AL109" s="274">
        <f>'【国内】问卷调研-数据源（P3单独执行） '!AL109*1.3</f>
        <v>3.25</v>
      </c>
      <c r="AM109" s="275">
        <f>'【国内】问卷调研-数据源（P3单独执行） '!AM109</f>
        <v>25.8405330372016</v>
      </c>
      <c r="AO109" s="276"/>
      <c r="AP109" s="1">
        <v>1801</v>
      </c>
      <c r="AQ109" s="99">
        <f>'【国内】问卷调研-数据源（P3单独执行） '!AQ109+0.2</f>
        <v>0.5</v>
      </c>
      <c r="AR109" s="99">
        <f>'【国内】问卷调研-数据源（P3单独执行） '!AS109*0.6</f>
        <v>2.1072</v>
      </c>
      <c r="AS109" s="99">
        <f t="shared" si="45"/>
        <v>2.80193333333334</v>
      </c>
      <c r="AT109" s="274">
        <f>'【国内】问卷调研-数据源（P3单独执行） '!AT109*1.3</f>
        <v>3.38</v>
      </c>
      <c r="AU109" s="275">
        <f>'【国内】问卷调研-数据源（P3单独执行） '!AU109</f>
        <v>28.0459744586341</v>
      </c>
      <c r="AV109" s="1"/>
      <c r="AW109" s="276"/>
      <c r="AX109" s="1">
        <v>1801</v>
      </c>
      <c r="AY109" s="99">
        <f>'【国内】问卷调研-数据源（P3单独执行） '!AY109+0.2</f>
        <v>0.5</v>
      </c>
      <c r="AZ109" s="99">
        <f>'【国内】问卷调研-数据源（P3单独执行） '!BA109*0.6</f>
        <v>2.1672</v>
      </c>
      <c r="BA109" s="99">
        <f t="shared" si="46"/>
        <v>2.91526666666667</v>
      </c>
      <c r="BB109" s="274">
        <f>'【国内】问卷调研-数据源（P3单独执行） '!BB109*1.3</f>
        <v>3.38</v>
      </c>
      <c r="BC109" s="275">
        <f>'【国内】问卷调研-数据源（P3单独执行） '!BC109</f>
        <v>30.234758467518</v>
      </c>
    </row>
    <row r="110" spans="2:55">
      <c r="B110" s="1">
        <v>2001</v>
      </c>
      <c r="C110" s="99">
        <f>'【国内】问卷调研-数据源（P3单独执行） '!C110+0.2</f>
        <v>0.6</v>
      </c>
      <c r="D110" s="99">
        <f>'【国内】问卷调研-数据源（P3单独执行） '!E110*0.6</f>
        <v>1.9416</v>
      </c>
      <c r="E110" s="99">
        <f t="shared" si="38"/>
        <v>2.51163333333333</v>
      </c>
      <c r="F110" s="274">
        <f>'【国内】问卷调研-数据源（P3单独执行） '!F110*1.3</f>
        <v>2.99</v>
      </c>
      <c r="G110" s="275">
        <f>'【国内】问卷调研-数据源（P3单独执行） '!G110</f>
        <v>17.0226886556722</v>
      </c>
      <c r="I110" s="276"/>
      <c r="J110" s="1">
        <v>2001</v>
      </c>
      <c r="K110" s="99">
        <f t="shared" si="47"/>
        <v>0.6</v>
      </c>
      <c r="L110" s="99">
        <f>'【国内】问卷调研-数据源（P3单独执行） '!M110*0.6</f>
        <v>2.0016</v>
      </c>
      <c r="M110" s="99">
        <f t="shared" si="39"/>
        <v>2.61746666666667</v>
      </c>
      <c r="N110" s="274">
        <f>'【国内】问卷调研-数据源（P3单独执行） '!N110*1.3</f>
        <v>3.12</v>
      </c>
      <c r="O110" s="275">
        <f>'【国内】问卷调研-数据源（P3单独执行） '!O110</f>
        <v>19.2075962018991</v>
      </c>
      <c r="Q110" s="276"/>
      <c r="R110" s="1">
        <v>2001</v>
      </c>
      <c r="S110" s="99">
        <f t="shared" si="40"/>
        <v>0.6</v>
      </c>
      <c r="T110" s="99">
        <f>'【国内】问卷调研-数据源（P3单独执行） '!U110*0.6</f>
        <v>2.0616</v>
      </c>
      <c r="U110" s="99">
        <f t="shared" si="41"/>
        <v>2.7233</v>
      </c>
      <c r="V110" s="274">
        <f>'【国内】问卷调研-数据源（P3单独执行） '!V110*1.3</f>
        <v>3.25</v>
      </c>
      <c r="W110" s="275">
        <f>'【国内】问卷调研-数据源（P3单独执行） '!W110</f>
        <v>21.3925037481259</v>
      </c>
      <c r="Y110" s="276"/>
      <c r="Z110" s="1">
        <v>2001</v>
      </c>
      <c r="AA110" s="99">
        <f t="shared" si="42"/>
        <v>0.6</v>
      </c>
      <c r="AB110" s="99">
        <f>'【国内】问卷调研-数据源（P3单独执行） '!AC110*0.6</f>
        <v>2.1216</v>
      </c>
      <c r="AC110" s="99">
        <f t="shared" si="43"/>
        <v>2.82913333333333</v>
      </c>
      <c r="AD110" s="274">
        <f>'【国内】问卷调研-数据源（P3单独执行） '!AD110*1.3</f>
        <v>3.38</v>
      </c>
      <c r="AE110" s="275">
        <f>'【国内】问卷调研-数据源（P3单独执行） '!AE110</f>
        <v>23.5774112943528</v>
      </c>
      <c r="AG110" s="276"/>
      <c r="AH110" s="1">
        <v>2001</v>
      </c>
      <c r="AI110" s="99">
        <f>'【国内】问卷调研-数据源（P3单独执行） '!AI110+0.2</f>
        <v>0.6</v>
      </c>
      <c r="AJ110" s="99">
        <f>'【国内】问卷调研-数据源（P3单独执行） '!AK110*0.6</f>
        <v>2.1816</v>
      </c>
      <c r="AK110" s="99">
        <f t="shared" si="44"/>
        <v>2.93496666666667</v>
      </c>
      <c r="AL110" s="274">
        <f>'【国内】问卷调研-数据源（P3单独执行） '!AL110*1.3</f>
        <v>3.51</v>
      </c>
      <c r="AM110" s="275">
        <f>'【国内】问卷调研-数据源（P3单独执行） '!AM110</f>
        <v>25.7623188405797</v>
      </c>
      <c r="AO110" s="276"/>
      <c r="AP110" s="1">
        <v>2001</v>
      </c>
      <c r="AQ110" s="99">
        <f>'【国内】问卷调研-数据源（P3单独执行） '!AQ110+0.2</f>
        <v>0.6</v>
      </c>
      <c r="AR110" s="99">
        <f>'【国内】问卷调研-数据源（P3单独执行） '!AS110*0.6</f>
        <v>2.2416</v>
      </c>
      <c r="AS110" s="99">
        <f t="shared" si="45"/>
        <v>3.0408</v>
      </c>
      <c r="AT110" s="274">
        <f>'【国内】问卷调研-数据源（P3单独执行） '!AT110*1.3</f>
        <v>3.64</v>
      </c>
      <c r="AU110" s="275">
        <f>'【国内】问卷调研-数据源（P3单独执行） '!AU110</f>
        <v>27.9472263868066</v>
      </c>
      <c r="AV110" s="1"/>
      <c r="AW110" s="276"/>
      <c r="AX110" s="1">
        <v>2001</v>
      </c>
      <c r="AY110" s="99">
        <f>'【国内】问卷调研-数据源（P3单独执行） '!AY110+0.2</f>
        <v>0.6</v>
      </c>
      <c r="AZ110" s="99">
        <f>'【国内】问卷调研-数据源（P3单独执行） '!BA110*0.6</f>
        <v>2.3016</v>
      </c>
      <c r="BA110" s="99">
        <f t="shared" si="46"/>
        <v>3.15413333333333</v>
      </c>
      <c r="BB110" s="274">
        <f>'【国内】问卷调研-数据源（P3单独执行） '!BB110*1.3</f>
        <v>3.64</v>
      </c>
      <c r="BC110" s="275">
        <f>'【国内】问卷调研-数据源（P3单独执行） '!BC110</f>
        <v>30.1171414292854</v>
      </c>
    </row>
    <row r="111" spans="2:55">
      <c r="B111" s="1">
        <v>2201</v>
      </c>
      <c r="C111" s="99">
        <f>'【国内】问卷调研-数据源（P3单独执行） '!C111+0.2</f>
        <v>0.6</v>
      </c>
      <c r="D111" s="99">
        <f>'【国内】问卷调研-数据源（P3单独执行） '!E111*0.6</f>
        <v>2.076</v>
      </c>
      <c r="E111" s="99">
        <f t="shared" si="38"/>
        <v>2.7655</v>
      </c>
      <c r="F111" s="274">
        <f>'【国内】问卷调研-数据源（P3单独执行） '!F111*1.3</f>
        <v>2.99</v>
      </c>
      <c r="G111" s="275">
        <f>'【国内】问卷调研-数据源（P3单独执行） '!G111</f>
        <v>16.7305770104498</v>
      </c>
      <c r="I111" s="276"/>
      <c r="J111" s="1">
        <v>2201</v>
      </c>
      <c r="K111" s="99">
        <f t="shared" si="47"/>
        <v>0.6</v>
      </c>
      <c r="L111" s="99">
        <f>'【国内】问卷调研-数据源（P3单独执行） '!M111*0.6</f>
        <v>2.136</v>
      </c>
      <c r="M111" s="99">
        <f t="shared" si="39"/>
        <v>2.87133333333333</v>
      </c>
      <c r="N111" s="274">
        <f>'【国内】问卷调研-数据源（P3单独执行） '!N111*1.3</f>
        <v>3.12</v>
      </c>
      <c r="O111" s="275">
        <f>'【国内】问卷调研-数据源（P3单独执行） '!O111</f>
        <v>18.8986824170831</v>
      </c>
      <c r="Q111" s="276"/>
      <c r="R111" s="1">
        <v>2201</v>
      </c>
      <c r="S111" s="99">
        <f t="shared" si="40"/>
        <v>0.6</v>
      </c>
      <c r="T111" s="99">
        <f>'【国内】问卷调研-数据源（P3单独执行） '!U111*0.6</f>
        <v>2.196</v>
      </c>
      <c r="U111" s="99">
        <f t="shared" si="41"/>
        <v>2.97716666666667</v>
      </c>
      <c r="V111" s="274">
        <f>'【国内】问卷调研-数据源（P3单独执行） '!V111*1.3</f>
        <v>3.25</v>
      </c>
      <c r="W111" s="275">
        <f>'【国内】问卷调研-数据源（P3单独执行） '!W111</f>
        <v>21.0667878237165</v>
      </c>
      <c r="Y111" s="276"/>
      <c r="Z111" s="1">
        <v>2201</v>
      </c>
      <c r="AA111" s="99">
        <f t="shared" si="42"/>
        <v>0.6</v>
      </c>
      <c r="AB111" s="99">
        <f>'【国内】问卷调研-数据源（P3单独执行） '!AC111*0.6</f>
        <v>2.256</v>
      </c>
      <c r="AC111" s="99">
        <f t="shared" si="43"/>
        <v>3.083</v>
      </c>
      <c r="AD111" s="274">
        <f>'【国内】问卷调研-数据源（P3单独执行） '!AD111*1.3</f>
        <v>3.38</v>
      </c>
      <c r="AE111" s="275">
        <f>'【国内】问卷调研-数据源（P3单独执行） '!AE111</f>
        <v>23.2348932303498</v>
      </c>
      <c r="AG111" s="276"/>
      <c r="AH111" s="1">
        <v>2201</v>
      </c>
      <c r="AI111" s="99">
        <f>'【国内】问卷调研-数据源（P3单独执行） '!AI111+0.2</f>
        <v>0.6</v>
      </c>
      <c r="AJ111" s="99">
        <f>'【国内】问卷调研-数据源（P3单独执行） '!AK111*0.6</f>
        <v>2.316</v>
      </c>
      <c r="AK111" s="99">
        <f t="shared" si="44"/>
        <v>3.18883333333333</v>
      </c>
      <c r="AL111" s="274">
        <f>'【国内】问卷调研-数据源（P3单独执行） '!AL111*1.3</f>
        <v>3.51</v>
      </c>
      <c r="AM111" s="275">
        <f>'【国内】问卷调研-数据源（P3单独执行） '!AM111</f>
        <v>25.4029986369832</v>
      </c>
      <c r="AO111" s="276"/>
      <c r="AP111" s="1">
        <v>2201</v>
      </c>
      <c r="AQ111" s="99">
        <f>'【国内】问卷调研-数据源（P3单独执行） '!AQ111+0.2</f>
        <v>0.6</v>
      </c>
      <c r="AR111" s="99">
        <f>'【国内】问卷调研-数据源（P3单独执行） '!AS111*0.6</f>
        <v>2.376</v>
      </c>
      <c r="AS111" s="99">
        <f t="shared" si="45"/>
        <v>3.29466666666666</v>
      </c>
      <c r="AT111" s="274">
        <f>'【国内】问卷调研-数据源（P3单独执行） '!AT111*1.3</f>
        <v>3.64</v>
      </c>
      <c r="AU111" s="275">
        <f>'【国内】问卷调研-数据源（P3单独执行） '!AU111</f>
        <v>27.5711040436165</v>
      </c>
      <c r="AV111" s="1"/>
      <c r="AW111" s="276"/>
      <c r="AX111" s="1">
        <v>2201</v>
      </c>
      <c r="AY111" s="99">
        <f>'【国内】问卷调研-数据源（P3单独执行） '!AY111+0.2</f>
        <v>0.6</v>
      </c>
      <c r="AZ111" s="99">
        <f>'【国内】问卷调研-数据源（P3单独执行） '!BA111*0.6</f>
        <v>2.436</v>
      </c>
      <c r="BA111" s="99">
        <f t="shared" si="46"/>
        <v>3.408</v>
      </c>
      <c r="BB111" s="274">
        <f>'【国内】问卷调研-数据源（P3单独执行） '!BB111*1.3</f>
        <v>3.64</v>
      </c>
      <c r="BC111" s="275">
        <f>'【国内】问卷调研-数据源（P3单独执行） '!BC111</f>
        <v>29.7255792821445</v>
      </c>
    </row>
    <row r="112" spans="2:55">
      <c r="B112" s="1">
        <v>2401</v>
      </c>
      <c r="C112" s="99">
        <f>'【国内】问卷调研-数据源（P3单独执行） '!C112+0.2</f>
        <v>0.6</v>
      </c>
      <c r="D112" s="99">
        <f>'【国内】问卷调研-数据源（P3单独执行） '!E112*0.6</f>
        <v>2.1432</v>
      </c>
      <c r="E112" s="99">
        <f t="shared" si="38"/>
        <v>2.89243333333334</v>
      </c>
      <c r="F112" s="274">
        <f>'【国内】问卷调研-数据源（P3单独执行） '!F112*1.3</f>
        <v>2.99</v>
      </c>
      <c r="G112" s="275">
        <f>'【国内】问卷调研-数据源（P3单独执行） '!G112</f>
        <v>16.3285297792586</v>
      </c>
      <c r="I112" s="276"/>
      <c r="J112" s="1">
        <v>2401</v>
      </c>
      <c r="K112" s="99">
        <f t="shared" si="47"/>
        <v>0.6</v>
      </c>
      <c r="L112" s="99">
        <f>'【国内】问卷调研-数据源（P3单独执行） '!M112*0.6</f>
        <v>2.2032</v>
      </c>
      <c r="M112" s="99">
        <f t="shared" si="39"/>
        <v>2.99826666666667</v>
      </c>
      <c r="N112" s="274">
        <f>'【国内】问卷调研-数据源（P3单独执行） '!N112*1.3</f>
        <v>3.12</v>
      </c>
      <c r="O112" s="275">
        <f>'【国内】问卷调研-数据源（P3单独执行） '!O112</f>
        <v>18.4826322365681</v>
      </c>
      <c r="Q112" s="276"/>
      <c r="R112" s="1">
        <v>2401</v>
      </c>
      <c r="S112" s="99">
        <f t="shared" si="40"/>
        <v>0.6</v>
      </c>
      <c r="T112" s="99">
        <f>'【国内】问卷调研-数据源（P3单独执行） '!U112*0.6</f>
        <v>2.2632</v>
      </c>
      <c r="U112" s="99">
        <f t="shared" si="41"/>
        <v>3.1041</v>
      </c>
      <c r="V112" s="274">
        <f>'【国内】问卷调研-数据源（P3单独执行） '!V112*1.3</f>
        <v>3.25</v>
      </c>
      <c r="W112" s="275">
        <f>'【国内】问卷调研-数据源（P3单独执行） '!W112</f>
        <v>20.6367346938776</v>
      </c>
      <c r="Y112" s="276"/>
      <c r="Z112" s="1">
        <v>2401</v>
      </c>
      <c r="AA112" s="99">
        <f t="shared" si="42"/>
        <v>0.6</v>
      </c>
      <c r="AB112" s="99">
        <f>'【国内】问卷调研-数据源（P3单独执行） '!AC112*0.6</f>
        <v>2.3232</v>
      </c>
      <c r="AC112" s="99">
        <f t="shared" si="43"/>
        <v>3.20993333333334</v>
      </c>
      <c r="AD112" s="274">
        <f>'【国内】问卷调研-数据源（P3单独执行） '!AD112*1.3</f>
        <v>3.38</v>
      </c>
      <c r="AE112" s="275">
        <f>'【国内】问卷调研-数据源（P3单独执行） '!AE112</f>
        <v>22.790837151187</v>
      </c>
      <c r="AG112" s="276"/>
      <c r="AH112" s="1">
        <v>2401</v>
      </c>
      <c r="AI112" s="99">
        <f>'【国内】问卷调研-数据源（P3单独执行） '!AI112+0.2</f>
        <v>0.6</v>
      </c>
      <c r="AJ112" s="99">
        <f>'【国内】问卷调研-数据源（P3单独执行） '!AK112*0.6</f>
        <v>2.3832</v>
      </c>
      <c r="AK112" s="99">
        <f t="shared" si="44"/>
        <v>3.31576666666667</v>
      </c>
      <c r="AL112" s="274">
        <f>'【国内】问卷调研-数据源（P3单独执行） '!AL112*1.3</f>
        <v>3.51</v>
      </c>
      <c r="AM112" s="275">
        <f>'【国内】问卷调研-数据源（P3单独执行） '!AM112</f>
        <v>24.9449396084965</v>
      </c>
      <c r="AO112" s="276"/>
      <c r="AP112" s="1">
        <v>2401</v>
      </c>
      <c r="AQ112" s="99">
        <f>'【国内】问卷调研-数据源（P3单独执行） '!AQ112+0.2</f>
        <v>0.6</v>
      </c>
      <c r="AR112" s="99">
        <f>'【国内】问卷调研-数据源（P3单独执行） '!AS112*0.6</f>
        <v>2.4432</v>
      </c>
      <c r="AS112" s="99">
        <f t="shared" si="45"/>
        <v>3.4216</v>
      </c>
      <c r="AT112" s="274">
        <f>'【国内】问卷调研-数据源（P3单独执行） '!AT112*1.3</f>
        <v>3.64</v>
      </c>
      <c r="AU112" s="275">
        <f>'【国内】问卷调研-数据源（P3单独执行） '!AU112</f>
        <v>27.0990420658059</v>
      </c>
      <c r="AV112" s="1"/>
      <c r="AW112" s="276"/>
      <c r="AX112" s="1">
        <v>2401</v>
      </c>
      <c r="AY112" s="99">
        <f>'【国内】问卷调研-数据源（P3单独执行） '!AY112+0.2</f>
        <v>0.6</v>
      </c>
      <c r="AZ112" s="99">
        <f>'【国内】问卷调研-数据源（P3单独执行） '!BA112*0.6</f>
        <v>2.5032</v>
      </c>
      <c r="BA112" s="99">
        <f t="shared" si="46"/>
        <v>3.53493333333334</v>
      </c>
      <c r="BB112" s="274">
        <f>'【国内】问卷调研-数据源（P3单独执行） '!BB112*1.3</f>
        <v>3.64</v>
      </c>
      <c r="BC112" s="275">
        <f>'【国内】问卷调研-数据源（P3单独执行） '!BC112</f>
        <v>29.2406497292795</v>
      </c>
    </row>
    <row r="113" spans="2:55">
      <c r="B113" s="1">
        <v>2601</v>
      </c>
      <c r="C113" s="99">
        <f>'【国内】问卷调研-数据源（P3单独执行） '!C113+0.2</f>
        <v>0.7</v>
      </c>
      <c r="D113" s="99">
        <f>'【国内】问卷调研-数据源（P3单独执行） '!E113*0.6</f>
        <v>2.2104</v>
      </c>
      <c r="E113" s="99">
        <f t="shared" si="38"/>
        <v>3.01936666666667</v>
      </c>
      <c r="F113" s="274">
        <f>'【国内】问卷调研-数据源（P3单独执行） '!F113*1.3</f>
        <v>2.99</v>
      </c>
      <c r="G113" s="275">
        <f>'【国内】问卷调研-数据源（P3单独执行） '!G113</f>
        <v>16.2151480199923</v>
      </c>
      <c r="I113" s="276"/>
      <c r="J113" s="1">
        <v>2601</v>
      </c>
      <c r="K113" s="99">
        <f t="shared" si="47"/>
        <v>0.7</v>
      </c>
      <c r="L113" s="99">
        <f>'【国内】问卷调研-数据源（P3单独执行） '!M113*0.6</f>
        <v>2.2704</v>
      </c>
      <c r="M113" s="99">
        <f t="shared" si="39"/>
        <v>3.12520000000001</v>
      </c>
      <c r="N113" s="274">
        <f>'【国内】问卷调研-数据源（P3单独执行） '!N113*1.3</f>
        <v>3.12</v>
      </c>
      <c r="O113" s="275">
        <f>'【国内】问卷调研-数据源（P3单独执行） '!O113</f>
        <v>18.3574009996155</v>
      </c>
      <c r="Q113" s="276"/>
      <c r="R113" s="1">
        <v>2601</v>
      </c>
      <c r="S113" s="99">
        <f t="shared" si="40"/>
        <v>0.7</v>
      </c>
      <c r="T113" s="99">
        <f>'【国内】问卷调研-数据源（P3单独执行） '!U113*0.6</f>
        <v>2.3304</v>
      </c>
      <c r="U113" s="99">
        <f t="shared" si="41"/>
        <v>3.23103333333334</v>
      </c>
      <c r="V113" s="274">
        <f>'【国内】问卷调研-数据源（P3单独执行） '!V113*1.3</f>
        <v>3.25</v>
      </c>
      <c r="W113" s="275">
        <f>'【国内】问卷调研-数据源（P3单独执行） '!W113</f>
        <v>20.4996539792388</v>
      </c>
      <c r="Y113" s="276"/>
      <c r="Z113" s="1">
        <v>2601</v>
      </c>
      <c r="AA113" s="99">
        <f t="shared" si="42"/>
        <v>0.7</v>
      </c>
      <c r="AB113" s="99">
        <f>'【国内】问卷调研-数据源（P3单独执行） '!AC113*0.6</f>
        <v>2.3904</v>
      </c>
      <c r="AC113" s="99">
        <f t="shared" si="43"/>
        <v>3.33686666666667</v>
      </c>
      <c r="AD113" s="274">
        <f>'【国内】问卷调研-数据源（P3单独执行） '!AD113*1.3</f>
        <v>3.38</v>
      </c>
      <c r="AE113" s="275">
        <f>'【国内】问卷调研-数据源（P3单独执行） '!AE113</f>
        <v>22.641906958862</v>
      </c>
      <c r="AG113" s="276"/>
      <c r="AH113" s="1">
        <v>2601</v>
      </c>
      <c r="AI113" s="99">
        <f>'【国内】问卷调研-数据源（P3单独执行） '!AI113+0.2</f>
        <v>0.7</v>
      </c>
      <c r="AJ113" s="99">
        <f>'【国内】问卷调研-数据源（P3单独执行） '!AK113*0.6</f>
        <v>2.4504</v>
      </c>
      <c r="AK113" s="99">
        <f t="shared" si="44"/>
        <v>3.4427</v>
      </c>
      <c r="AL113" s="274">
        <f>'【国内】问卷调研-数据源（P3单独执行） '!AL113*1.3</f>
        <v>3.51</v>
      </c>
      <c r="AM113" s="275">
        <f>'【国内】问卷调研-数据源（P3单独执行） '!AM113</f>
        <v>24.7841599384852</v>
      </c>
      <c r="AO113" s="276"/>
      <c r="AP113" s="1">
        <v>2601</v>
      </c>
      <c r="AQ113" s="99">
        <f>'【国内】问卷调研-数据源（P3单独执行） '!AQ113+0.2</f>
        <v>0.7</v>
      </c>
      <c r="AR113" s="99">
        <f>'【国内】问卷调研-数据源（P3单独执行） '!AS113*0.6</f>
        <v>2.5104</v>
      </c>
      <c r="AS113" s="99">
        <f t="shared" si="45"/>
        <v>3.54853333333334</v>
      </c>
      <c r="AT113" s="274">
        <f>'【国内】问卷调研-数据源（P3单独执行） '!AT113*1.3</f>
        <v>3.64</v>
      </c>
      <c r="AU113" s="275">
        <f>'【国内】问卷调研-数据源（P3单独执行） '!AU113</f>
        <v>26.9264129181084</v>
      </c>
      <c r="AV113" s="1"/>
      <c r="AW113" s="276"/>
      <c r="AX113" s="1">
        <v>2601</v>
      </c>
      <c r="AY113" s="99">
        <f>'【国内】问卷调研-数据源（P3单独执行） '!AY113+0.2</f>
        <v>0.7</v>
      </c>
      <c r="AZ113" s="99">
        <f>'【国内】问卷调研-数据源（P3单独执行） '!BA113*0.6</f>
        <v>2.5704</v>
      </c>
      <c r="BA113" s="99">
        <f t="shared" si="46"/>
        <v>3.66186666666667</v>
      </c>
      <c r="BB113" s="274">
        <f>'【国内】问卷调研-数据源（P3单独执行） '!BB113*1.3</f>
        <v>3.64</v>
      </c>
      <c r="BC113" s="275">
        <f>'【国内】问卷调研-数据源（P3单独执行） '!BC113</f>
        <v>29.0571318723568</v>
      </c>
    </row>
    <row r="114" spans="2:55">
      <c r="B114" s="1">
        <v>2801</v>
      </c>
      <c r="C114" s="99">
        <f>'【国内】问卷调研-数据源（P3单独执行） '!C114+0.2</f>
        <v>0.7</v>
      </c>
      <c r="D114" s="99">
        <f>'【国内】问卷调研-数据源（P3单独执行） '!E114*0.6</f>
        <v>2.4792</v>
      </c>
      <c r="E114" s="99">
        <f t="shared" si="38"/>
        <v>3.5271</v>
      </c>
      <c r="F114" s="274">
        <f>'【国内】问卷调研-数据源（P3单独执行） '!F114*1.3</f>
        <v>2.99</v>
      </c>
      <c r="G114" s="275">
        <f>'【国内】问卷调研-数据源（P3单独执行） '!G114</f>
        <v>16.3151731524456</v>
      </c>
      <c r="I114" s="276"/>
      <c r="J114" s="1">
        <v>2801</v>
      </c>
      <c r="K114" s="99">
        <f t="shared" si="47"/>
        <v>0.7</v>
      </c>
      <c r="L114" s="99">
        <f>'【国内】问卷调研-数据源（P3单独执行） '!M114*0.6</f>
        <v>2.5392</v>
      </c>
      <c r="M114" s="99">
        <f t="shared" si="39"/>
        <v>3.63293333333334</v>
      </c>
      <c r="N114" s="274">
        <f>'【国内】问卷调研-数据源（P3单独执行） '!N114*1.3</f>
        <v>3.12</v>
      </c>
      <c r="O114" s="275">
        <f>'【国内】问卷调研-数据源（P3单独执行） '!O114</f>
        <v>18.4472688325598</v>
      </c>
      <c r="Q114" s="276"/>
      <c r="R114" s="1">
        <v>2801</v>
      </c>
      <c r="S114" s="99">
        <f t="shared" si="40"/>
        <v>0.7</v>
      </c>
      <c r="T114" s="99">
        <f>'【国内】问卷调研-数据源（P3单独执行） '!U114*0.6</f>
        <v>2.5992</v>
      </c>
      <c r="U114" s="99">
        <f t="shared" si="41"/>
        <v>3.73876666666667</v>
      </c>
      <c r="V114" s="274">
        <f>'【国内】问卷调研-数据源（P3单独执行） '!V114*1.3</f>
        <v>3.25</v>
      </c>
      <c r="W114" s="275">
        <f>'【国内】问卷调研-数据源（P3单独执行） '!W114</f>
        <v>20.579364512674</v>
      </c>
      <c r="Y114" s="276"/>
      <c r="Z114" s="1">
        <v>2801</v>
      </c>
      <c r="AA114" s="99">
        <f t="shared" si="42"/>
        <v>0.7</v>
      </c>
      <c r="AB114" s="99">
        <f>'【国内】问卷调研-数据源（P3单独执行） '!AC114*0.6</f>
        <v>2.6592</v>
      </c>
      <c r="AC114" s="99">
        <f t="shared" si="43"/>
        <v>3.8446</v>
      </c>
      <c r="AD114" s="274">
        <f>'【国内】问卷调研-数据源（P3单独执行） '!AD114*1.3</f>
        <v>3.38</v>
      </c>
      <c r="AE114" s="275">
        <f>'【国内】问卷调研-数据源（P3单独执行） '!AE114</f>
        <v>22.7114601927883</v>
      </c>
      <c r="AG114" s="276"/>
      <c r="AH114" s="1">
        <v>2801</v>
      </c>
      <c r="AI114" s="99">
        <f>'【国内】问卷调研-数据源（P3单独执行） '!AI114+0.2</f>
        <v>0.7</v>
      </c>
      <c r="AJ114" s="99">
        <f>'【国内】问卷调研-数据源（P3单独执行） '!AK114*0.6</f>
        <v>2.7192</v>
      </c>
      <c r="AK114" s="99">
        <f t="shared" si="44"/>
        <v>3.95043333333333</v>
      </c>
      <c r="AL114" s="274">
        <f>'【国内】问卷调研-数据源（P3单独执行） '!AL114*1.3</f>
        <v>3.51</v>
      </c>
      <c r="AM114" s="275">
        <f>'【国内】问卷调研-数据源（P3单独执行） '!AM114</f>
        <v>24.8435558729025</v>
      </c>
      <c r="AO114" s="276"/>
      <c r="AP114" s="1">
        <v>2801</v>
      </c>
      <c r="AQ114" s="99">
        <f>'【国内】问卷调研-数据源（P3单独执行） '!AQ114+0.2</f>
        <v>0.7</v>
      </c>
      <c r="AR114" s="99">
        <f>'【国内】问卷调研-数据源（P3单独执行） '!AS114*0.6</f>
        <v>2.7792</v>
      </c>
      <c r="AS114" s="99">
        <f t="shared" si="45"/>
        <v>4.05626666666666</v>
      </c>
      <c r="AT114" s="274">
        <f>'【国内】问卷调研-数据源（P3单独执行） '!AT114*1.3</f>
        <v>3.64</v>
      </c>
      <c r="AU114" s="275">
        <f>'【国内】问卷调研-数据源（P3单独执行） '!AU114</f>
        <v>26.9756515530168</v>
      </c>
      <c r="AV114" s="1"/>
      <c r="AW114" s="276"/>
      <c r="AX114" s="1">
        <v>2801</v>
      </c>
      <c r="AY114" s="99">
        <f>'【国内】问卷调研-数据源（P3单独执行） '!AY114+0.2</f>
        <v>0.7</v>
      </c>
      <c r="AZ114" s="99">
        <f>'【国内】问卷调研-数据源（P3单独执行） '!BA114*0.6</f>
        <v>2.8392</v>
      </c>
      <c r="BA114" s="99">
        <f t="shared" si="46"/>
        <v>4.16959999999999</v>
      </c>
      <c r="BB114" s="274">
        <f>'【国内】问卷调研-数据源（P3单独执行） '!BB114*1.3</f>
        <v>3.64</v>
      </c>
      <c r="BC114" s="275">
        <f>'【国内】问卷调研-数据源（P3单独执行） '!BC114</f>
        <v>29.0970367725812</v>
      </c>
    </row>
    <row r="115" spans="2:55">
      <c r="I115" s="269"/>
      <c r="Q115" s="269"/>
      <c r="Y115" s="269"/>
      <c r="AG115" s="269"/>
      <c r="AO115" s="269"/>
      <c r="AW115" s="269"/>
    </row>
    <row r="116" spans="2:55">
      <c r="B116" s="268" t="s">
        <v>91</v>
      </c>
      <c r="C116" s="268" t="s">
        <v>124</v>
      </c>
      <c r="I116" s="269"/>
      <c r="J116" s="268" t="s">
        <v>91</v>
      </c>
      <c r="K116" s="268"/>
      <c r="L116" s="268" t="s">
        <v>124</v>
      </c>
      <c r="Q116" s="269"/>
      <c r="R116" s="268" t="s">
        <v>91</v>
      </c>
      <c r="S116" s="268"/>
      <c r="T116" s="268" t="s">
        <v>124</v>
      </c>
      <c r="Y116" s="269"/>
      <c r="Z116" s="268" t="s">
        <v>91</v>
      </c>
      <c r="AA116" s="268"/>
      <c r="AB116" s="268" t="s">
        <v>124</v>
      </c>
      <c r="AG116" s="269"/>
      <c r="AH116" s="268" t="s">
        <v>91</v>
      </c>
      <c r="AI116" s="268"/>
      <c r="AJ116" s="268" t="s">
        <v>124</v>
      </c>
      <c r="AO116" s="269"/>
      <c r="AP116" s="268" t="s">
        <v>91</v>
      </c>
      <c r="AQ116" s="268"/>
      <c r="AR116" s="268" t="s">
        <v>124</v>
      </c>
      <c r="AW116" s="269"/>
      <c r="AX116" s="268" t="s">
        <v>91</v>
      </c>
      <c r="AY116" s="268"/>
      <c r="AZ116" s="268" t="s">
        <v>124</v>
      </c>
    </row>
    <row r="117" spans="2:55">
      <c r="B117" s="270" t="s">
        <v>92</v>
      </c>
      <c r="C117" s="270" t="s">
        <v>93</v>
      </c>
      <c r="I117" s="269"/>
      <c r="J117" s="270" t="s">
        <v>92</v>
      </c>
      <c r="K117" s="270"/>
      <c r="L117" s="270" t="s">
        <v>94</v>
      </c>
      <c r="Q117" s="269"/>
      <c r="R117" s="270" t="s">
        <v>92</v>
      </c>
      <c r="S117" s="270"/>
      <c r="T117" s="270" t="s">
        <v>95</v>
      </c>
      <c r="Y117" s="269"/>
      <c r="Z117" s="270" t="s">
        <v>92</v>
      </c>
      <c r="AA117" s="270"/>
      <c r="AB117" s="270" t="s">
        <v>96</v>
      </c>
      <c r="AG117" s="269"/>
      <c r="AH117" s="270" t="s">
        <v>92</v>
      </c>
      <c r="AI117" s="270"/>
      <c r="AJ117" s="270" t="s">
        <v>97</v>
      </c>
      <c r="AO117" s="269"/>
      <c r="AP117" s="270" t="s">
        <v>92</v>
      </c>
      <c r="AQ117" s="270"/>
      <c r="AR117" s="270" t="s">
        <v>98</v>
      </c>
      <c r="AW117" s="269"/>
      <c r="AX117" s="270" t="s">
        <v>92</v>
      </c>
      <c r="AY117" s="270"/>
      <c r="AZ117" s="270" t="s">
        <v>99</v>
      </c>
    </row>
    <row r="118" spans="2:55">
      <c r="B118" s="271" t="s">
        <v>100</v>
      </c>
      <c r="C118" s="271"/>
      <c r="D118" s="271">
        <v>12</v>
      </c>
      <c r="F118" s="59"/>
      <c r="G118" s="282">
        <f>AVERAGE(G122:G137)</f>
        <v>23.5213979313276</v>
      </c>
      <c r="H118" s="59"/>
      <c r="I118" s="269"/>
      <c r="J118" s="271" t="s">
        <v>100</v>
      </c>
      <c r="K118" s="271"/>
      <c r="L118" s="271">
        <v>14</v>
      </c>
      <c r="N118" s="59"/>
      <c r="O118" s="282">
        <f>AVERAGE(O122:O137)</f>
        <v>26.1820359637681</v>
      </c>
      <c r="P118" s="59"/>
      <c r="Q118" s="269"/>
      <c r="R118" s="271" t="s">
        <v>100</v>
      </c>
      <c r="S118" s="271"/>
      <c r="T118" s="271">
        <v>16</v>
      </c>
      <c r="V118" s="59"/>
      <c r="W118" s="283">
        <f>AVERAGE(W122:W137)</f>
        <v>28.8426739962086</v>
      </c>
      <c r="X118" s="59"/>
      <c r="Y118" s="269"/>
      <c r="Z118" s="271" t="s">
        <v>100</v>
      </c>
      <c r="AA118" s="271"/>
      <c r="AB118" s="271">
        <v>18</v>
      </c>
      <c r="AD118" s="59"/>
      <c r="AE118" s="283">
        <f>AVERAGE(AE122:AE137)</f>
        <v>32.110384815216</v>
      </c>
      <c r="AF118" s="59"/>
      <c r="AG118" s="269"/>
      <c r="AH118" s="271" t="s">
        <v>100</v>
      </c>
      <c r="AI118" s="271"/>
      <c r="AJ118" s="271">
        <v>20</v>
      </c>
      <c r="AL118" s="59"/>
      <c r="AM118" s="272">
        <f>AVERAGE(AM122:AM137)</f>
        <v>35.3780956342235</v>
      </c>
      <c r="AN118" s="59"/>
      <c r="AO118" s="269"/>
      <c r="AP118" s="271" t="s">
        <v>100</v>
      </c>
      <c r="AQ118" s="271"/>
      <c r="AR118" s="271">
        <v>22</v>
      </c>
      <c r="AT118" s="273"/>
      <c r="AU118" s="272">
        <f>AVERAGE(AU122:AU137)</f>
        <v>38.645806453231</v>
      </c>
      <c r="AV118" s="273"/>
      <c r="AW118" s="269"/>
      <c r="AX118" s="271" t="s">
        <v>100</v>
      </c>
      <c r="AY118" s="271"/>
      <c r="AZ118" s="271">
        <v>24</v>
      </c>
      <c r="BB118" s="273"/>
      <c r="BC118" s="272">
        <f>AVERAGE(BC122:BC137)</f>
        <v>41.9135172722384</v>
      </c>
    </row>
    <row r="119" spans="2:55">
      <c r="B119" s="1" t="s">
        <v>101</v>
      </c>
      <c r="C119" s="1" t="s">
        <v>8</v>
      </c>
      <c r="D119" s="1" t="s">
        <v>9</v>
      </c>
      <c r="E119" s="1" t="s">
        <v>10</v>
      </c>
      <c r="F119" s="1" t="s">
        <v>103</v>
      </c>
      <c r="I119" s="269"/>
      <c r="J119" s="1" t="s">
        <v>101</v>
      </c>
      <c r="K119" s="1" t="s">
        <v>8</v>
      </c>
      <c r="L119" s="1" t="s">
        <v>9</v>
      </c>
      <c r="M119" s="1" t="s">
        <v>10</v>
      </c>
      <c r="N119" s="1" t="s">
        <v>103</v>
      </c>
      <c r="Q119" s="269"/>
      <c r="R119" s="1" t="s">
        <v>101</v>
      </c>
      <c r="S119" s="1" t="s">
        <v>8</v>
      </c>
      <c r="T119" s="1" t="s">
        <v>9</v>
      </c>
      <c r="U119" s="1" t="s">
        <v>10</v>
      </c>
      <c r="V119" s="1" t="s">
        <v>103</v>
      </c>
      <c r="W119" s="1" t="s">
        <v>104</v>
      </c>
      <c r="Y119" s="269"/>
      <c r="Z119" s="1" t="s">
        <v>101</v>
      </c>
      <c r="AA119" s="1" t="s">
        <v>8</v>
      </c>
      <c r="AB119" s="1" t="s">
        <v>9</v>
      </c>
      <c r="AC119" s="1" t="s">
        <v>10</v>
      </c>
      <c r="AD119" s="1" t="s">
        <v>103</v>
      </c>
      <c r="AG119" s="269"/>
      <c r="AH119" s="1" t="s">
        <v>101</v>
      </c>
      <c r="AI119" s="1" t="s">
        <v>8</v>
      </c>
      <c r="AJ119" s="1" t="s">
        <v>9</v>
      </c>
      <c r="AK119" s="1" t="s">
        <v>10</v>
      </c>
      <c r="AL119" s="1" t="s">
        <v>103</v>
      </c>
      <c r="AO119" s="269"/>
      <c r="AP119" s="1" t="s">
        <v>101</v>
      </c>
      <c r="AQ119" s="1" t="s">
        <v>8</v>
      </c>
      <c r="AR119" s="1" t="s">
        <v>9</v>
      </c>
      <c r="AS119" s="1" t="s">
        <v>10</v>
      </c>
      <c r="AT119" s="1" t="s">
        <v>103</v>
      </c>
      <c r="AW119" s="269"/>
      <c r="AX119" s="1" t="s">
        <v>101</v>
      </c>
      <c r="AY119" s="1" t="s">
        <v>8</v>
      </c>
      <c r="AZ119" s="1" t="s">
        <v>9</v>
      </c>
      <c r="BA119" s="1" t="s">
        <v>10</v>
      </c>
      <c r="BB119" s="1" t="s">
        <v>103</v>
      </c>
    </row>
    <row r="120" spans="2:55">
      <c r="B120" s="1">
        <v>0</v>
      </c>
      <c r="C120" s="99">
        <v>0</v>
      </c>
      <c r="D120" s="99">
        <f>'【国内】问卷调研-数据源（P3单独执行） '!E120*0.4</f>
        <v>0</v>
      </c>
      <c r="E120" s="99" t="e">
        <f>(G120*B120-$D$118*B120-C120*5900-D120*3400-F120*300)/1200</f>
        <v>#DIV/0!</v>
      </c>
      <c r="F120" s="274">
        <f>'【国内】问卷调研-数据源（P3单独执行） '!F120*1.3</f>
        <v>0.26</v>
      </c>
      <c r="G120" s="275" t="e">
        <f>'【国内】问卷调研-数据源（P3单独执行） '!G120</f>
        <v>#DIV/0!</v>
      </c>
      <c r="I120" s="269"/>
      <c r="J120" s="1">
        <v>0</v>
      </c>
      <c r="K120" s="99">
        <v>0</v>
      </c>
      <c r="L120" s="99">
        <f>'【国内】问卷调研-数据源（P3单独执行） '!M120*0.4</f>
        <v>0</v>
      </c>
      <c r="M120" s="99" t="e">
        <f>(O120*J120-$L$118*J120-K120*5900-L120*3400-N120*300)/1200</f>
        <v>#DIV/0!</v>
      </c>
      <c r="N120" s="274">
        <f>'【国内】问卷调研-数据源（P3单独执行） '!N120*1.3</f>
        <v>0.39</v>
      </c>
      <c r="O120" s="275" t="e">
        <f>'【国内】问卷调研-数据源（P3单独执行） '!O120</f>
        <v>#DIV/0!</v>
      </c>
      <c r="Q120" s="269"/>
      <c r="R120" s="1">
        <v>0</v>
      </c>
      <c r="S120" s="99">
        <v>0</v>
      </c>
      <c r="T120" s="99">
        <f>'【国内】问卷调研-数据源（P3单独执行） '!U120*0.4</f>
        <v>0</v>
      </c>
      <c r="U120" s="99" t="e">
        <f>(W120*R120-$T$118*R120-S120*5900-T120*3400-V120*300)/1200</f>
        <v>#DIV/0!</v>
      </c>
      <c r="V120" s="274">
        <f>'【国内】问卷调研-数据源（P3单独执行） '!V120*1.3</f>
        <v>0.52</v>
      </c>
      <c r="W120" s="275" t="e">
        <f>'【国内】问卷调研-数据源（P3单独执行） '!W120</f>
        <v>#DIV/0!</v>
      </c>
      <c r="Y120" s="269"/>
      <c r="Z120" s="1">
        <v>0</v>
      </c>
      <c r="AA120" s="99">
        <v>0</v>
      </c>
      <c r="AB120" s="99">
        <f>'【国内】问卷调研-数据源（P3单独执行） '!AC120*0.4</f>
        <v>0</v>
      </c>
      <c r="AC120" s="99" t="e">
        <f>(AE120*Z120-$AB$118*Z120-AA120*5900-AB120*3400-AD120*300)/1200</f>
        <v>#DIV/0!</v>
      </c>
      <c r="AD120" s="274">
        <f>'【国内】问卷调研-数据源（P3单独执行） '!AD120*1.3</f>
        <v>0.65</v>
      </c>
      <c r="AE120" s="275" t="e">
        <f>'【国内】问卷调研-数据源（P3单独执行） '!AE120</f>
        <v>#DIV/0!</v>
      </c>
      <c r="AG120" s="269"/>
      <c r="AH120" s="1">
        <v>0</v>
      </c>
      <c r="AI120" s="99">
        <v>0</v>
      </c>
      <c r="AJ120" s="99">
        <f>'【国内】问卷调研-数据源（P3单独执行） '!AK120*0.4</f>
        <v>0</v>
      </c>
      <c r="AK120" s="99" t="e">
        <f>(AM120*AH120-$AJ$118*AH120-AI120*5900-AJ120*3400-AL120*300)/1200</f>
        <v>#DIV/0!</v>
      </c>
      <c r="AL120" s="274">
        <f>'【国内】问卷调研-数据源（P3单独执行） '!AL120*1.3</f>
        <v>0.78</v>
      </c>
      <c r="AM120" s="275" t="e">
        <f>'【国内】问卷调研-数据源（P3单独执行） '!AM120</f>
        <v>#DIV/0!</v>
      </c>
      <c r="AO120" s="269"/>
      <c r="AP120" s="1">
        <v>0</v>
      </c>
      <c r="AQ120" s="99">
        <v>0</v>
      </c>
      <c r="AR120" s="99">
        <f>'【国内】问卷调研-数据源（P3单独执行） '!AS120*0.4</f>
        <v>0</v>
      </c>
      <c r="AS120" s="99" t="e">
        <f>(AU120*AP120-$AR$118*AP120-AQ120*5900-AR120*3400-AT120*300)/1200</f>
        <v>#DIV/0!</v>
      </c>
      <c r="AT120" s="274">
        <f>'【国内】问卷调研-数据源（P3单独执行） '!AT120*1.3</f>
        <v>0.91</v>
      </c>
      <c r="AU120" s="275" t="e">
        <f>'【国内】问卷调研-数据源（P3单独执行） '!AU120</f>
        <v>#DIV/0!</v>
      </c>
      <c r="AV120" s="1"/>
      <c r="AW120" s="269"/>
      <c r="AX120" s="1">
        <v>0</v>
      </c>
      <c r="AY120" s="99">
        <v>0</v>
      </c>
      <c r="AZ120" s="99">
        <f>'【国内】问卷调研-数据源（P3单独执行） '!BA120*0.4</f>
        <v>0</v>
      </c>
      <c r="BA120" s="99" t="e">
        <f>(BC120*AX120-$AZ$118*AX120-AY120*5900-AZ120*3400-BB120*300)/1200</f>
        <v>#DIV/0!</v>
      </c>
      <c r="BB120" s="274">
        <f>'【国内】问卷调研-数据源（P3单独执行） '!BB120*1.3</f>
        <v>1.04</v>
      </c>
      <c r="BC120" s="275" t="e">
        <f>'【国内】问卷调研-数据源（P3单独执行） '!BC120</f>
        <v>#DIV/0!</v>
      </c>
    </row>
    <row r="121" spans="2:55">
      <c r="B121" s="1">
        <v>1</v>
      </c>
      <c r="C121" s="99">
        <v>0</v>
      </c>
      <c r="D121" s="99">
        <f>'【国内】问卷调研-数据源（P3单独执行） '!E121*0.4</f>
        <v>0.324</v>
      </c>
      <c r="E121" s="99">
        <f t="shared" ref="E121:E137" si="48">(G121*B121-$D$118*B121-C121*5900-D121*3400-F121*300)/1200</f>
        <v>1.302</v>
      </c>
      <c r="F121" s="274">
        <f>'【国内】问卷调研-数据源（P3单独执行） '!F121*1.3</f>
        <v>1.3</v>
      </c>
      <c r="G121" s="275">
        <f>'【国内】问卷调研-数据源（P3单独执行） '!G121</f>
        <v>3066</v>
      </c>
      <c r="I121" s="276"/>
      <c r="J121" s="1">
        <v>1</v>
      </c>
      <c r="K121" s="99">
        <v>0</v>
      </c>
      <c r="L121" s="99">
        <f>'【国内】问卷调研-数据源（P3单独执行） '!M121*0.4</f>
        <v>0.404</v>
      </c>
      <c r="M121" s="99">
        <f t="shared" ref="M121:M137" si="49">(O121*J121-$L$118*J121-K121*5900-L121*3400-N121*300)/1200</f>
        <v>1.6345</v>
      </c>
      <c r="N121" s="274">
        <f>'【国内】问卷调研-数据源（P3单独执行） '!N121*1.3</f>
        <v>1.43</v>
      </c>
      <c r="O121" s="275">
        <f>'【国内】问卷调研-数据源（P3单独执行） '!O121</f>
        <v>3778</v>
      </c>
      <c r="Q121" s="276"/>
      <c r="R121" s="1">
        <v>1</v>
      </c>
      <c r="S121" s="99">
        <v>0</v>
      </c>
      <c r="T121" s="99">
        <f>'【国内】问卷调研-数据源（P3单独执行） '!U121*0.4</f>
        <v>0.524</v>
      </c>
      <c r="U121" s="99">
        <f t="shared" ref="U121:U137" si="50">(W121*R121-$T$118*R121-S121*5900-T121*3400-V121*300)/1200</f>
        <v>2.137</v>
      </c>
      <c r="V121" s="274">
        <f>'【国内】问卷调研-数据源（P3单独执行） '!V121*1.3</f>
        <v>1.56</v>
      </c>
      <c r="W121" s="275">
        <f>'【国内】问卷调研-数据源（P3单独执行） '!W121</f>
        <v>4830</v>
      </c>
      <c r="Y121" s="276"/>
      <c r="Z121" s="1">
        <v>1</v>
      </c>
      <c r="AA121" s="99">
        <v>0</v>
      </c>
      <c r="AB121" s="99">
        <f>'【国内】问卷调研-数据源（P3单独执行） '!AC121*0.4</f>
        <v>0.604</v>
      </c>
      <c r="AC121" s="99">
        <f t="shared" ref="AC121:AC137" si="51">(AE121*Z121-$AB$118*Z121-AA121*5900-AB121*3400-AD121*300)/1200</f>
        <v>2.4695</v>
      </c>
      <c r="AD121" s="274">
        <f>'【国内】问卷调研-数据源（P3单独执行） '!AD121*1.3</f>
        <v>1.69</v>
      </c>
      <c r="AE121" s="275">
        <f>'【国内】问卷调研-数据源（P3单独执行） '!AE121</f>
        <v>5542</v>
      </c>
      <c r="AG121" s="276"/>
      <c r="AH121" s="1">
        <v>1</v>
      </c>
      <c r="AI121" s="99">
        <v>0</v>
      </c>
      <c r="AJ121" s="99">
        <f>'【国内】问卷调研-数据源（P3单独执行） '!AK121*0.4</f>
        <v>0.764</v>
      </c>
      <c r="AK121" s="99">
        <f t="shared" ref="AK121:AK137" si="52">(AM121*AH121-$AJ$118*AH121-AI121*5900-AJ121*3400-AL121*300)/1200</f>
        <v>3.142</v>
      </c>
      <c r="AL121" s="274">
        <f>'【国内】问卷调研-数据源（P3单独执行） '!AL121*1.3</f>
        <v>1.82</v>
      </c>
      <c r="AM121" s="275">
        <f>'【国内】问卷调研-数据源（P3单独执行） '!AM121</f>
        <v>6934</v>
      </c>
      <c r="AO121" s="276"/>
      <c r="AP121" s="1">
        <v>1</v>
      </c>
      <c r="AQ121" s="99">
        <v>0</v>
      </c>
      <c r="AR121" s="99">
        <f>'【国内】问卷调研-数据源（P3单独执行） '!AS121*0.4</f>
        <v>0.624</v>
      </c>
      <c r="AS121" s="99">
        <f t="shared" ref="AS121:AS137" si="53">(AU121*AP121-$AR$118*AP121-AQ121*5900-AR121*3400-AT121*300)/1200</f>
        <v>2.5395</v>
      </c>
      <c r="AT121" s="274">
        <f>'【国内】问卷调研-数据源（P3单独执行） '!AT121*1.3</f>
        <v>1.95</v>
      </c>
      <c r="AU121" s="275">
        <f>'【国内】问卷调研-数据源（P3单独执行） '!AU121</f>
        <v>5776</v>
      </c>
      <c r="AV121" s="1"/>
      <c r="AW121" s="276"/>
      <c r="AX121" s="1">
        <v>1</v>
      </c>
      <c r="AY121" s="99">
        <v>0</v>
      </c>
      <c r="AZ121" s="99">
        <f>'【国内】问卷调研-数据源（P3单独执行） '!BA121*0.4</f>
        <v>0.704</v>
      </c>
      <c r="BA121" s="99">
        <f t="shared" ref="BA121:BA137" si="54">(BC121*AX121-$AZ$118*AX121-AY121*5900-AZ121*3400-BB121*300)/1200</f>
        <v>2.872</v>
      </c>
      <c r="BB121" s="274">
        <f>'【国内】问卷调研-数据源（P3单独执行） '!BB121*1.3</f>
        <v>2.08</v>
      </c>
      <c r="BC121" s="275">
        <f>'【国内】问卷调研-数据源（P3单独执行） '!BC121</f>
        <v>6488</v>
      </c>
    </row>
    <row r="122" spans="2:55">
      <c r="B122" s="1">
        <v>101</v>
      </c>
      <c r="C122" s="99">
        <v>0</v>
      </c>
      <c r="D122" s="99">
        <f>'【国内】问卷调研-数据源（P3单独执行） '!E122*0.4</f>
        <v>0.304</v>
      </c>
      <c r="E122" s="99">
        <f t="shared" si="48"/>
        <v>1.217</v>
      </c>
      <c r="F122" s="274">
        <f>'【国内】问卷调研-数据源（P3单独执行） '!F122*1.3</f>
        <v>1.3</v>
      </c>
      <c r="G122" s="275">
        <f>'【国内】问卷调研-数据源（P3单独执行） '!G122</f>
        <v>40.5544554455445</v>
      </c>
      <c r="I122" s="276"/>
      <c r="J122" s="1">
        <v>101</v>
      </c>
      <c r="K122" s="99">
        <v>0</v>
      </c>
      <c r="L122" s="99">
        <f>'【国内】问卷调研-数据源（P3单独执行） '!M122*0.4</f>
        <v>0.344</v>
      </c>
      <c r="M122" s="99">
        <f t="shared" si="49"/>
        <v>1.3795</v>
      </c>
      <c r="N122" s="274">
        <f>'【国内】问卷调研-数据源（P3单独执行） '!N122*1.3</f>
        <v>1.43</v>
      </c>
      <c r="O122" s="275">
        <f>'【国内】问卷调研-数据源（P3单独执行） '!O122</f>
        <v>46.2178217821782</v>
      </c>
      <c r="Q122" s="276"/>
      <c r="R122" s="1">
        <v>101</v>
      </c>
      <c r="S122" s="99">
        <v>0</v>
      </c>
      <c r="T122" s="99">
        <f>'【国内】问卷调研-数据源（P3单独执行） '!U122*0.4</f>
        <v>0.384</v>
      </c>
      <c r="U122" s="99">
        <f t="shared" si="50"/>
        <v>1.542</v>
      </c>
      <c r="V122" s="274">
        <f>'【国内】问卷调研-数据源（P3单独执行） '!V122*1.3</f>
        <v>1.56</v>
      </c>
      <c r="W122" s="275">
        <f>'【国内】问卷调研-数据源（P3单独执行） '!W122</f>
        <v>51.8811881188119</v>
      </c>
      <c r="Y122" s="276"/>
      <c r="Z122" s="1">
        <v>101</v>
      </c>
      <c r="AA122" s="99">
        <v>0</v>
      </c>
      <c r="AB122" s="99">
        <f>'【国内】问卷调研-数据源（P3单独执行） '!AC122*0.4</f>
        <v>0.464</v>
      </c>
      <c r="AC122" s="99">
        <f t="shared" si="51"/>
        <v>1.8745</v>
      </c>
      <c r="AD122" s="274">
        <f>'【国内】问卷调研-数据源（P3单独执行） '!AD122*1.3</f>
        <v>1.69</v>
      </c>
      <c r="AE122" s="275">
        <f>'【国内】问卷调研-数据源（P3单独执行） '!AE122</f>
        <v>60.9108910891089</v>
      </c>
      <c r="AG122" s="276"/>
      <c r="AH122" s="1">
        <v>101</v>
      </c>
      <c r="AI122" s="99">
        <v>0</v>
      </c>
      <c r="AJ122" s="99">
        <f>'【国内】问卷调研-数据源（P3单独执行） '!AK122*0.4</f>
        <v>0.544</v>
      </c>
      <c r="AK122" s="99">
        <f t="shared" si="52"/>
        <v>2.207</v>
      </c>
      <c r="AL122" s="274">
        <f>'【国内】问卷调研-数据源（P3单独执行） '!AL122*1.3</f>
        <v>1.82</v>
      </c>
      <c r="AM122" s="275">
        <f>'【国内】问卷调研-数据源（P3单独执行） '!AM122</f>
        <v>69.9405940594059</v>
      </c>
      <c r="AO122" s="276"/>
      <c r="AP122" s="1">
        <v>101</v>
      </c>
      <c r="AQ122" s="99">
        <v>0</v>
      </c>
      <c r="AR122" s="99">
        <f>'【国内】问卷调研-数据源（P3单独执行） '!AS122*0.4</f>
        <v>0.624</v>
      </c>
      <c r="AS122" s="99">
        <f t="shared" si="53"/>
        <v>2.5395</v>
      </c>
      <c r="AT122" s="274">
        <f>'【国内】问卷调研-数据源（P3单独执行） '!AT122*1.3</f>
        <v>1.95</v>
      </c>
      <c r="AU122" s="275">
        <f>'【国内】问卷调研-数据源（P3单独执行） '!AU122</f>
        <v>78.970297029703</v>
      </c>
      <c r="AV122" s="1"/>
      <c r="AW122" s="276"/>
      <c r="AX122" s="1">
        <v>101</v>
      </c>
      <c r="AY122" s="99">
        <v>0</v>
      </c>
      <c r="AZ122" s="99">
        <f>'【国内】问卷调研-数据源（P3单独执行） '!BA122*0.4</f>
        <v>0.704</v>
      </c>
      <c r="BA122" s="99">
        <f t="shared" si="54"/>
        <v>2.872</v>
      </c>
      <c r="BB122" s="274">
        <f>'【国内】问卷调研-数据源（P3单独执行） '!BB122*1.3</f>
        <v>2.08</v>
      </c>
      <c r="BC122" s="275">
        <f>'【国内】问卷调研-数据源（P3单独执行） '!BC122</f>
        <v>88</v>
      </c>
    </row>
    <row r="123" spans="2:55">
      <c r="B123" s="1">
        <v>201</v>
      </c>
      <c r="C123" s="99">
        <f t="shared" ref="C121:C137" si="55">K123</f>
        <v>0.1</v>
      </c>
      <c r="D123" s="99">
        <f>'【国内】问卷调研-数据源（P3单独执行） '!E123*0.4</f>
        <v>0.4384</v>
      </c>
      <c r="E123" s="99">
        <f t="shared" si="48"/>
        <v>1.26653333333333</v>
      </c>
      <c r="F123" s="274">
        <f>'【国内】问卷调研-数据源（P3单独执行） '!F123*1.3</f>
        <v>1.82</v>
      </c>
      <c r="G123" s="275">
        <f>'【国内】问卷调研-数据源（P3单独执行） '!G123</f>
        <v>32.628855721393</v>
      </c>
      <c r="I123" s="276"/>
      <c r="J123" s="1">
        <v>201</v>
      </c>
      <c r="K123" s="99">
        <f t="shared" ref="K121:K137" si="56">S123</f>
        <v>0.1</v>
      </c>
      <c r="L123" s="99">
        <f>'【国内】问卷调研-数据源（P3单独执行） '!M123*0.4</f>
        <v>0.4784</v>
      </c>
      <c r="M123" s="99">
        <f t="shared" si="49"/>
        <v>1.42903333333333</v>
      </c>
      <c r="N123" s="274">
        <f>'【国内】问卷调研-数据源（P3单独执行） '!N123*1.3</f>
        <v>1.95</v>
      </c>
      <c r="O123" s="275">
        <f>'【国内】问卷调研-数据源（P3单独执行） '!O123</f>
        <v>36.4696517412935</v>
      </c>
      <c r="Q123" s="276"/>
      <c r="R123" s="1">
        <v>201</v>
      </c>
      <c r="S123" s="99">
        <f>AA123</f>
        <v>0.1</v>
      </c>
      <c r="T123" s="99">
        <f>'【国内】问卷调研-数据源（P3单独执行） '!U123*0.4</f>
        <v>0.5184</v>
      </c>
      <c r="U123" s="99">
        <f t="shared" si="50"/>
        <v>1.59153333333333</v>
      </c>
      <c r="V123" s="274">
        <f>'【国内】问卷调研-数据源（P3单独执行） '!V123*1.3</f>
        <v>2.08</v>
      </c>
      <c r="W123" s="275">
        <f>'【国内】问卷调研-数据源（P3单独执行） '!W123</f>
        <v>40.310447761194</v>
      </c>
      <c r="Y123" s="276"/>
      <c r="Z123" s="1">
        <v>201</v>
      </c>
      <c r="AA123" s="99">
        <f>AI123</f>
        <v>0.1</v>
      </c>
      <c r="AB123" s="99">
        <f>'【国内】问卷调研-数据源（P3单独执行） '!AC123*0.4</f>
        <v>0.5984</v>
      </c>
      <c r="AC123" s="99">
        <f t="shared" si="51"/>
        <v>1.92403333333333</v>
      </c>
      <c r="AD123" s="274">
        <f>'【国内】问卷调研-数据源（P3单独执行） '!AD123*1.3</f>
        <v>2.21</v>
      </c>
      <c r="AE123" s="275">
        <f>'【国内】问卷调研-数据源（P3单独执行） '!AE123</f>
        <v>45.8427860696518</v>
      </c>
      <c r="AG123" s="276"/>
      <c r="AH123" s="1">
        <v>201</v>
      </c>
      <c r="AI123" s="99">
        <f>'【国内】问卷调研-数据源（P3单独执行） '!AI123+0.1</f>
        <v>0.1</v>
      </c>
      <c r="AJ123" s="99">
        <f>'【国内】问卷调研-数据源（P3单独执行） '!AK123*0.4</f>
        <v>0.6784</v>
      </c>
      <c r="AK123" s="99">
        <f t="shared" si="52"/>
        <v>2.25653333333333</v>
      </c>
      <c r="AL123" s="274">
        <f>'【国内】问卷调研-数据源（P3单独执行） '!AL123*1.3</f>
        <v>2.34</v>
      </c>
      <c r="AM123" s="275">
        <f>'【国内】问卷调研-数据源（P3单独执行） '!AM123</f>
        <v>51.3751243781095</v>
      </c>
      <c r="AO123" s="276"/>
      <c r="AP123" s="1">
        <v>201</v>
      </c>
      <c r="AQ123" s="99">
        <f>'【国内】问卷调研-数据源（P3单独执行） '!AQ123+0.1</f>
        <v>0.1</v>
      </c>
      <c r="AR123" s="99">
        <f>'【国内】问卷调研-数据源（P3单独执行） '!AS123*0.4</f>
        <v>0.7584</v>
      </c>
      <c r="AS123" s="99">
        <f t="shared" si="53"/>
        <v>2.58903333333333</v>
      </c>
      <c r="AT123" s="274">
        <f>'【国内】问卷调研-数据源（P3单独执行） '!AT123*1.3</f>
        <v>2.47</v>
      </c>
      <c r="AU123" s="275">
        <f>'【国内】问卷调研-数据源（P3单独执行） '!AU123</f>
        <v>56.9074626865672</v>
      </c>
      <c r="AV123" s="1"/>
      <c r="AW123" s="276"/>
      <c r="AX123" s="1">
        <v>201</v>
      </c>
      <c r="AY123" s="99">
        <f>'【国内】问卷调研-数据源（P3单独执行） '!AY123+0.1</f>
        <v>0.1</v>
      </c>
      <c r="AZ123" s="99">
        <f>'【国内】问卷调研-数据源（P3单独执行） '!BA123*0.4</f>
        <v>0.8384</v>
      </c>
      <c r="BA123" s="99">
        <f t="shared" si="54"/>
        <v>2.92153333333333</v>
      </c>
      <c r="BB123" s="274">
        <f>'【国内】问卷调研-数据源（P3单独执行） '!BB123*1.3</f>
        <v>2.6</v>
      </c>
      <c r="BC123" s="275">
        <f>'【国内】问卷调研-数据源（P3单独执行） '!BC123</f>
        <v>62.4398009950249</v>
      </c>
    </row>
    <row r="124" spans="2:55">
      <c r="B124" s="1">
        <v>301</v>
      </c>
      <c r="C124" s="99">
        <f t="shared" si="55"/>
        <v>0.1</v>
      </c>
      <c r="D124" s="99">
        <f>'【国内】问卷调研-数据源（P3单独执行） '!E124*0.4</f>
        <v>0.528</v>
      </c>
      <c r="E124" s="99">
        <f t="shared" si="48"/>
        <v>1.63983333333333</v>
      </c>
      <c r="F124" s="274">
        <f>'【国内】问卷调研-数据源（P3单独执行） '!F124*1.3</f>
        <v>1.95</v>
      </c>
      <c r="G124" s="275">
        <f>'【国内】问卷调研-数据源（P3单独执行） '!G124</f>
        <v>28.4053156146179</v>
      </c>
      <c r="I124" s="276"/>
      <c r="J124" s="1">
        <v>301</v>
      </c>
      <c r="K124" s="99">
        <f t="shared" si="56"/>
        <v>0.1</v>
      </c>
      <c r="L124" s="99">
        <f>'【国内】问卷调研-数据源（P3单独执行） '!M124*0.4</f>
        <v>0.568</v>
      </c>
      <c r="M124" s="99">
        <f t="shared" si="49"/>
        <v>1.80233333333333</v>
      </c>
      <c r="N124" s="274">
        <f>'【国内】问卷调研-数据源（P3单独执行） '!N124*1.3</f>
        <v>2.08</v>
      </c>
      <c r="O124" s="275">
        <f>'【国内】问卷调研-数据源（P3单独执行） '!O124</f>
        <v>31.6345514950166</v>
      </c>
      <c r="Q124" s="276"/>
      <c r="R124" s="1">
        <v>301</v>
      </c>
      <c r="S124" s="99">
        <f>AA124</f>
        <v>0.1</v>
      </c>
      <c r="T124" s="99">
        <f>'【国内】问卷调研-数据源（P3单独执行） '!U124*0.4</f>
        <v>0.608</v>
      </c>
      <c r="U124" s="99">
        <f t="shared" si="50"/>
        <v>1.96483333333333</v>
      </c>
      <c r="V124" s="274">
        <f>'【国内】问卷调研-数据源（P3单独执行） '!V124*1.3</f>
        <v>2.21</v>
      </c>
      <c r="W124" s="275">
        <f>'【国内】问卷调研-数据源（P3单独执行） '!W124</f>
        <v>34.8637873754153</v>
      </c>
      <c r="Y124" s="276"/>
      <c r="Z124" s="1">
        <v>301</v>
      </c>
      <c r="AA124" s="99">
        <f>AI124</f>
        <v>0.1</v>
      </c>
      <c r="AB124" s="99">
        <f>'【国内】问卷调研-数据源（P3单独执行） '!AC124*0.4</f>
        <v>0.688</v>
      </c>
      <c r="AC124" s="99">
        <f t="shared" si="51"/>
        <v>2.29733333333333</v>
      </c>
      <c r="AD124" s="274">
        <f>'【国内】问卷调研-数据源（P3单独执行） '!AD124*1.3</f>
        <v>2.34</v>
      </c>
      <c r="AE124" s="275">
        <f>'【国内】问卷调研-数据源（P3单独执行） '!AE124</f>
        <v>39.2225913621263</v>
      </c>
      <c r="AG124" s="276"/>
      <c r="AH124" s="1">
        <v>301</v>
      </c>
      <c r="AI124" s="99">
        <f>'【国内】问卷调研-数据源（P3单独执行） '!AI124+0.1</f>
        <v>0.1</v>
      </c>
      <c r="AJ124" s="99">
        <f>'【国内】问卷调研-数据源（P3单独执行） '!AK124*0.4</f>
        <v>0.768</v>
      </c>
      <c r="AK124" s="99">
        <f t="shared" si="52"/>
        <v>2.62983333333333</v>
      </c>
      <c r="AL124" s="274">
        <f>'【国内】问卷调研-数据源（P3单独执行） '!AL124*1.3</f>
        <v>2.47</v>
      </c>
      <c r="AM124" s="275">
        <f>'【国内】问卷调研-数据源（P3单独执行） '!AM124</f>
        <v>43.5813953488372</v>
      </c>
      <c r="AO124" s="276"/>
      <c r="AP124" s="1">
        <v>301</v>
      </c>
      <c r="AQ124" s="99">
        <f>'【国内】问卷调研-数据源（P3单独执行） '!AQ124+0.1</f>
        <v>0.1</v>
      </c>
      <c r="AR124" s="99">
        <f>'【国内】问卷调研-数据源（P3单独执行） '!AS124*0.4</f>
        <v>0.848</v>
      </c>
      <c r="AS124" s="99">
        <f t="shared" si="53"/>
        <v>2.96233333333333</v>
      </c>
      <c r="AT124" s="274">
        <f>'【国内】问卷调研-数据源（P3单独执行） '!AT124*1.3</f>
        <v>2.6</v>
      </c>
      <c r="AU124" s="275">
        <f>'【国内】问卷调研-数据源（P3单独执行） '!AU124</f>
        <v>47.9401993355482</v>
      </c>
      <c r="AV124" s="1"/>
      <c r="AW124" s="276"/>
      <c r="AX124" s="1">
        <v>301</v>
      </c>
      <c r="AY124" s="99">
        <f>'【国内】问卷调研-数据源（P3单独执行） '!AY124+0.1</f>
        <v>0.1</v>
      </c>
      <c r="AZ124" s="99">
        <f>'【国内】问卷调研-数据源（P3单独执行） '!BA124*0.4</f>
        <v>0.928</v>
      </c>
      <c r="BA124" s="99">
        <f t="shared" si="54"/>
        <v>3.29483333333334</v>
      </c>
      <c r="BB124" s="274">
        <f>'【国内】问卷调研-数据源（P3单独执行） '!BB124*1.3</f>
        <v>2.73</v>
      </c>
      <c r="BC124" s="275">
        <f>'【国内】问卷调研-数据源（P3单独执行） '!BC124</f>
        <v>52.2990033222591</v>
      </c>
    </row>
    <row r="125" spans="2:55">
      <c r="B125" s="1">
        <v>501</v>
      </c>
      <c r="C125" s="99">
        <f t="shared" si="55"/>
        <v>0.4</v>
      </c>
      <c r="D125" s="99">
        <f>'【国内】问卷调研-数据源（P3单独执行） '!E125*0.4</f>
        <v>0.6624</v>
      </c>
      <c r="E125" s="99">
        <f t="shared" si="48"/>
        <v>2.20353333333333</v>
      </c>
      <c r="F125" s="274">
        <f>'【国内】问卷调研-数据源（P3单独执行） '!F125*1.3</f>
        <v>2.08</v>
      </c>
      <c r="G125" s="275">
        <f>'【国内】问卷调研-数据源（P3单独执行） '!G125</f>
        <v>27.7293413173653</v>
      </c>
      <c r="I125" s="276"/>
      <c r="J125" s="1">
        <v>501</v>
      </c>
      <c r="K125" s="99">
        <f t="shared" si="56"/>
        <v>0.4</v>
      </c>
      <c r="L125" s="99">
        <f>'【国内】问卷调研-数据源（P3单独执行） '!M125*0.4</f>
        <v>0.7024</v>
      </c>
      <c r="M125" s="99">
        <f t="shared" si="49"/>
        <v>2.36603333333333</v>
      </c>
      <c r="N125" s="274">
        <f>'【国内】问卷调研-数据源（P3单独执行） '!N125*1.3</f>
        <v>2.21</v>
      </c>
      <c r="O125" s="275">
        <f>'【国内】问卷调研-数据源（P3单独执行） '!O125</f>
        <v>30.4678642714571</v>
      </c>
      <c r="Q125" s="276"/>
      <c r="R125" s="1">
        <v>501</v>
      </c>
      <c r="S125" s="99">
        <f>'【国内】问卷调研-数据源（P3单独执行） '!S125+0.1</f>
        <v>0.4</v>
      </c>
      <c r="T125" s="99">
        <f>'【国内】问卷调研-数据源（P3单独执行） '!U125*0.4</f>
        <v>0.7424</v>
      </c>
      <c r="U125" s="99">
        <f t="shared" si="50"/>
        <v>2.52853333333333</v>
      </c>
      <c r="V125" s="274">
        <f>'【国内】问卷调研-数据源（P3单独执行） '!V125*1.3</f>
        <v>2.34</v>
      </c>
      <c r="W125" s="275">
        <f>'【国内】问卷调研-数据源（P3单独执行） '!W125</f>
        <v>33.2063872255489</v>
      </c>
      <c r="Y125" s="276"/>
      <c r="Z125" s="1">
        <v>501</v>
      </c>
      <c r="AA125" s="99">
        <f>'【国内】问卷调研-数据源（P3单独执行） '!AA125+0.1</f>
        <v>0.4</v>
      </c>
      <c r="AB125" s="99">
        <f>'【国内】问卷调研-数据源（P3单独执行） '!AC125*0.4</f>
        <v>0.8224</v>
      </c>
      <c r="AC125" s="99">
        <f t="shared" si="51"/>
        <v>2.86103333333333</v>
      </c>
      <c r="AD125" s="274">
        <f>'【国内】问卷调研-数据源（P3单独执行） '!AD125*1.3</f>
        <v>2.47</v>
      </c>
      <c r="AE125" s="275">
        <f>'【国内】问卷调研-数据源（P3单独执行） '!AE125</f>
        <v>36.6235528942116</v>
      </c>
      <c r="AG125" s="276"/>
      <c r="AH125" s="1">
        <v>501</v>
      </c>
      <c r="AI125" s="99">
        <f>'【国内】问卷调研-数据源（P3单独执行） '!AI125+0.1</f>
        <v>0.4</v>
      </c>
      <c r="AJ125" s="99">
        <f>'【国内】问卷调研-数据源（P3单独执行） '!AK125*0.4</f>
        <v>0.9024</v>
      </c>
      <c r="AK125" s="99">
        <f t="shared" si="52"/>
        <v>3.19353333333333</v>
      </c>
      <c r="AL125" s="274">
        <f>'【国内】问卷调研-数据源（P3单独执行） '!AL125*1.3</f>
        <v>2.6</v>
      </c>
      <c r="AM125" s="275">
        <f>'【国内】问卷调研-数据源（P3单独执行） '!AM125</f>
        <v>40.0407185628743</v>
      </c>
      <c r="AO125" s="276"/>
      <c r="AP125" s="1">
        <v>501</v>
      </c>
      <c r="AQ125" s="99">
        <f>'【国内】问卷调研-数据源（P3单独执行） '!AQ125+0.1</f>
        <v>0.4</v>
      </c>
      <c r="AR125" s="99">
        <f>'【国内】问卷调研-数据源（P3单独执行） '!AS125*0.4</f>
        <v>0.9824</v>
      </c>
      <c r="AS125" s="99">
        <f t="shared" si="53"/>
        <v>3.52603333333333</v>
      </c>
      <c r="AT125" s="274">
        <f>'【国内】问卷调研-数据源（P3单独执行） '!AT125*1.3</f>
        <v>2.73</v>
      </c>
      <c r="AU125" s="275">
        <f>'【国内】问卷调研-数据源（P3单独执行） '!AU125</f>
        <v>43.4578842315369</v>
      </c>
      <c r="AV125" s="1"/>
      <c r="AW125" s="276"/>
      <c r="AX125" s="1">
        <v>501</v>
      </c>
      <c r="AY125" s="99">
        <f>'【国内】问卷调研-数据源（P3单独执行） '!AY125+0.1</f>
        <v>0.4</v>
      </c>
      <c r="AZ125" s="99">
        <f>'【国内】问卷调研-数据源（P3单独执行） '!BA125*0.4</f>
        <v>1.0624</v>
      </c>
      <c r="BA125" s="99">
        <f t="shared" si="54"/>
        <v>3.85853333333333</v>
      </c>
      <c r="BB125" s="274">
        <f>'【国内】问卷调研-数据源（P3单独执行） '!BB125*1.3</f>
        <v>2.86</v>
      </c>
      <c r="BC125" s="275">
        <f>'【国内】问卷调研-数据源（P3单独执行） '!BC125</f>
        <v>46.8750499001996</v>
      </c>
    </row>
    <row r="126" spans="2:55">
      <c r="B126" s="1">
        <v>701</v>
      </c>
      <c r="C126" s="99">
        <f t="shared" si="55"/>
        <v>0.5</v>
      </c>
      <c r="D126" s="99">
        <f>'【国内】问卷调研-数据源（P3单独执行） '!E126*0.4</f>
        <v>0.752</v>
      </c>
      <c r="E126" s="99">
        <f t="shared" si="48"/>
        <v>2.08516666666667</v>
      </c>
      <c r="F126" s="274">
        <f>'【国内】问卷调研-数据源（P3单独执行） '!F126*1.3</f>
        <v>2.21</v>
      </c>
      <c r="G126" s="275">
        <f>'【国内】问卷调研-数据源（P3单独执行） '!G126</f>
        <v>24.3708987161198</v>
      </c>
      <c r="I126" s="276"/>
      <c r="J126" s="1">
        <v>701</v>
      </c>
      <c r="K126" s="99">
        <f t="shared" si="56"/>
        <v>0.5</v>
      </c>
      <c r="L126" s="99">
        <f>'【国内】问卷调研-数据源（P3单独执行） '!M126*0.4</f>
        <v>0.792</v>
      </c>
      <c r="M126" s="99">
        <f t="shared" si="49"/>
        <v>2.24766666666667</v>
      </c>
      <c r="N126" s="274">
        <f>'【国内】问卷调研-数据源（P3单独执行） '!N126*1.3</f>
        <v>2.34</v>
      </c>
      <c r="O126" s="275">
        <f>'【国内】问卷调研-数据源（P3单独执行） '!O126</f>
        <v>26.8987161198288</v>
      </c>
      <c r="Q126" s="276"/>
      <c r="R126" s="1">
        <v>701</v>
      </c>
      <c r="S126" s="99">
        <f>'【国内】问卷调研-数据源（P3单独执行） '!S126+0.2</f>
        <v>0.5</v>
      </c>
      <c r="T126" s="99">
        <f>'【国内】问卷调研-数据源（P3单独执行） '!U126*0.4</f>
        <v>0.832</v>
      </c>
      <c r="U126" s="99">
        <f t="shared" si="50"/>
        <v>2.41016666666667</v>
      </c>
      <c r="V126" s="274">
        <f>'【国内】问卷调研-数据源（P3单独执行） '!V126*1.3</f>
        <v>2.47</v>
      </c>
      <c r="W126" s="275">
        <f>'【国内】问卷调研-数据源（P3单独执行） '!W126</f>
        <v>29.4265335235378</v>
      </c>
      <c r="Y126" s="276"/>
      <c r="Z126" s="1">
        <v>701</v>
      </c>
      <c r="AA126" s="99">
        <f>'【国内】问卷调研-数据源（P3单独执行） '!AA126+0.2</f>
        <v>0.5</v>
      </c>
      <c r="AB126" s="99">
        <f>'【国内】问卷调研-数据源（P3单独执行） '!AC126*0.4</f>
        <v>0.912</v>
      </c>
      <c r="AC126" s="99">
        <f t="shared" si="51"/>
        <v>2.74266666666667</v>
      </c>
      <c r="AD126" s="274">
        <f>'【国内】问卷调研-数据源（P3单独执行） '!AD126*1.3</f>
        <v>2.6</v>
      </c>
      <c r="AE126" s="275">
        <f>'【国内】问卷调研-数据源（P3单独执行） '!AE126</f>
        <v>32.4393723252496</v>
      </c>
      <c r="AG126" s="276"/>
      <c r="AH126" s="1">
        <v>701</v>
      </c>
      <c r="AI126" s="99">
        <f>'【国内】问卷调研-数据源（P3单独执行） '!AI126+0.2</f>
        <v>0.5</v>
      </c>
      <c r="AJ126" s="99">
        <f>'【国内】问卷调研-数据源（P3单独执行） '!AK126*0.4</f>
        <v>0.992</v>
      </c>
      <c r="AK126" s="99">
        <f t="shared" si="52"/>
        <v>3.07516666666667</v>
      </c>
      <c r="AL126" s="274">
        <f>'【国内】问卷调研-数据源（P3单独执行） '!AL126*1.3</f>
        <v>2.73</v>
      </c>
      <c r="AM126" s="275">
        <f>'【国内】问卷调研-数据源（P3单独执行） '!AM126</f>
        <v>35.4522111269615</v>
      </c>
      <c r="AO126" s="276"/>
      <c r="AP126" s="1">
        <v>701</v>
      </c>
      <c r="AQ126" s="99">
        <f>'【国内】问卷调研-数据源（P3单独执行） '!AQ126+0.2</f>
        <v>0.5</v>
      </c>
      <c r="AR126" s="99">
        <f>'【国内】问卷调研-数据源（P3单独执行） '!AS126*0.4</f>
        <v>1.072</v>
      </c>
      <c r="AS126" s="99">
        <f t="shared" si="53"/>
        <v>3.40766666666667</v>
      </c>
      <c r="AT126" s="274">
        <f>'【国内】问卷调研-数据源（P3单独执行） '!AT126*1.3</f>
        <v>2.86</v>
      </c>
      <c r="AU126" s="275">
        <f>'【国内】问卷调研-数据源（P3单独执行） '!AU126</f>
        <v>38.4650499286733</v>
      </c>
      <c r="AV126" s="1"/>
      <c r="AW126" s="276"/>
      <c r="AX126" s="1">
        <v>701</v>
      </c>
      <c r="AY126" s="99">
        <f>'【国内】问卷调研-数据源（P3单独执行） '!AY126+0.2</f>
        <v>0.5</v>
      </c>
      <c r="AZ126" s="99">
        <f>'【国内】问卷调研-数据源（P3单独执行） '!BA126*0.4</f>
        <v>1.152</v>
      </c>
      <c r="BA126" s="99">
        <f t="shared" si="54"/>
        <v>3.74016666666667</v>
      </c>
      <c r="BB126" s="274">
        <f>'【国内】问卷调研-数据源（P3单独执行） '!BB126*1.3</f>
        <v>2.99</v>
      </c>
      <c r="BC126" s="275">
        <f>'【国内】问卷调研-数据源（P3单独执行） '!BC126</f>
        <v>41.4778887303852</v>
      </c>
    </row>
    <row r="127" spans="2:55">
      <c r="B127" s="1">
        <v>901</v>
      </c>
      <c r="C127" s="99">
        <f t="shared" si="55"/>
        <v>0.5</v>
      </c>
      <c r="D127" s="99">
        <f>'【国内】问卷调研-数据源（P3单独执行） '!E127*0.4</f>
        <v>0.8864</v>
      </c>
      <c r="E127" s="99">
        <f t="shared" si="48"/>
        <v>2.65636666666667</v>
      </c>
      <c r="F127" s="274">
        <f>'【国内】问卷调研-数据源（P3单独执行） '!F127*1.3</f>
        <v>2.21</v>
      </c>
      <c r="G127" s="275">
        <f>'【国内】问卷调研-数据源（P3单独执行） '!G127</f>
        <v>22.8927857935627</v>
      </c>
      <c r="I127" s="276"/>
      <c r="J127" s="1">
        <v>901</v>
      </c>
      <c r="K127" s="99">
        <f t="shared" si="56"/>
        <v>0.5</v>
      </c>
      <c r="L127" s="99">
        <f>'【国内】问卷调研-数据源（P3单独执行） '!M127*0.4</f>
        <v>0.9264</v>
      </c>
      <c r="M127" s="99">
        <f t="shared" si="49"/>
        <v>2.81886666666667</v>
      </c>
      <c r="N127" s="274">
        <f>'【国内】问卷调研-数据源（P3单独执行） '!N127*1.3</f>
        <v>2.34</v>
      </c>
      <c r="O127" s="275">
        <f>'【国内】问卷调研-数据源（P3单独执行） '!O127</f>
        <v>25.3034406215316</v>
      </c>
      <c r="Q127" s="276"/>
      <c r="R127" s="1">
        <v>901</v>
      </c>
      <c r="S127" s="99">
        <f>'【国内】问卷调研-数据源（P3单独执行） '!S127+0.2</f>
        <v>0.5</v>
      </c>
      <c r="T127" s="99">
        <f>'【国内】问卷调研-数据源（P3单独执行） '!U127*0.4</f>
        <v>0.9664</v>
      </c>
      <c r="U127" s="99">
        <f t="shared" si="50"/>
        <v>2.98136666666667</v>
      </c>
      <c r="V127" s="274">
        <f>'【国内】问卷调研-数据源（P3单独执行） '!V127*1.3</f>
        <v>2.47</v>
      </c>
      <c r="W127" s="275">
        <f>'【国内】问卷调研-数据源（P3单独执行） '!W127</f>
        <v>27.7140954495006</v>
      </c>
      <c r="Y127" s="276"/>
      <c r="Z127" s="1">
        <v>901</v>
      </c>
      <c r="AA127" s="99">
        <f>'【国内】问卷调研-数据源（P3单独执行） '!AA127+0.2</f>
        <v>0.5</v>
      </c>
      <c r="AB127" s="99">
        <f>'【国内】问卷调研-数据源（P3单独执行） '!AC127*0.4</f>
        <v>1.0464</v>
      </c>
      <c r="AC127" s="99">
        <f t="shared" si="51"/>
        <v>3.31386666666667</v>
      </c>
      <c r="AD127" s="274">
        <f>'【国内】问卷调研-数据源（P3单独执行） '!AD127*1.3</f>
        <v>2.6</v>
      </c>
      <c r="AE127" s="275">
        <f>'【国内】问卷调研-数据源（P3单独执行） '!AE127</f>
        <v>30.5021087680355</v>
      </c>
      <c r="AG127" s="276"/>
      <c r="AH127" s="1">
        <v>901</v>
      </c>
      <c r="AI127" s="99">
        <f>'【国内】问卷调研-数据源（P3单独执行） '!AI127+0.2</f>
        <v>0.5</v>
      </c>
      <c r="AJ127" s="99">
        <f>'【国内】问卷调研-数据源（P3单独执行） '!AK127*0.4</f>
        <v>1.1264</v>
      </c>
      <c r="AK127" s="99">
        <f t="shared" si="52"/>
        <v>3.64636666666667</v>
      </c>
      <c r="AL127" s="274">
        <f>'【国内】问卷调研-数据源（P3单独执行） '!AL127*1.3</f>
        <v>2.73</v>
      </c>
      <c r="AM127" s="275">
        <f>'【国内】问卷调研-数据源（P3单独执行） '!AM127</f>
        <v>33.2901220865705</v>
      </c>
      <c r="AO127" s="276"/>
      <c r="AP127" s="1">
        <v>901</v>
      </c>
      <c r="AQ127" s="99">
        <f>'【国内】问卷调研-数据源（P3单独执行） '!AQ127+0.2</f>
        <v>0.5</v>
      </c>
      <c r="AR127" s="99">
        <f>'【国内】问卷调研-数据源（P3单独执行） '!AS127*0.4</f>
        <v>1.2064</v>
      </c>
      <c r="AS127" s="99">
        <f t="shared" si="53"/>
        <v>3.97886666666667</v>
      </c>
      <c r="AT127" s="274">
        <f>'【国内】问卷调研-数据源（P3单独执行） '!AT127*1.3</f>
        <v>2.86</v>
      </c>
      <c r="AU127" s="275">
        <f>'【国内】问卷调研-数据源（P3单独执行） '!AU127</f>
        <v>36.0781354051054</v>
      </c>
      <c r="AV127" s="1"/>
      <c r="AW127" s="276"/>
      <c r="AX127" s="1">
        <v>901</v>
      </c>
      <c r="AY127" s="99">
        <f>'【国内】问卷调研-数据源（P3单独执行） '!AY127+0.2</f>
        <v>0.5</v>
      </c>
      <c r="AZ127" s="99">
        <f>'【国内】问卷调研-数据源（P3单独执行） '!BA127*0.4</f>
        <v>1.2864</v>
      </c>
      <c r="BA127" s="99">
        <f t="shared" si="54"/>
        <v>4.31136666666667</v>
      </c>
      <c r="BB127" s="274">
        <f>'【国内】问卷调研-数据源（P3单独执行） '!BB127*1.3</f>
        <v>2.99</v>
      </c>
      <c r="BC127" s="275">
        <f>'【国内】问卷调研-数据源（P3单独执行） '!BC127</f>
        <v>38.8661487236404</v>
      </c>
    </row>
    <row r="128" spans="2:55">
      <c r="B128" s="1">
        <v>1001</v>
      </c>
      <c r="C128" s="99">
        <f t="shared" si="55"/>
        <v>0.6</v>
      </c>
      <c r="D128" s="99">
        <f>'【国内】问卷调研-数据源（P3单独执行） '!E128*0.4</f>
        <v>0.976</v>
      </c>
      <c r="E128" s="99">
        <f t="shared" si="48"/>
        <v>3.02216666666667</v>
      </c>
      <c r="F128" s="274">
        <f>'【国内】问卷调研-数据源（P3单独执行） '!F128*1.3</f>
        <v>2.47</v>
      </c>
      <c r="G128" s="275">
        <f>'【国内】问卷调研-数据源（P3单独执行） '!G128</f>
        <v>23.2147852147852</v>
      </c>
      <c r="I128" s="276"/>
      <c r="J128" s="1">
        <v>1001</v>
      </c>
      <c r="K128" s="99">
        <f t="shared" si="56"/>
        <v>0.6</v>
      </c>
      <c r="L128" s="99">
        <f>'【国内】问卷调研-数据源（P3单独执行） '!M128*0.4</f>
        <v>1.016</v>
      </c>
      <c r="M128" s="99">
        <f t="shared" si="49"/>
        <v>3.18466666666667</v>
      </c>
      <c r="N128" s="274">
        <f>'【国内】问卷调研-数据源（P3单独执行） '!N128*1.3</f>
        <v>2.6</v>
      </c>
      <c r="O128" s="275">
        <f>'【国内】问卷调研-数据源（P3单独执行） '!O128</f>
        <v>25.5844155844156</v>
      </c>
      <c r="Q128" s="276"/>
      <c r="R128" s="1">
        <v>1001</v>
      </c>
      <c r="S128" s="99">
        <f>'【国内】问卷调研-数据源（P3单独执行） '!S128+0.2</f>
        <v>0.6</v>
      </c>
      <c r="T128" s="99">
        <f>'【国内】问卷调研-数据源（P3单独执行） '!U128*0.4</f>
        <v>1.056</v>
      </c>
      <c r="U128" s="99">
        <f t="shared" si="50"/>
        <v>3.34716666666667</v>
      </c>
      <c r="V128" s="274">
        <f>'【国内】问卷调研-数据源（P3单独执行） '!V128*1.3</f>
        <v>2.73</v>
      </c>
      <c r="W128" s="275">
        <f>'【国内】问卷调研-数据源（P3单独执行） '!W128</f>
        <v>27.954045954046</v>
      </c>
      <c r="Y128" s="276"/>
      <c r="Z128" s="1">
        <v>1001</v>
      </c>
      <c r="AA128" s="99">
        <f>'【国内】问卷调研-数据源（P3单独执行） '!AA128+0.2</f>
        <v>0.6</v>
      </c>
      <c r="AB128" s="99">
        <f>'【国内】问卷调研-数据源（P3单独执行） '!AC128*0.4</f>
        <v>1.136</v>
      </c>
      <c r="AC128" s="99">
        <f t="shared" si="51"/>
        <v>3.67966666666667</v>
      </c>
      <c r="AD128" s="274">
        <f>'【国内】问卷调研-数据源（P3单独执行） '!AD128*1.3</f>
        <v>2.86</v>
      </c>
      <c r="AE128" s="275">
        <f>'【国内】问卷调研-数据源（P3单独执行） '!AE128</f>
        <v>30.6633366633367</v>
      </c>
      <c r="AG128" s="276"/>
      <c r="AH128" s="1">
        <v>1001</v>
      </c>
      <c r="AI128" s="99">
        <f>'【国内】问卷调研-数据源（P3单独执行） '!AI128+0.2</f>
        <v>0.6</v>
      </c>
      <c r="AJ128" s="99">
        <f>'【国内】问卷调研-数据源（P3单独执行） '!AK128*0.4</f>
        <v>1.216</v>
      </c>
      <c r="AK128" s="99">
        <f t="shared" si="52"/>
        <v>4.01216666666667</v>
      </c>
      <c r="AL128" s="274">
        <f>'【国内】问卷调研-数据源（P3单独执行） '!AL128*1.3</f>
        <v>2.99</v>
      </c>
      <c r="AM128" s="275">
        <f>'【国内】问卷调研-数据源（P3单独执行） '!AM128</f>
        <v>33.3726273726274</v>
      </c>
      <c r="AO128" s="276"/>
      <c r="AP128" s="1">
        <v>1001</v>
      </c>
      <c r="AQ128" s="99">
        <f>'【国内】问卷调研-数据源（P3单独执行） '!AQ128+0.2</f>
        <v>0.6</v>
      </c>
      <c r="AR128" s="99">
        <f>'【国内】问卷调研-数据源（P3单独执行） '!AS128*0.4</f>
        <v>1.296</v>
      </c>
      <c r="AS128" s="99">
        <f t="shared" si="53"/>
        <v>4.34466666666667</v>
      </c>
      <c r="AT128" s="274">
        <f>'【国内】问卷调研-数据源（P3单独执行） '!AT128*1.3</f>
        <v>3.12</v>
      </c>
      <c r="AU128" s="275">
        <f>'【国内】问卷调研-数据源（P3单独执行） '!AU128</f>
        <v>36.0819180819181</v>
      </c>
      <c r="AV128" s="1"/>
      <c r="AW128" s="276"/>
      <c r="AX128" s="1">
        <v>1001</v>
      </c>
      <c r="AY128" s="99">
        <f>'【国内】问卷调研-数据源（P3单独执行） '!AY128+0.2</f>
        <v>0.6</v>
      </c>
      <c r="AZ128" s="99">
        <f>'【国内】问卷调研-数据源（P3单独执行） '!BA128*0.4</f>
        <v>1.376</v>
      </c>
      <c r="BA128" s="99">
        <f t="shared" si="54"/>
        <v>4.67716666666667</v>
      </c>
      <c r="BB128" s="274">
        <f>'【国内】问卷调研-数据源（P3单独执行） '!BB128*1.3</f>
        <v>3.25</v>
      </c>
      <c r="BC128" s="275">
        <f>'【国内】问卷调研-数据源（P3单独执行） '!BC128</f>
        <v>38.7912087912088</v>
      </c>
    </row>
    <row r="129" spans="2:55">
      <c r="B129" s="1">
        <v>1201</v>
      </c>
      <c r="C129" s="99">
        <f t="shared" si="55"/>
        <v>0.6</v>
      </c>
      <c r="D129" s="99">
        <f>'【国内】问卷调研-数据源（P3单独执行） '!E129*0.4</f>
        <v>1.0208</v>
      </c>
      <c r="E129" s="99">
        <f t="shared" si="48"/>
        <v>3.19756666666666</v>
      </c>
      <c r="F129" s="274">
        <f>'【国内】问卷调研-数据源（P3单独执行） '!F129*1.3</f>
        <v>2.73</v>
      </c>
      <c r="G129" s="275">
        <f>'【国内】问卷调研-数据源（P3单独执行） '!G129</f>
        <v>21.7142381348876</v>
      </c>
      <c r="I129" s="276"/>
      <c r="J129" s="1">
        <v>1201</v>
      </c>
      <c r="K129" s="99">
        <f t="shared" si="56"/>
        <v>0.6</v>
      </c>
      <c r="L129" s="99">
        <f>'【国内】问卷调研-数据源（P3单独执行） '!M129*0.4</f>
        <v>1.0608</v>
      </c>
      <c r="M129" s="99">
        <f t="shared" si="49"/>
        <v>3.36006666666667</v>
      </c>
      <c r="N129" s="274">
        <f>'【国内】问卷调研-数据源（P3单独执行） '!N129*1.3</f>
        <v>2.86</v>
      </c>
      <c r="O129" s="275">
        <f>'【国内】问卷调研-数据源（P3单独执行） '!O129</f>
        <v>24.0223147377186</v>
      </c>
      <c r="Q129" s="276"/>
      <c r="R129" s="1">
        <v>1201</v>
      </c>
      <c r="S129" s="99">
        <f>'【国内】问卷调研-数据源（P3单独执行） '!S129+0.2</f>
        <v>0.6</v>
      </c>
      <c r="T129" s="99">
        <f>'【国内】问卷调研-数据源（P3单独执行） '!U129*0.4</f>
        <v>1.1008</v>
      </c>
      <c r="U129" s="99">
        <f t="shared" si="50"/>
        <v>3.52256666666667</v>
      </c>
      <c r="V129" s="274">
        <f>'【国内】问卷调研-数据源（P3单独执行） '!V129*1.3</f>
        <v>2.99</v>
      </c>
      <c r="W129" s="275">
        <f>'【国内】问卷调研-数据源（P3单独执行） '!W129</f>
        <v>26.3303913405495</v>
      </c>
      <c r="Y129" s="276"/>
      <c r="Z129" s="1">
        <v>1201</v>
      </c>
      <c r="AA129" s="99">
        <f>'【国内】问卷调研-数据源（P3单独执行） '!AA129+0.2</f>
        <v>0.6</v>
      </c>
      <c r="AB129" s="99">
        <f>'【国内】问卷调研-数据源（P3单独执行） '!AC129*0.4</f>
        <v>1.1808</v>
      </c>
      <c r="AC129" s="99">
        <f t="shared" si="51"/>
        <v>3.85506666666667</v>
      </c>
      <c r="AD129" s="274">
        <f>'【国内】问卷调研-数据源（P3单独执行） '!AD129*1.3</f>
        <v>3.12</v>
      </c>
      <c r="AE129" s="275">
        <f>'【国内】问卷调研-数据源（P3单独执行） '!AE129</f>
        <v>28.9215653621982</v>
      </c>
      <c r="AG129" s="276"/>
      <c r="AH129" s="1">
        <v>1201</v>
      </c>
      <c r="AI129" s="99">
        <f>'【国内】问卷调研-数据源（P3单独执行） '!AI129+0.2</f>
        <v>0.6</v>
      </c>
      <c r="AJ129" s="99">
        <f>'【国内】问卷调研-数据源（P3单独执行） '!AK129*0.4</f>
        <v>1.2608</v>
      </c>
      <c r="AK129" s="99">
        <f t="shared" si="52"/>
        <v>4.18756666666667</v>
      </c>
      <c r="AL129" s="274">
        <f>'【国内】问卷调研-数据源（P3单独执行） '!AL129*1.3</f>
        <v>3.25</v>
      </c>
      <c r="AM129" s="275">
        <f>'【国内】问卷调研-数据源（P3单独执行） '!AM129</f>
        <v>31.5127393838468</v>
      </c>
      <c r="AO129" s="276"/>
      <c r="AP129" s="1">
        <v>1201</v>
      </c>
      <c r="AQ129" s="99">
        <f>'【国内】问卷调研-数据源（P3单独执行） '!AQ129+0.2</f>
        <v>0.6</v>
      </c>
      <c r="AR129" s="99">
        <f>'【国内】问卷调研-数据源（P3单独执行） '!AS129*0.4</f>
        <v>1.3408</v>
      </c>
      <c r="AS129" s="99">
        <f t="shared" si="53"/>
        <v>4.52006666666667</v>
      </c>
      <c r="AT129" s="274">
        <f>'【国内】问卷调研-数据源（P3单独执行） '!AT129*1.3</f>
        <v>3.38</v>
      </c>
      <c r="AU129" s="275">
        <f>'【国内】问卷调研-数据源（P3单独执行） '!AU129</f>
        <v>34.1039134054954</v>
      </c>
      <c r="AV129" s="1"/>
      <c r="AW129" s="276"/>
      <c r="AX129" s="1">
        <v>1201</v>
      </c>
      <c r="AY129" s="99">
        <f>'【国内】问卷调研-数据源（P3单独执行） '!AY129+0.2</f>
        <v>0.6</v>
      </c>
      <c r="AZ129" s="99">
        <f>'【国内】问卷调研-数据源（P3单独执行） '!BA129*0.4</f>
        <v>1.4208</v>
      </c>
      <c r="BA129" s="99">
        <f t="shared" si="54"/>
        <v>4.85256666666667</v>
      </c>
      <c r="BB129" s="274">
        <f>'【国内】问卷调研-数据源（P3单独执行） '!BB129*1.3</f>
        <v>3.51</v>
      </c>
      <c r="BC129" s="275">
        <f>'【国内】问卷调研-数据源（P3单独执行） '!BC129</f>
        <v>36.6950874271441</v>
      </c>
    </row>
    <row r="130" spans="2:55">
      <c r="B130" s="1">
        <v>1401</v>
      </c>
      <c r="C130" s="99">
        <f t="shared" si="55"/>
        <v>0.6</v>
      </c>
      <c r="D130" s="99">
        <f>'【国内】问卷调研-数据源（P3单独执行） '!E130*0.6</f>
        <v>1.5984</v>
      </c>
      <c r="E130" s="99">
        <f t="shared" si="48"/>
        <v>1.87086666666667</v>
      </c>
      <c r="F130" s="274">
        <f>'【国内】问卷调研-数据源（P3单独执行） '!F130*1.3</f>
        <v>2.86</v>
      </c>
      <c r="G130" s="275">
        <f>'【国内】问卷调研-数据源（P3单独执行） '!G130</f>
        <v>20.6206995003569</v>
      </c>
      <c r="I130" s="276"/>
      <c r="J130" s="1">
        <v>1401</v>
      </c>
      <c r="K130" s="99">
        <f t="shared" si="56"/>
        <v>0.6</v>
      </c>
      <c r="L130" s="99">
        <f>'【国内】问卷调研-数据源（P3单独执行） '!M130*0.6</f>
        <v>1.6584</v>
      </c>
      <c r="M130" s="99">
        <f t="shared" si="49"/>
        <v>1.9767</v>
      </c>
      <c r="N130" s="274">
        <f>'【国内】问卷调研-数据源（P3单独执行） '!N130*1.3</f>
        <v>2.99</v>
      </c>
      <c r="O130" s="275">
        <f>'【国内】问卷调研-数据源（P3单独执行） '!O130</f>
        <v>22.8847965738758</v>
      </c>
      <c r="Q130" s="276"/>
      <c r="R130" s="1">
        <v>1401</v>
      </c>
      <c r="S130" s="99">
        <f>'【国内】问卷调研-数据源（P3单独执行） '!S130+0.2</f>
        <v>0.6</v>
      </c>
      <c r="T130" s="99">
        <f>'【国内】问卷调研-数据源（P3单独执行） '!U130*0.6</f>
        <v>1.7184</v>
      </c>
      <c r="U130" s="99">
        <f t="shared" si="50"/>
        <v>2.08253333333333</v>
      </c>
      <c r="V130" s="274">
        <f>'【国内】问卷调研-数据源（P3单独执行） '!V130*1.3</f>
        <v>3.12</v>
      </c>
      <c r="W130" s="275">
        <f>'【国内】问卷调研-数据源（P3单独执行） '!W130</f>
        <v>25.1488936473947</v>
      </c>
      <c r="Y130" s="276"/>
      <c r="Z130" s="1">
        <v>1401</v>
      </c>
      <c r="AA130" s="99">
        <f>'【国内】问卷调研-数据源（P3单独执行） '!AA130+0.2</f>
        <v>0.6</v>
      </c>
      <c r="AB130" s="99">
        <f>'【国内】问卷调研-数据源（P3单独执行） '!AC130*0.6</f>
        <v>1.8384</v>
      </c>
      <c r="AC130" s="99">
        <f t="shared" si="51"/>
        <v>2.3017</v>
      </c>
      <c r="AD130" s="274">
        <f>'【国内】问卷调研-数据源（P3单独执行） '!AD130*1.3</f>
        <v>3.25</v>
      </c>
      <c r="AE130" s="275">
        <f>'【国内】问卷调研-数据源（P3单独执行） '!AE130</f>
        <v>27.6556745182013</v>
      </c>
      <c r="AG130" s="276"/>
      <c r="AH130" s="1">
        <v>1401</v>
      </c>
      <c r="AI130" s="99">
        <f>'【国内】问卷调研-数据源（P3单独执行） '!AI130+0.2</f>
        <v>0.6</v>
      </c>
      <c r="AJ130" s="99">
        <f>'【国内】问卷调研-数据源（P3单独执行） '!AK130*0.6</f>
        <v>1.9584</v>
      </c>
      <c r="AK130" s="99">
        <f t="shared" si="52"/>
        <v>2.52086666666667</v>
      </c>
      <c r="AL130" s="274">
        <f>'【国内】问卷调研-数据源（P3单独执行） '!AL130*1.3</f>
        <v>3.38</v>
      </c>
      <c r="AM130" s="275">
        <f>'【国内】问卷调研-数据源（P3单独执行） '!AM130</f>
        <v>30.1624553890079</v>
      </c>
      <c r="AO130" s="276"/>
      <c r="AP130" s="1">
        <v>1401</v>
      </c>
      <c r="AQ130" s="99">
        <f>'【国内】问卷调研-数据源（P3单独执行） '!AQ130+0.2</f>
        <v>0.6</v>
      </c>
      <c r="AR130" s="99">
        <f>'【国内】问卷调研-数据源（P3单独执行） '!AS130*0.6</f>
        <v>2.0784</v>
      </c>
      <c r="AS130" s="99">
        <f t="shared" si="53"/>
        <v>2.74003333333334</v>
      </c>
      <c r="AT130" s="274">
        <f>'【国内】问卷调研-数据源（P3单独执行） '!AT130*1.3</f>
        <v>3.51</v>
      </c>
      <c r="AU130" s="275">
        <f>'【国内】问卷调研-数据源（P3单独执行） '!AU130</f>
        <v>32.6692362598144</v>
      </c>
      <c r="AV130" s="1"/>
      <c r="AW130" s="276"/>
      <c r="AX130" s="1">
        <v>1401</v>
      </c>
      <c r="AY130" s="99">
        <f>'【国内】问卷调研-数据源（P3单独执行） '!AY130+0.2</f>
        <v>0.6</v>
      </c>
      <c r="AZ130" s="99">
        <f>'【国内】问卷调研-数据源（P3单独执行） '!BA130*0.6</f>
        <v>2.1984</v>
      </c>
      <c r="BA130" s="99">
        <f t="shared" si="54"/>
        <v>2.9592</v>
      </c>
      <c r="BB130" s="274">
        <f>'【国内】问卷调研-数据源（P3单独执行） '!BB130*1.3</f>
        <v>3.64</v>
      </c>
      <c r="BC130" s="275">
        <f>'【国内】问卷调研-数据源（P3单独执行） '!BC130</f>
        <v>35.176017130621</v>
      </c>
    </row>
    <row r="131" spans="2:55">
      <c r="B131" s="1">
        <v>1601</v>
      </c>
      <c r="C131" s="99">
        <f t="shared" si="55"/>
        <v>0.6</v>
      </c>
      <c r="D131" s="99">
        <f>'【国内】问卷调研-数据源（P3单独执行） '!E131*0.6</f>
        <v>1.7328</v>
      </c>
      <c r="E131" s="99">
        <f t="shared" si="48"/>
        <v>2.12473333333333</v>
      </c>
      <c r="F131" s="274">
        <f>'【国内】问卷调研-数据源（P3单独执行） '!F131*1.3</f>
        <v>2.86</v>
      </c>
      <c r="G131" s="275">
        <f>'【国内】问卷调研-数据源（P3单独执行） '!G131</f>
        <v>20.0194878201124</v>
      </c>
      <c r="I131" s="276"/>
      <c r="J131" s="1">
        <v>1601</v>
      </c>
      <c r="K131" s="99">
        <f t="shared" si="56"/>
        <v>0.6</v>
      </c>
      <c r="L131" s="99">
        <f>'【国内】问卷调研-数据源（P3单独执行） '!M131*0.6</f>
        <v>1.7928</v>
      </c>
      <c r="M131" s="99">
        <f t="shared" si="49"/>
        <v>2.23056666666666</v>
      </c>
      <c r="N131" s="274">
        <f>'【国内】问卷调研-数据源（P3单独执行） '!N131*1.3</f>
        <v>2.99</v>
      </c>
      <c r="O131" s="275">
        <f>'【国内】问卷调研-数据源（P3单独执行） '!O131</f>
        <v>22.250593379138</v>
      </c>
      <c r="Q131" s="276"/>
      <c r="R131" s="1">
        <v>1601</v>
      </c>
      <c r="S131" s="99">
        <f>'【国内】问卷调研-数据源（P3单独执行） '!S131+0.2</f>
        <v>0.6</v>
      </c>
      <c r="T131" s="99">
        <f>'【国内】问卷调研-数据源（P3单独执行） '!U131*0.6</f>
        <v>1.8528</v>
      </c>
      <c r="U131" s="99">
        <f t="shared" si="50"/>
        <v>2.3364</v>
      </c>
      <c r="V131" s="274">
        <f>'【国内】问卷调研-数据源（P3单独执行） '!V131*1.3</f>
        <v>3.12</v>
      </c>
      <c r="W131" s="275">
        <f>'【国内】问卷调研-数据源（P3单独执行） '!W131</f>
        <v>24.4816989381636</v>
      </c>
      <c r="Y131" s="276"/>
      <c r="Z131" s="1">
        <v>1601</v>
      </c>
      <c r="AA131" s="99">
        <f>'【国内】问卷调研-数据源（P3单独执行） '!AA131+0.2</f>
        <v>0.6</v>
      </c>
      <c r="AB131" s="99">
        <f>'【国内】问卷调研-数据源（P3单独执行） '!AC131*0.6</f>
        <v>1.9728</v>
      </c>
      <c r="AC131" s="99">
        <f t="shared" si="51"/>
        <v>2.55556666666667</v>
      </c>
      <c r="AD131" s="274">
        <f>'【国内】问卷调研-数据源（P3单独执行） '!AD131*1.3</f>
        <v>3.25</v>
      </c>
      <c r="AE131" s="275">
        <f>'【国内】问卷调研-数据源（P3单独执行） '!AE131</f>
        <v>26.9251717676452</v>
      </c>
      <c r="AG131" s="276"/>
      <c r="AH131" s="1">
        <v>1601</v>
      </c>
      <c r="AI131" s="99">
        <f>'【国内】问卷调研-数据源（P3单独执行） '!AI131+0.2</f>
        <v>0.6</v>
      </c>
      <c r="AJ131" s="99">
        <f>'【国内】问卷调研-数据源（P3单独执行） '!AK131*0.6</f>
        <v>2.0928</v>
      </c>
      <c r="AK131" s="99">
        <f t="shared" si="52"/>
        <v>2.77473333333334</v>
      </c>
      <c r="AL131" s="274">
        <f>'【国内】问卷调研-数据源（P3单独执行） '!AL131*1.3</f>
        <v>3.38</v>
      </c>
      <c r="AM131" s="275">
        <f>'【国内】问卷调研-数据源（P3单独执行） '!AM131</f>
        <v>29.3686445971268</v>
      </c>
      <c r="AO131" s="276"/>
      <c r="AP131" s="1">
        <v>1601</v>
      </c>
      <c r="AQ131" s="99">
        <f>'【国内】问卷调研-数据源（P3单独执行） '!AQ131+0.2</f>
        <v>0.6</v>
      </c>
      <c r="AR131" s="99">
        <f>'【国内】问卷调研-数据源（P3单独执行） '!AS131*0.6</f>
        <v>2.2128</v>
      </c>
      <c r="AS131" s="99">
        <f t="shared" si="53"/>
        <v>2.9939</v>
      </c>
      <c r="AT131" s="274">
        <f>'【国内】问卷调研-数据源（P3单独执行） '!AT131*1.3</f>
        <v>3.51</v>
      </c>
      <c r="AU131" s="275">
        <f>'【国内】问卷调研-数据源（P3单独执行） '!AU131</f>
        <v>31.8121174266084</v>
      </c>
      <c r="AV131" s="1"/>
      <c r="AW131" s="276"/>
      <c r="AX131" s="1">
        <v>1601</v>
      </c>
      <c r="AY131" s="99">
        <f>'【国内】问卷调研-数据源（P3单独执行） '!AY131+0.2</f>
        <v>0.6</v>
      </c>
      <c r="AZ131" s="99">
        <f>'【国内】问卷调研-数据源（P3单独执行） '!BA131*0.6</f>
        <v>2.3328</v>
      </c>
      <c r="BA131" s="99">
        <f t="shared" si="54"/>
        <v>3.21306666666667</v>
      </c>
      <c r="BB131" s="274">
        <f>'【国内】问卷调研-数据源（P3单独执行） '!BB131*1.3</f>
        <v>3.64</v>
      </c>
      <c r="BC131" s="275">
        <f>'【国内】问卷调研-数据源（P3单独执行） '!BC131</f>
        <v>34.2555902560899</v>
      </c>
    </row>
    <row r="132" spans="2:55">
      <c r="B132" s="1">
        <v>1801</v>
      </c>
      <c r="C132" s="99">
        <f t="shared" si="55"/>
        <v>0.6</v>
      </c>
      <c r="D132" s="99">
        <f>'【国内】问卷调研-数据源（P3单独执行） '!E132*0.6</f>
        <v>1.8672</v>
      </c>
      <c r="E132" s="99">
        <f t="shared" si="48"/>
        <v>2.3786</v>
      </c>
      <c r="F132" s="274">
        <f>'【国内】问卷调研-数据源（P3单独执行） '!F132*1.3</f>
        <v>2.86</v>
      </c>
      <c r="G132" s="275">
        <f>'【国内】问卷调研-数据源（P3单独执行） '!G132</f>
        <v>19.5518045530261</v>
      </c>
      <c r="I132" s="276"/>
      <c r="J132" s="1">
        <v>1801</v>
      </c>
      <c r="K132" s="99">
        <f t="shared" si="56"/>
        <v>0.6</v>
      </c>
      <c r="L132" s="99">
        <f>'【国内】问卷调研-数据源（P3单独执行） '!M132*0.6</f>
        <v>1.9272</v>
      </c>
      <c r="M132" s="99">
        <f t="shared" si="49"/>
        <v>2.48443333333334</v>
      </c>
      <c r="N132" s="274">
        <f>'【国内】问卷调研-数据源（P3单独执行） '!N132*1.3</f>
        <v>2.99</v>
      </c>
      <c r="O132" s="275">
        <f>'【国内】问卷调研-数据源（P3单独执行） '!O132</f>
        <v>21.7572459744586</v>
      </c>
      <c r="Q132" s="276"/>
      <c r="R132" s="1">
        <v>1801</v>
      </c>
      <c r="S132" s="99">
        <f>'【国内】问卷调研-数据源（P3单独执行） '!S132+0.2</f>
        <v>0.6</v>
      </c>
      <c r="T132" s="99">
        <f>'【国内】问卷调研-数据源（P3单独执行） '!U132*0.6</f>
        <v>1.9872</v>
      </c>
      <c r="U132" s="99">
        <f t="shared" si="50"/>
        <v>2.59026666666667</v>
      </c>
      <c r="V132" s="274">
        <f>'【国内】问卷调研-数据源（P3单独执行） '!V132*1.3</f>
        <v>3.12</v>
      </c>
      <c r="W132" s="275">
        <f>'【国内】问卷调研-数据源（P3单独执行） '!W132</f>
        <v>23.9626873958912</v>
      </c>
      <c r="Y132" s="276"/>
      <c r="Z132" s="1">
        <v>1801</v>
      </c>
      <c r="AA132" s="99">
        <f>'【国内】问卷调研-数据源（P3单独执行） '!AA132+0.2</f>
        <v>0.6</v>
      </c>
      <c r="AB132" s="99">
        <f>'【国内】问卷调研-数据源（P3单独执行） '!AC132*0.6</f>
        <v>2.1072</v>
      </c>
      <c r="AC132" s="99">
        <f t="shared" si="51"/>
        <v>2.80943333333334</v>
      </c>
      <c r="AD132" s="274">
        <f>'【国内】问卷调研-数据源（P3单独执行） '!AD132*1.3</f>
        <v>3.25</v>
      </c>
      <c r="AE132" s="275">
        <f>'【国内】问卷调研-数据源（P3单独执行） '!AE132</f>
        <v>26.3569128262077</v>
      </c>
      <c r="AG132" s="276"/>
      <c r="AH132" s="1">
        <v>1801</v>
      </c>
      <c r="AI132" s="99">
        <f>'【国内】问卷调研-数据源（P3单独执行） '!AI132+0.2</f>
        <v>0.6</v>
      </c>
      <c r="AJ132" s="99">
        <f>'【国内】问卷调研-数据源（P3单独执行） '!AK132*0.6</f>
        <v>2.2272</v>
      </c>
      <c r="AK132" s="99">
        <f t="shared" si="52"/>
        <v>3.0286</v>
      </c>
      <c r="AL132" s="274">
        <f>'【国内】问卷调研-数据源（P3单独执行） '!AL132*1.3</f>
        <v>3.38</v>
      </c>
      <c r="AM132" s="275">
        <f>'【国内】问卷调研-数据源（P3单独执行） '!AM132</f>
        <v>28.7511382565242</v>
      </c>
      <c r="AO132" s="276"/>
      <c r="AP132" s="1">
        <v>1801</v>
      </c>
      <c r="AQ132" s="99">
        <f>'【国内】问卷调研-数据源（P3单独执行） '!AQ132+0.2</f>
        <v>0.6</v>
      </c>
      <c r="AR132" s="99">
        <f>'【国内】问卷调研-数据源（P3单独执行） '!AS132*0.6</f>
        <v>2.3472</v>
      </c>
      <c r="AS132" s="99">
        <f t="shared" si="53"/>
        <v>3.24776666666667</v>
      </c>
      <c r="AT132" s="274">
        <f>'【国内】问卷调研-数据源（P3单独执行） '!AT132*1.3</f>
        <v>3.51</v>
      </c>
      <c r="AU132" s="275">
        <f>'【国内】问卷调研-数据源（P3单独执行） '!AU132</f>
        <v>31.1453636868406</v>
      </c>
      <c r="AV132" s="1"/>
      <c r="AW132" s="276"/>
      <c r="AX132" s="1">
        <v>1801</v>
      </c>
      <c r="AY132" s="99">
        <f>'【国内】问卷调研-数据源（P3单独执行） '!AY132+0.2</f>
        <v>0.6</v>
      </c>
      <c r="AZ132" s="99">
        <f>'【国内】问卷调研-数据源（P3单独执行） '!BA132*0.6</f>
        <v>2.4672</v>
      </c>
      <c r="BA132" s="99">
        <f t="shared" si="54"/>
        <v>3.46693333333333</v>
      </c>
      <c r="BB132" s="274">
        <f>'【国内】问卷调研-数据源（P3单独执行） '!BB132*1.3</f>
        <v>3.64</v>
      </c>
      <c r="BC132" s="275">
        <f>'【国内】问卷调研-数据源（P3单独执行） '!BC132</f>
        <v>33.5395891171571</v>
      </c>
    </row>
    <row r="133" spans="2:55">
      <c r="B133" s="1">
        <v>2001</v>
      </c>
      <c r="C133" s="99">
        <f t="shared" si="55"/>
        <v>0.7</v>
      </c>
      <c r="D133" s="99">
        <f>'【国内】问卷调研-数据源（P3单独执行） '!E133*0.6</f>
        <v>2.0016</v>
      </c>
      <c r="E133" s="99">
        <f t="shared" si="48"/>
        <v>2.61746666666667</v>
      </c>
      <c r="F133" s="274">
        <f>'【国内】问卷调研-数据源（P3单独执行） '!F133*1.3</f>
        <v>3.12</v>
      </c>
      <c r="G133" s="275">
        <f>'【国内】问卷调研-数据源（P3单独执行） '!G133</f>
        <v>19.5024487756122</v>
      </c>
      <c r="I133" s="276"/>
      <c r="J133" s="1">
        <v>2001</v>
      </c>
      <c r="K133" s="99">
        <f t="shared" si="56"/>
        <v>0.7</v>
      </c>
      <c r="L133" s="99">
        <f>'【国内】问卷调研-数据源（P3单独执行） '!M133*0.6</f>
        <v>2.0616</v>
      </c>
      <c r="M133" s="99">
        <f t="shared" si="49"/>
        <v>2.7233</v>
      </c>
      <c r="N133" s="274">
        <f>'【国内】问卷调研-数据源（P3单独执行） '!N133*1.3</f>
        <v>3.25</v>
      </c>
      <c r="O133" s="275">
        <f>'【国内】问卷调研-数据源（P3单独执行） '!O133</f>
        <v>21.6873563218391</v>
      </c>
      <c r="Q133" s="276"/>
      <c r="R133" s="1">
        <v>2001</v>
      </c>
      <c r="S133" s="99">
        <f>'【国内】问卷调研-数据源（P3单独执行） '!S133+0.2</f>
        <v>0.7</v>
      </c>
      <c r="T133" s="99">
        <f>'【国内】问卷调研-数据源（P3单独执行） '!U133*0.6</f>
        <v>2.1216</v>
      </c>
      <c r="U133" s="99">
        <f t="shared" si="50"/>
        <v>2.82913333333333</v>
      </c>
      <c r="V133" s="274">
        <f>'【国内】问卷调研-数据源（P3单独执行） '!V133*1.3</f>
        <v>3.38</v>
      </c>
      <c r="W133" s="275">
        <f>'【国内】问卷调研-数据源（P3单独执行） '!W133</f>
        <v>23.872263868066</v>
      </c>
      <c r="Y133" s="276"/>
      <c r="Z133" s="1">
        <v>2001</v>
      </c>
      <c r="AA133" s="99">
        <f>'【国内】问卷调研-数据源（P3单独执行） '!AA133+0.2</f>
        <v>0.7</v>
      </c>
      <c r="AB133" s="99">
        <f>'【国内】问卷调研-数据源（P3单独执行） '!AC133*0.6</f>
        <v>2.2416</v>
      </c>
      <c r="AC133" s="99">
        <f t="shared" si="51"/>
        <v>3.0483</v>
      </c>
      <c r="AD133" s="274">
        <f>'【国内】问卷调研-数据源（P3单独执行） '!AD133*1.3</f>
        <v>3.51</v>
      </c>
      <c r="AE133" s="275">
        <f>'【国内】问卷调研-数据源（P3单独执行） '!AE133</f>
        <v>26.2270864567716</v>
      </c>
      <c r="AG133" s="276"/>
      <c r="AH133" s="1">
        <v>2001</v>
      </c>
      <c r="AI133" s="99">
        <f>'【国内】问卷调研-数据源（P3单独执行） '!AI133+0.2</f>
        <v>0.7</v>
      </c>
      <c r="AJ133" s="99">
        <f>'【国内】问卷调研-数据源（P3单独执行） '!AK133*0.6</f>
        <v>2.3616</v>
      </c>
      <c r="AK133" s="99">
        <f t="shared" si="52"/>
        <v>3.26746666666667</v>
      </c>
      <c r="AL133" s="274">
        <f>'【国内】问卷调研-数据源（P3单独执行） '!AL133*1.3</f>
        <v>3.64</v>
      </c>
      <c r="AM133" s="275">
        <f>'【国内】问卷调研-数据源（P3单独执行） '!AM133</f>
        <v>28.5819090454773</v>
      </c>
      <c r="AO133" s="276"/>
      <c r="AP133" s="1">
        <v>2001</v>
      </c>
      <c r="AQ133" s="99">
        <f>'【国内】问卷调研-数据源（P3单独执行） '!AQ133+0.2</f>
        <v>0.7</v>
      </c>
      <c r="AR133" s="99">
        <f>'【国内】问卷调研-数据源（P3单独执行） '!AS133*0.6</f>
        <v>2.4816</v>
      </c>
      <c r="AS133" s="99">
        <f t="shared" si="53"/>
        <v>3.48663333333333</v>
      </c>
      <c r="AT133" s="274">
        <f>'【国内】问卷调研-数据源（P3单独执行） '!AT133*1.3</f>
        <v>3.77</v>
      </c>
      <c r="AU133" s="275">
        <f>'【国内】问卷调研-数据源（P3单独执行） '!AU133</f>
        <v>30.9367316341829</v>
      </c>
      <c r="AV133" s="1"/>
      <c r="AW133" s="276"/>
      <c r="AX133" s="1">
        <v>2001</v>
      </c>
      <c r="AY133" s="99">
        <f>'【国内】问卷调研-数据源（P3单独执行） '!AY133+0.2</f>
        <v>0.7</v>
      </c>
      <c r="AZ133" s="99">
        <f>'【国内】问卷调研-数据源（P3单独执行） '!BA133*0.6</f>
        <v>2.6016</v>
      </c>
      <c r="BA133" s="99">
        <f t="shared" si="54"/>
        <v>3.70579999999999</v>
      </c>
      <c r="BB133" s="274">
        <f>'【国内】问卷调研-数据源（P3单独执行） '!BB133*1.3</f>
        <v>3.9</v>
      </c>
      <c r="BC133" s="275">
        <f>'【国内】问卷调研-数据源（P3单独执行） '!BC133</f>
        <v>33.2915542228885</v>
      </c>
    </row>
    <row r="134" spans="2:55">
      <c r="B134" s="1">
        <v>2201</v>
      </c>
      <c r="C134" s="99">
        <f t="shared" si="55"/>
        <v>0.7</v>
      </c>
      <c r="D134" s="99">
        <f>'【国内】问卷调研-数据源（P3单独执行） '!E134*0.6</f>
        <v>2.136</v>
      </c>
      <c r="E134" s="99">
        <f t="shared" si="48"/>
        <v>2.87133333333333</v>
      </c>
      <c r="F134" s="274">
        <f>'【国内】问卷调研-数据源（P3单独执行） '!F134*1.3</f>
        <v>3.12</v>
      </c>
      <c r="G134" s="275">
        <f>'【国内】问卷调研-数据源（P3单独执行） '!G134</f>
        <v>19.1667423898228</v>
      </c>
      <c r="I134" s="276"/>
      <c r="J134" s="1">
        <v>2201</v>
      </c>
      <c r="K134" s="99">
        <f t="shared" si="56"/>
        <v>0.7</v>
      </c>
      <c r="L134" s="99">
        <f>'【国内】问卷调研-数据源（P3单独执行） '!M134*0.6</f>
        <v>2.196</v>
      </c>
      <c r="M134" s="99">
        <f t="shared" si="49"/>
        <v>2.97716666666667</v>
      </c>
      <c r="N134" s="274">
        <f>'【国内】问卷调研-数据源（P3单独执行） '!N134*1.3</f>
        <v>3.25</v>
      </c>
      <c r="O134" s="275">
        <f>'【国内】问卷调研-数据源（P3单独执行） '!O134</f>
        <v>21.3348477964562</v>
      </c>
      <c r="Q134" s="276"/>
      <c r="R134" s="1">
        <v>2201</v>
      </c>
      <c r="S134" s="99">
        <f>'【国内】问卷调研-数据源（P3单独执行） '!S134+0.2</f>
        <v>0.7</v>
      </c>
      <c r="T134" s="99">
        <f>'【国内】问卷调研-数据源（P3单独执行） '!U134*0.6</f>
        <v>2.256</v>
      </c>
      <c r="U134" s="99">
        <f t="shared" si="50"/>
        <v>3.083</v>
      </c>
      <c r="V134" s="274">
        <f>'【国内】问卷调研-数据源（P3单独执行） '!V134*1.3</f>
        <v>3.38</v>
      </c>
      <c r="W134" s="275">
        <f>'【国内】问卷调研-数据源（P3单独执行） '!W134</f>
        <v>23.5029532030895</v>
      </c>
      <c r="Y134" s="276"/>
      <c r="Z134" s="1">
        <v>2201</v>
      </c>
      <c r="AA134" s="99">
        <f>'【国内】问卷调研-数据源（P3单独执行） '!AA134+0.2</f>
        <v>0.7</v>
      </c>
      <c r="AB134" s="99">
        <f>'【国内】问卷调研-数据源（P3单独执行） '!AC134*0.6</f>
        <v>2.376</v>
      </c>
      <c r="AC134" s="99">
        <f t="shared" si="51"/>
        <v>3.30216666666667</v>
      </c>
      <c r="AD134" s="274">
        <f>'【国内】问卷调研-数据源（P3单独执行） '!AD134*1.3</f>
        <v>3.51</v>
      </c>
      <c r="AE134" s="275">
        <f>'【国内】问卷调研-数据源（P3单独执行） '!AE134</f>
        <v>25.8255338482508</v>
      </c>
      <c r="AG134" s="276"/>
      <c r="AH134" s="1">
        <v>2201</v>
      </c>
      <c r="AI134" s="99">
        <f>'【国内】问卷调研-数据源（P3单独执行） '!AI134+0.2</f>
        <v>0.7</v>
      </c>
      <c r="AJ134" s="99">
        <f>'【国内】问卷调研-数据源（P3单独执行） '!AK134*0.6</f>
        <v>2.496</v>
      </c>
      <c r="AK134" s="99">
        <f t="shared" si="52"/>
        <v>3.52133333333333</v>
      </c>
      <c r="AL134" s="274">
        <f>'【国内】问卷调研-数据源（P3单独执行） '!AL134*1.3</f>
        <v>3.64</v>
      </c>
      <c r="AM134" s="275">
        <f>'【国内】问卷调研-数据源（P3单独执行） '!AM134</f>
        <v>28.1481144934121</v>
      </c>
      <c r="AO134" s="276"/>
      <c r="AP134" s="1">
        <v>2201</v>
      </c>
      <c r="AQ134" s="99">
        <f>'【国内】问卷调研-数据源（P3单独执行） '!AQ134+0.2</f>
        <v>0.7</v>
      </c>
      <c r="AR134" s="99">
        <f>'【国内】问卷调研-数据源（P3单独执行） '!AS134*0.6</f>
        <v>2.616</v>
      </c>
      <c r="AS134" s="99">
        <f t="shared" si="53"/>
        <v>3.7405</v>
      </c>
      <c r="AT134" s="274">
        <f>'【国内】问卷调研-数据源（P3单独执行） '!AT134*1.3</f>
        <v>3.77</v>
      </c>
      <c r="AU134" s="275">
        <f>'【国内】问卷调研-数据源（P3单独执行） '!AU134</f>
        <v>30.4706951385734</v>
      </c>
      <c r="AV134" s="1"/>
      <c r="AW134" s="276"/>
      <c r="AX134" s="1">
        <v>2201</v>
      </c>
      <c r="AY134" s="99">
        <f>'【国内】问卷调研-数据源（P3单独执行） '!AY134+0.2</f>
        <v>0.7</v>
      </c>
      <c r="AZ134" s="99">
        <f>'【国内】问卷调研-数据源（P3单独执行） '!BA134*0.6</f>
        <v>2.736</v>
      </c>
      <c r="BA134" s="99">
        <f t="shared" si="54"/>
        <v>3.95966666666667</v>
      </c>
      <c r="BB134" s="274">
        <f>'【国内】问卷调研-数据源（P3单独执行） '!BB134*1.3</f>
        <v>3.9</v>
      </c>
      <c r="BC134" s="275">
        <f>'【国内】问卷调研-数据源（P3单独执行） '!BC134</f>
        <v>32.7932757837347</v>
      </c>
    </row>
    <row r="135" spans="2:55">
      <c r="B135" s="1">
        <v>2401</v>
      </c>
      <c r="C135" s="99">
        <f t="shared" si="55"/>
        <v>0.7</v>
      </c>
      <c r="D135" s="99">
        <f>'【国内】问卷调研-数据源（P3单独执行） '!E135*0.6</f>
        <v>2.2032</v>
      </c>
      <c r="E135" s="99">
        <f t="shared" si="48"/>
        <v>2.99826666666667</v>
      </c>
      <c r="F135" s="274">
        <f>'【国内】问卷调研-数据源（P3单独执行） '!F135*1.3</f>
        <v>3.12</v>
      </c>
      <c r="G135" s="275">
        <f>'【国内】问卷调研-数据源（P3单独执行） '!G135</f>
        <v>18.7283631820075</v>
      </c>
      <c r="I135" s="276"/>
      <c r="J135" s="1">
        <v>2401</v>
      </c>
      <c r="K135" s="99">
        <f t="shared" si="56"/>
        <v>0.7</v>
      </c>
      <c r="L135" s="99">
        <f>'【国内】问卷调研-数据源（P3单独执行） '!M135*0.6</f>
        <v>2.2632</v>
      </c>
      <c r="M135" s="99">
        <f t="shared" si="49"/>
        <v>3.1041</v>
      </c>
      <c r="N135" s="274">
        <f>'【国内】问卷调研-数据源（P3单独执行） '!N135*1.3</f>
        <v>3.25</v>
      </c>
      <c r="O135" s="275">
        <f>'【国内】问卷调研-数据源（P3单独执行） '!O135</f>
        <v>20.882465639317</v>
      </c>
      <c r="Q135" s="276"/>
      <c r="R135" s="1">
        <v>2401</v>
      </c>
      <c r="S135" s="99">
        <f>'【国内】问卷调研-数据源（P3单独执行） '!S135+0.2</f>
        <v>0.7</v>
      </c>
      <c r="T135" s="99">
        <f>'【国内】问卷调研-数据源（P3单独执行） '!U135*0.6</f>
        <v>2.3232</v>
      </c>
      <c r="U135" s="99">
        <f t="shared" si="50"/>
        <v>3.20993333333334</v>
      </c>
      <c r="V135" s="274">
        <f>'【国内】问卷调研-数据源（P3单独执行） '!V135*1.3</f>
        <v>3.38</v>
      </c>
      <c r="W135" s="275">
        <f>'【国内】问卷调研-数据源（P3单独执行） '!W135</f>
        <v>23.0365680966264</v>
      </c>
      <c r="Y135" s="276"/>
      <c r="Z135" s="1">
        <v>2401</v>
      </c>
      <c r="AA135" s="99">
        <f>'【国内】问卷调研-数据源（P3单独执行） '!AA135+0.2</f>
        <v>0.7</v>
      </c>
      <c r="AB135" s="99">
        <f>'【国内】问卷调研-数据源（P3单独执行） '!AC135*0.6</f>
        <v>2.4432</v>
      </c>
      <c r="AC135" s="99">
        <f t="shared" si="51"/>
        <v>3.4291</v>
      </c>
      <c r="AD135" s="274">
        <f>'【国内】问卷调研-数据源（P3单独执行） '!AD135*1.3</f>
        <v>3.51</v>
      </c>
      <c r="AE135" s="275">
        <f>'【国内】问卷调研-数据源（P3单独执行） '!AE135</f>
        <v>25.3322782174094</v>
      </c>
      <c r="AG135" s="276"/>
      <c r="AH135" s="1">
        <v>2401</v>
      </c>
      <c r="AI135" s="99">
        <f>'【国内】问卷调研-数据源（P3单独执行） '!AI135+0.2</f>
        <v>0.7</v>
      </c>
      <c r="AJ135" s="99">
        <f>'【国内】问卷调研-数据源（P3单独执行） '!AK135*0.6</f>
        <v>2.5632</v>
      </c>
      <c r="AK135" s="99">
        <f t="shared" si="52"/>
        <v>3.64826666666667</v>
      </c>
      <c r="AL135" s="274">
        <f>'【国内】问卷调研-数据源（P3单独执行） '!AL135*1.3</f>
        <v>3.64</v>
      </c>
      <c r="AM135" s="275">
        <f>'【国内】问卷调研-数据源（P3单独执行） '!AM135</f>
        <v>27.6279883381924</v>
      </c>
      <c r="AO135" s="276"/>
      <c r="AP135" s="1">
        <v>2401</v>
      </c>
      <c r="AQ135" s="99">
        <f>'【国内】问卷调研-数据源（P3单独执行） '!AQ135+0.2</f>
        <v>0.7</v>
      </c>
      <c r="AR135" s="99">
        <f>'【国内】问卷调研-数据源（P3单独执行） '!AS135*0.6</f>
        <v>2.6832</v>
      </c>
      <c r="AS135" s="99">
        <f t="shared" si="53"/>
        <v>3.86743333333333</v>
      </c>
      <c r="AT135" s="274">
        <f>'【国内】问卷调研-数据源（P3单独执行） '!AT135*1.3</f>
        <v>3.77</v>
      </c>
      <c r="AU135" s="275">
        <f>'【国内】问卷调研-数据源（P3单独执行） '!AU135</f>
        <v>29.9236984589754</v>
      </c>
      <c r="AV135" s="1"/>
      <c r="AW135" s="276"/>
      <c r="AX135" s="1">
        <v>2401</v>
      </c>
      <c r="AY135" s="99">
        <f>'【国内】问卷调研-数据源（P3单独执行） '!AY135+0.2</f>
        <v>0.7</v>
      </c>
      <c r="AZ135" s="99">
        <f>'【国内】问卷调研-数据源（P3单独执行） '!BA135*0.6</f>
        <v>2.8032</v>
      </c>
      <c r="BA135" s="99">
        <f t="shared" si="54"/>
        <v>4.0866</v>
      </c>
      <c r="BB135" s="274">
        <f>'【国内】问卷调研-数据源（P3单独执行） '!BB135*1.3</f>
        <v>3.9</v>
      </c>
      <c r="BC135" s="275">
        <f>'【国内】问卷调研-数据源（P3单独执行） '!BC135</f>
        <v>32.2194085797584</v>
      </c>
    </row>
    <row r="136" spans="2:55">
      <c r="B136" s="1">
        <v>2601</v>
      </c>
      <c r="C136" s="99">
        <f t="shared" si="55"/>
        <v>0.8</v>
      </c>
      <c r="D136" s="99">
        <f>'【国内】问卷调研-数据源（P3单独执行） '!E136*0.6</f>
        <v>2.2704</v>
      </c>
      <c r="E136" s="99">
        <f t="shared" si="48"/>
        <v>3.1252</v>
      </c>
      <c r="F136" s="274">
        <f>'【国内】问卷调研-数据源（P3单独执行） '!F136*1.3</f>
        <v>3.12</v>
      </c>
      <c r="G136" s="275">
        <f>'【国内】问卷调研-数据源（P3单独执行） '!G136</f>
        <v>18.5842368319877</v>
      </c>
      <c r="I136" s="276"/>
      <c r="J136" s="1">
        <v>2601</v>
      </c>
      <c r="K136" s="99">
        <f t="shared" si="56"/>
        <v>0.8</v>
      </c>
      <c r="L136" s="99">
        <f>'【国内】问卷调研-数据源（P3单独执行） '!M136*0.6</f>
        <v>2.3304</v>
      </c>
      <c r="M136" s="99">
        <f t="shared" si="49"/>
        <v>3.23103333333333</v>
      </c>
      <c r="N136" s="274">
        <f>'【国内】问卷调研-数据源（P3单独执行） '!N136*1.3</f>
        <v>3.25</v>
      </c>
      <c r="O136" s="275">
        <f>'【国内】问卷调研-数据源（P3单独执行） '!O136</f>
        <v>20.7264898116109</v>
      </c>
      <c r="Q136" s="276"/>
      <c r="R136" s="1">
        <v>2601</v>
      </c>
      <c r="S136" s="99">
        <f>'【国内】问卷调研-数据源（P3单独执行） '!S136+0.2</f>
        <v>0.8</v>
      </c>
      <c r="T136" s="99">
        <f>'【国内】问卷调研-数据源（P3单独执行） '!U136*0.6</f>
        <v>2.3904</v>
      </c>
      <c r="U136" s="99">
        <f t="shared" si="50"/>
        <v>3.33686666666667</v>
      </c>
      <c r="V136" s="274">
        <f>'【国内】问卷调研-数据源（P3单独执行） '!V136*1.3</f>
        <v>3.38</v>
      </c>
      <c r="W136" s="275">
        <f>'【国内】问卷调研-数据源（P3单独执行） '!W136</f>
        <v>22.8687427912341</v>
      </c>
      <c r="Y136" s="276"/>
      <c r="Z136" s="1">
        <v>2601</v>
      </c>
      <c r="AA136" s="99">
        <f>'【国内】问卷调研-数据源（P3单独执行） '!AA136+0.2</f>
        <v>0.8</v>
      </c>
      <c r="AB136" s="99">
        <f>'【国内】问卷调研-数据源（P3单独执行） '!AC136*0.6</f>
        <v>2.5104</v>
      </c>
      <c r="AC136" s="99">
        <f t="shared" si="51"/>
        <v>3.55603333333333</v>
      </c>
      <c r="AD136" s="274">
        <f>'【国内】问卷调研-数据源（P3单独执行） '!AD136*1.3</f>
        <v>3.51</v>
      </c>
      <c r="AE136" s="275">
        <f>'【国内】问卷调研-数据源（P3单独执行） '!AE136</f>
        <v>25.1417147251057</v>
      </c>
      <c r="AG136" s="276"/>
      <c r="AH136" s="1">
        <v>2601</v>
      </c>
      <c r="AI136" s="99">
        <f>'【国内】问卷调研-数据源（P3单独执行） '!AI136+0.2</f>
        <v>0.8</v>
      </c>
      <c r="AJ136" s="99">
        <f>'【国内】问卷调研-数据源（P3单独执行） '!AK136*0.6</f>
        <v>2.6304</v>
      </c>
      <c r="AK136" s="99">
        <f t="shared" si="52"/>
        <v>3.7752</v>
      </c>
      <c r="AL136" s="274">
        <f>'【国内】问卷调研-数据源（P3单独执行） '!AL136*1.3</f>
        <v>3.64</v>
      </c>
      <c r="AM136" s="275">
        <f>'【国内】问卷调研-数据源（P3单独执行） '!AM136</f>
        <v>27.4146866589773</v>
      </c>
      <c r="AO136" s="276"/>
      <c r="AP136" s="1">
        <v>2601</v>
      </c>
      <c r="AQ136" s="99">
        <f>'【国内】问卷调研-数据源（P3单独执行） '!AQ136+0.2</f>
        <v>0.8</v>
      </c>
      <c r="AR136" s="99">
        <f>'【国内】问卷调研-数据源（P3单独执行） '!AS136*0.6</f>
        <v>2.7504</v>
      </c>
      <c r="AS136" s="99">
        <f t="shared" si="53"/>
        <v>3.99436666666667</v>
      </c>
      <c r="AT136" s="274">
        <f>'【国内】问卷调研-数据源（P3单独执行） '!AT136*1.3</f>
        <v>3.77</v>
      </c>
      <c r="AU136" s="275">
        <f>'【国内】问卷调研-数据源（P3单独执行） '!AU136</f>
        <v>29.6876585928489</v>
      </c>
      <c r="AV136" s="1"/>
      <c r="AW136" s="276"/>
      <c r="AX136" s="1">
        <v>2601</v>
      </c>
      <c r="AY136" s="99">
        <f>'【国内】问卷调研-数据源（P3单独执行） '!AY136+0.2</f>
        <v>0.8</v>
      </c>
      <c r="AZ136" s="99">
        <f>'【国内】问卷调研-数据源（P3单独执行） '!BA136*0.6</f>
        <v>2.8704</v>
      </c>
      <c r="BA136" s="99">
        <f t="shared" si="54"/>
        <v>4.21353333333334</v>
      </c>
      <c r="BB136" s="274">
        <f>'【国内】问卷调研-数据源（P3单独执行） '!BB136*1.3</f>
        <v>3.9</v>
      </c>
      <c r="BC136" s="275">
        <f>'【国内】问卷调研-数据源（P3单独执行） '!BC136</f>
        <v>31.9606305267205</v>
      </c>
    </row>
    <row r="137" spans="2:55">
      <c r="B137" s="1">
        <v>2801</v>
      </c>
      <c r="C137" s="99">
        <f t="shared" si="55"/>
        <v>0.8</v>
      </c>
      <c r="D137" s="99">
        <f>'【国内】问卷调研-数据源（P3单独执行） '!E137*0.6</f>
        <v>2.5392</v>
      </c>
      <c r="E137" s="99">
        <f t="shared" si="48"/>
        <v>3.63293333333332</v>
      </c>
      <c r="F137" s="274">
        <f>'【国内】问卷调研-数据源（P3单独执行） '!F137*1.3</f>
        <v>3.12</v>
      </c>
      <c r="G137" s="275">
        <f>'【国内】问卷调研-数据源（P3单独执行） '!G137</f>
        <v>18.6579078900393</v>
      </c>
      <c r="I137" s="276"/>
      <c r="J137" s="1">
        <v>2801</v>
      </c>
      <c r="K137" s="99">
        <f t="shared" si="56"/>
        <v>0.8</v>
      </c>
      <c r="L137" s="99">
        <f>'【国内】问卷调研-数据源（P3单独执行） '!M137*0.6</f>
        <v>2.5992</v>
      </c>
      <c r="M137" s="99">
        <f t="shared" si="49"/>
        <v>3.73876666666667</v>
      </c>
      <c r="N137" s="274">
        <f>'【国内】问卷调研-数据源（P3单独执行） '!N137*1.3</f>
        <v>3.25</v>
      </c>
      <c r="O137" s="275">
        <f>'【国内】问卷调研-数据源（P3单独执行） '!O137</f>
        <v>20.7900035701535</v>
      </c>
      <c r="Q137" s="276"/>
      <c r="R137" s="1">
        <v>2801</v>
      </c>
      <c r="S137" s="99">
        <f>'【国内】问卷调研-数据源（P3单独执行） '!S137+0.2</f>
        <v>0.8</v>
      </c>
      <c r="T137" s="99">
        <f>'【国内】问卷调研-数据源（P3单独执行） '!U137*0.6</f>
        <v>2.6592</v>
      </c>
      <c r="U137" s="99">
        <f t="shared" si="50"/>
        <v>3.8446</v>
      </c>
      <c r="V137" s="274">
        <f>'【国内】问卷调研-数据源（P3单独执行） '!V137*1.3</f>
        <v>3.38</v>
      </c>
      <c r="W137" s="275">
        <f>'【国内】问卷调研-数据源（P3单独执行） '!W137</f>
        <v>22.9220992502678</v>
      </c>
      <c r="Y137" s="276"/>
      <c r="Z137" s="1">
        <v>2801</v>
      </c>
      <c r="AA137" s="99">
        <f>'【国内】问卷调研-数据源（P3单独执行） '!AA137+0.2</f>
        <v>0.8</v>
      </c>
      <c r="AB137" s="99">
        <f>'【国内】问卷调研-数据源（P3单独执行） '!AC137*0.6</f>
        <v>2.7792</v>
      </c>
      <c r="AC137" s="99">
        <f t="shared" si="51"/>
        <v>4.06376666666666</v>
      </c>
      <c r="AD137" s="274">
        <f>'【国内】问卷调研-数据源（P3单独执行） '!AD137*1.3</f>
        <v>3.51</v>
      </c>
      <c r="AE137" s="275">
        <f>'【国内】问卷调研-数据源（P3单独执行） '!AE137</f>
        <v>25.1755801499464</v>
      </c>
      <c r="AG137" s="276"/>
      <c r="AH137" s="1">
        <v>2801</v>
      </c>
      <c r="AI137" s="99">
        <f>'【国内】问卷调研-数据源（P3单独执行） '!AI137+0.2</f>
        <v>0.8</v>
      </c>
      <c r="AJ137" s="99">
        <f>'【国内】问卷调研-数据源（P3单独执行） '!AK137*0.6</f>
        <v>2.8992</v>
      </c>
      <c r="AK137" s="99">
        <f t="shared" si="52"/>
        <v>4.28293333333333</v>
      </c>
      <c r="AL137" s="274">
        <f>'【国内】问卷调研-数据源（P3单独执行） '!AL137*1.3</f>
        <v>3.64</v>
      </c>
      <c r="AM137" s="275">
        <f>'【国内】问卷调研-数据源（P3单独执行） '!AM137</f>
        <v>27.4290610496251</v>
      </c>
      <c r="AO137" s="276"/>
      <c r="AP137" s="1">
        <v>2801</v>
      </c>
      <c r="AQ137" s="99">
        <f>'【国内】问卷调研-数据源（P3单独执行） '!AQ137+0.2</f>
        <v>0.8</v>
      </c>
      <c r="AR137" s="99">
        <f>'【国内】问卷调研-数据源（P3单独执行） '!AS137*0.6</f>
        <v>3.0192</v>
      </c>
      <c r="AS137" s="99">
        <f t="shared" si="53"/>
        <v>4.50209999999999</v>
      </c>
      <c r="AT137" s="274">
        <f>'【国内】问卷调研-数据源（P3单独执行） '!AT137*1.3</f>
        <v>3.77</v>
      </c>
      <c r="AU137" s="275">
        <f>'【国内】问卷调研-数据源（P3单独执行） '!AU137</f>
        <v>29.6825419493038</v>
      </c>
      <c r="AV137" s="1"/>
      <c r="AW137" s="276"/>
      <c r="AX137" s="1">
        <v>2801</v>
      </c>
      <c r="AY137" s="99">
        <f>'【国内】问卷调研-数据源（P3单独执行） '!AY137+0.2</f>
        <v>0.8</v>
      </c>
      <c r="AZ137" s="99">
        <f>'【国内】问卷调研-数据源（P3单独执行） '!BA137*0.6</f>
        <v>3.1392</v>
      </c>
      <c r="BA137" s="99">
        <f t="shared" si="54"/>
        <v>4.72126666666667</v>
      </c>
      <c r="BB137" s="274">
        <f>'【国内】问卷调研-数据源（P3单独执行） '!BB137*1.3</f>
        <v>3.9</v>
      </c>
      <c r="BC137" s="275">
        <f>'【国内】问卷调研-数据源（P3单独执行） '!BC137</f>
        <v>31.9360228489825</v>
      </c>
    </row>
    <row r="142" spans="2:55">
      <c r="G142" s="1">
        <f>AVERAGE(G3,G25,G49,G72,G95,G118,O3,O26,O49,O72,O95,O118,W3,W26,W49,W72,W95,W118,AE3,AE26,AE49,AE72,AE95,AE118,AM3,AM26,AM49,AM72,AM95,AM118,AU3,AU26,AU49,AU72,AU95,AU118,)</f>
        <v>20.1668529740606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9"/>
  <sheetViews>
    <sheetView showGridLines="0" topLeftCell="B1" workbookViewId="0">
      <pane ySplit="3" topLeftCell="A19" activePane="bottomLeft" state="frozen"/>
      <selection/>
      <selection pane="bottomLeft" activeCell="G36" sqref="G36"/>
    </sheetView>
  </sheetViews>
  <sheetFormatPr defaultColWidth="9" defaultRowHeight="16.5"/>
  <cols>
    <col min="1" max="2" width="13.25" style="1" customWidth="1"/>
    <col min="3" max="3" width="19.375" style="1" customWidth="1"/>
    <col min="4" max="4" width="18.375" style="1" customWidth="1"/>
    <col min="5" max="5" width="14.375" style="1" customWidth="1"/>
    <col min="6" max="11" width="12.375" style="99" customWidth="1"/>
    <col min="12" max="14" width="9" style="1"/>
    <col min="15" max="15" width="12.625" style="1"/>
    <col min="16" max="16384" width="9" style="1"/>
  </cols>
  <sheetData>
    <row r="1" ht="51" customHeight="1" spans="1:11">
      <c r="A1" s="100"/>
      <c r="B1" s="257"/>
      <c r="C1" s="101" t="s">
        <v>293</v>
      </c>
      <c r="D1" s="101"/>
      <c r="E1" s="101"/>
      <c r="F1" s="101"/>
      <c r="G1" s="101"/>
      <c r="H1" s="101"/>
      <c r="I1" s="101"/>
      <c r="J1" s="101"/>
      <c r="K1" s="102"/>
    </row>
    <row r="2" ht="60" customHeight="1" spans="1:11">
      <c r="A2" s="39" t="s">
        <v>294</v>
      </c>
      <c r="B2" s="39"/>
      <c r="C2" s="40"/>
      <c r="D2" s="40"/>
      <c r="E2" s="40"/>
      <c r="F2" s="40"/>
      <c r="G2" s="40"/>
      <c r="H2" s="40"/>
      <c r="I2" s="40"/>
      <c r="J2" s="40"/>
      <c r="K2" s="40"/>
    </row>
    <row r="3" ht="48" customHeight="1" spans="1:11">
      <c r="A3" s="42" t="s">
        <v>148</v>
      </c>
      <c r="B3" s="42"/>
      <c r="C3" s="42" t="s">
        <v>151</v>
      </c>
      <c r="D3" s="42" t="s">
        <v>192</v>
      </c>
      <c r="E3" s="41" t="s">
        <v>295</v>
      </c>
      <c r="F3" s="103" t="s">
        <v>8</v>
      </c>
      <c r="G3" s="103" t="s">
        <v>9</v>
      </c>
      <c r="H3" s="103" t="s">
        <v>10</v>
      </c>
      <c r="I3" s="103" t="s">
        <v>103</v>
      </c>
      <c r="J3" s="104" t="s">
        <v>261</v>
      </c>
      <c r="K3" s="105" t="s">
        <v>296</v>
      </c>
    </row>
    <row r="4" ht="48" customHeight="1" spans="1:11">
      <c r="A4" s="42"/>
      <c r="B4" s="258" t="s">
        <v>170</v>
      </c>
      <c r="C4" s="259" t="s">
        <v>1</v>
      </c>
      <c r="D4" s="107" t="s">
        <v>199</v>
      </c>
      <c r="E4" s="108">
        <f>'①【国内】研究资源成本估算 (v1.0)'!$G$20</f>
        <v>400</v>
      </c>
      <c r="F4" s="103">
        <f>VLOOKUP(E4,'【国内】问卷调研-数据源（OP单独执行） '!B4:F22,2,TRUE)</f>
        <v>0</v>
      </c>
      <c r="G4" s="103">
        <f>VLOOKUP(E4,'【国内】问卷调研-数据源（OP单独执行） '!B4:F22,3,TRUE)</f>
        <v>0</v>
      </c>
      <c r="H4" s="103">
        <f>VLOOKUP(E4,'【国内】问卷调研-数据源（OP单独执行） '!B4:F22,4,TRUE)</f>
        <v>1.04166666666667</v>
      </c>
      <c r="I4" s="103">
        <f>VLOOKUP(E4,'【国内】问卷调研-数据源（OP单独执行） '!B4:F22,5,TRUE)</f>
        <v>2.4</v>
      </c>
      <c r="J4" s="104">
        <f>F4+G4+H4+I4</f>
        <v>3.44166666666667</v>
      </c>
      <c r="K4" s="105">
        <f>E4*O19</f>
        <v>800</v>
      </c>
    </row>
    <row r="5" ht="48" customHeight="1" spans="1:11">
      <c r="A5" s="42"/>
      <c r="B5" s="258" t="s">
        <v>170</v>
      </c>
      <c r="C5" s="259" t="s">
        <v>1</v>
      </c>
      <c r="D5" s="107" t="s">
        <v>203</v>
      </c>
      <c r="E5" s="108">
        <f>'①【国内】研究资源成本估算 (v1.0)'!$G$21</f>
        <v>1000</v>
      </c>
      <c r="F5" s="103">
        <f>VLOOKUP(E5,'【国内】问卷调研-数据源（OP单独执行） '!J4:N22,2,TRUE)</f>
        <v>0</v>
      </c>
      <c r="G5" s="103">
        <f>VLOOKUP(E5,'【国内】问卷调研-数据源（OP单独执行） '!J4:N22,3,TRUE)</f>
        <v>0</v>
      </c>
      <c r="H5" s="103">
        <f>VLOOKUP(E5,'【国内】问卷调研-数据源（OP单独执行） '!J4:N22,4,TRUE)</f>
        <v>3.85833333333333</v>
      </c>
      <c r="I5" s="103">
        <f>VLOOKUP(E5,'【国内】问卷调研-数据源（OP单独执行） '!J4:N22,5,TRUE)</f>
        <v>3.7</v>
      </c>
      <c r="J5" s="104">
        <f t="shared" ref="J5:J17" si="0">F5+G5+H5+I5</f>
        <v>7.55833333333333</v>
      </c>
      <c r="K5" s="105">
        <f t="shared" ref="K5:K17" si="1">E5*O20</f>
        <v>3000</v>
      </c>
    </row>
    <row r="6" ht="48" customHeight="1" spans="1:11">
      <c r="A6" s="42"/>
      <c r="B6" s="258" t="s">
        <v>170</v>
      </c>
      <c r="C6" s="259" t="s">
        <v>1</v>
      </c>
      <c r="D6" s="107" t="s">
        <v>95</v>
      </c>
      <c r="E6" s="108">
        <f>'①【国内】研究资源成本估算 (v1.0)'!$G$22</f>
        <v>500</v>
      </c>
      <c r="F6" s="103">
        <f>VLOOKUP(E6,'【国内】问卷调研-数据源（OP单独执行） '!R4:V22,2,TRUE)</f>
        <v>0</v>
      </c>
      <c r="G6" s="103">
        <f>VLOOKUP(E6,'【国内】问卷调研-数据源（OP单独执行） '!R4:V22,3,TRUE)</f>
        <v>0</v>
      </c>
      <c r="H6" s="103">
        <f>VLOOKUP(E6,'【国内】问卷调研-数据源（OP单独执行） '!R4:V22,4,TRUE)</f>
        <v>1.60833333333333</v>
      </c>
      <c r="I6" s="103">
        <f>VLOOKUP(E6,'【国内】问卷调研-数据源（OP单独执行） '!R4:V22,5,TRUE)</f>
        <v>2.6</v>
      </c>
      <c r="J6" s="104">
        <f t="shared" si="0"/>
        <v>4.20833333333333</v>
      </c>
      <c r="K6" s="105">
        <f t="shared" si="1"/>
        <v>2000</v>
      </c>
    </row>
    <row r="7" ht="48" customHeight="1" spans="1:11">
      <c r="A7" s="42"/>
      <c r="B7" s="258" t="s">
        <v>170</v>
      </c>
      <c r="C7" s="259" t="s">
        <v>1</v>
      </c>
      <c r="D7" s="107" t="s">
        <v>96</v>
      </c>
      <c r="E7" s="108">
        <f>'①【国内】研究资源成本估算 (v1.0)'!$G$23</f>
        <v>500</v>
      </c>
      <c r="F7" s="103">
        <f>VLOOKUP(E7,'【国内】问卷调研-数据源（OP单独执行） '!Z4:AD22,2,TRUE)</f>
        <v>0</v>
      </c>
      <c r="G7" s="103">
        <f>VLOOKUP(E7,'【国内】问卷调研-数据源（OP单独执行） '!Z4:AD22,3,TRUE)</f>
        <v>0</v>
      </c>
      <c r="H7" s="103">
        <f>VLOOKUP(E7,'【国内】问卷调研-数据源（OP单独执行） '!Z4:AD22,4,TRUE)</f>
        <v>1.89166666666667</v>
      </c>
      <c r="I7" s="103">
        <f>VLOOKUP(E7,'【国内】问卷调研-数据源（OP单独执行） '!Z4:AD22,5,TRUE)</f>
        <v>2.7</v>
      </c>
      <c r="J7" s="104">
        <f t="shared" si="0"/>
        <v>4.59166666666667</v>
      </c>
      <c r="K7" s="105">
        <f t="shared" si="1"/>
        <v>2500</v>
      </c>
    </row>
    <row r="8" ht="48" customHeight="1" spans="1:11">
      <c r="A8" s="42"/>
      <c r="B8" s="258" t="s">
        <v>170</v>
      </c>
      <c r="C8" s="259" t="s">
        <v>1</v>
      </c>
      <c r="D8" s="107" t="s">
        <v>207</v>
      </c>
      <c r="E8" s="108">
        <f>'①【国内】研究资源成本估算 (v1.0)'!$G$24</f>
        <v>1000</v>
      </c>
      <c r="F8" s="103">
        <f>VLOOKUP(E8,'【国内】问卷调研-数据源（OP单独执行） '!AH4:AL22,2,TRUE)</f>
        <v>0</v>
      </c>
      <c r="G8" s="103">
        <f>VLOOKUP(E8,'【国内】问卷调研-数据源（OP单独执行） '!AH4:AL22,3,TRUE)</f>
        <v>0</v>
      </c>
      <c r="H8" s="103">
        <f>VLOOKUP(E8,'【国内】问卷调研-数据源（OP单独执行） '!AH4:AL22,4,TRUE)</f>
        <v>4.70833333333333</v>
      </c>
      <c r="I8" s="103">
        <f>VLOOKUP(E8,'【国内】问卷调研-数据源（OP单独执行） '!AH4:AL22,5,TRUE)</f>
        <v>4</v>
      </c>
      <c r="J8" s="104">
        <f t="shared" si="0"/>
        <v>8.70833333333333</v>
      </c>
      <c r="K8" s="105">
        <f t="shared" si="1"/>
        <v>6000</v>
      </c>
    </row>
    <row r="9" ht="48" customHeight="1" spans="1:11">
      <c r="A9" s="42"/>
      <c r="B9" s="258" t="s">
        <v>170</v>
      </c>
      <c r="C9" s="259" t="s">
        <v>1</v>
      </c>
      <c r="D9" s="107" t="s">
        <v>209</v>
      </c>
      <c r="E9" s="108">
        <f>'①【国内】研究资源成本估算 (v1.0)'!$G$25</f>
        <v>500</v>
      </c>
      <c r="F9" s="103">
        <f>VLOOKUP(E9,'【国内】问卷调研-数据源（OP单独执行） '!AP4:AT22,2,TRUE)</f>
        <v>0</v>
      </c>
      <c r="G9" s="103">
        <f>VLOOKUP(E9,'【国内】问卷调研-数据源（OP单独执行） '!AP4:AT22,3,TRUE)</f>
        <v>0</v>
      </c>
      <c r="H9" s="103">
        <f>VLOOKUP(E9,'【国内】问卷调研-数据源（OP单独执行） '!AP4:AT22,4,TRUE)</f>
        <v>2.45833333333333</v>
      </c>
      <c r="I9" s="103">
        <f>VLOOKUP(E9,'【国内】问卷调研-数据源（OP单独执行） '!AP4:AT22,5,TRUE)</f>
        <v>2.9</v>
      </c>
      <c r="J9" s="104">
        <f t="shared" si="0"/>
        <v>5.35833333333333</v>
      </c>
      <c r="K9" s="105">
        <f t="shared" si="1"/>
        <v>3500</v>
      </c>
    </row>
    <row r="10" ht="48" customHeight="1" spans="1:11">
      <c r="A10" s="42"/>
      <c r="B10" s="258" t="s">
        <v>170</v>
      </c>
      <c r="C10" s="259" t="s">
        <v>1</v>
      </c>
      <c r="D10" s="107" t="s">
        <v>211</v>
      </c>
      <c r="E10" s="108">
        <f>'①【国内】研究资源成本估算 (v1.0)'!$G$26</f>
        <v>2000</v>
      </c>
      <c r="F10" s="103">
        <f>VLOOKUP(E10,'【国内】问卷调研-数据源（OP单独执行） '!AX4:BB22,2,TRUE)</f>
        <v>0</v>
      </c>
      <c r="G10" s="103">
        <f>VLOOKUP(E10,'【国内】问卷调研-数据源（OP单独执行） '!AX4:BB22,3,TRUE)</f>
        <v>1.8</v>
      </c>
      <c r="H10" s="103">
        <f>VLOOKUP(E10,'【国内】问卷调研-数据源（OP单独执行） '!AX4:BB22,4,TRUE)</f>
        <v>2.525</v>
      </c>
      <c r="I10" s="103">
        <f>VLOOKUP(E10,'【国内】问卷调研-数据源（OP单独执行） '!AX4:BB22,5,TRUE)</f>
        <v>6</v>
      </c>
      <c r="J10" s="104">
        <f t="shared" si="0"/>
        <v>10.325</v>
      </c>
      <c r="K10" s="105">
        <f t="shared" si="1"/>
        <v>16000</v>
      </c>
    </row>
    <row r="11" ht="48" customHeight="1" spans="1:11">
      <c r="A11" s="42"/>
      <c r="B11" s="258" t="s">
        <v>170</v>
      </c>
      <c r="C11" s="260" t="s">
        <v>3</v>
      </c>
      <c r="D11" s="107" t="s">
        <v>199</v>
      </c>
      <c r="E11" s="108">
        <f>'①【国内】研究资源成本估算 (v1.0)'!$G$20</f>
        <v>400</v>
      </c>
      <c r="F11" s="103">
        <f>VLOOKUP(E11,'【国内】问卷调研-数据源（OP单独执行） '!B27:F45,2,TRUE)</f>
        <v>0</v>
      </c>
      <c r="G11" s="103">
        <f>VLOOKUP(E11,'【国内】问卷调研-数据源（OP单独执行） '!B27:F45,3,TRUE)</f>
        <v>0</v>
      </c>
      <c r="H11" s="103">
        <f>VLOOKUP(E11,'【国内】问卷调研-数据源（OP单独执行） '!B27:F45,4,TRUE)</f>
        <v>2.2</v>
      </c>
      <c r="I11" s="103">
        <f>VLOOKUP(E11,'【国内】问卷调研-数据源（OP单独执行） '!B27:F45,5,TRUE)</f>
        <v>2.5</v>
      </c>
      <c r="J11" s="104">
        <f t="shared" si="0"/>
        <v>4.7</v>
      </c>
      <c r="K11" s="105">
        <f>E11*P19</f>
        <v>1200</v>
      </c>
    </row>
    <row r="12" ht="48" customHeight="1" spans="1:11">
      <c r="A12" s="42"/>
      <c r="B12" s="258" t="s">
        <v>170</v>
      </c>
      <c r="C12" s="260" t="s">
        <v>3</v>
      </c>
      <c r="D12" s="107" t="s">
        <v>203</v>
      </c>
      <c r="E12" s="108">
        <f>'①【国内】研究资源成本估算 (v1.0)'!$G$21</f>
        <v>1000</v>
      </c>
      <c r="F12" s="103">
        <f>VLOOKUP(E12,'【国内】问卷调研-数据源（OP单独执行） '!J27:N45,2,TRUE)</f>
        <v>0</v>
      </c>
      <c r="G12" s="103">
        <f>VLOOKUP(E12,'【国内】问卷调研-数据源（OP单独执行） '!J27:N45,3,TRUE)</f>
        <v>0</v>
      </c>
      <c r="H12" s="103">
        <f>VLOOKUP(E12,'【国内】问卷调研-数据源（OP单独执行） '!J27:N45,4,TRUE)</f>
        <v>4.5</v>
      </c>
      <c r="I12" s="103">
        <f>VLOOKUP(E12,'【国内】问卷调研-数据源（OP单独执行） '!J27:N45,5,TRUE)</f>
        <v>3.8</v>
      </c>
      <c r="J12" s="104">
        <f t="shared" si="0"/>
        <v>8.3</v>
      </c>
      <c r="K12" s="105">
        <f t="shared" ref="K12:K17" si="2">E12*P20</f>
        <v>4000</v>
      </c>
    </row>
    <row r="13" ht="48" customHeight="1" spans="1:11">
      <c r="A13" s="42"/>
      <c r="B13" s="258" t="s">
        <v>170</v>
      </c>
      <c r="C13" s="260" t="s">
        <v>3</v>
      </c>
      <c r="D13" s="107" t="s">
        <v>95</v>
      </c>
      <c r="E13" s="108">
        <f>'①【国内】研究资源成本估算 (v1.0)'!$G$22</f>
        <v>500</v>
      </c>
      <c r="F13" s="103">
        <f>VLOOKUP(E13,'【国内】问卷调研-数据源（OP单独执行） '!R27:V45,2,TRUE)</f>
        <v>0</v>
      </c>
      <c r="G13" s="103">
        <f>VLOOKUP(E13,'【国内】问卷调研-数据源（OP单独执行） '!R27:V45,3,TRUE)</f>
        <v>0</v>
      </c>
      <c r="H13" s="103">
        <f>VLOOKUP(E13,'【国内】问卷调研-数据源（OP单独执行） '!R27:V45,4,TRUE)</f>
        <v>2.76666666666667</v>
      </c>
      <c r="I13" s="103">
        <f>VLOOKUP(E13,'【国内】问卷调研-数据源（OP单独执行） '!R27:V45,5,TRUE)</f>
        <v>2.7</v>
      </c>
      <c r="J13" s="104">
        <f t="shared" si="0"/>
        <v>5.46666666666667</v>
      </c>
      <c r="K13" s="105">
        <f t="shared" si="2"/>
        <v>2500</v>
      </c>
    </row>
    <row r="14" ht="48" customHeight="1" spans="1:11">
      <c r="A14" s="42"/>
      <c r="B14" s="258" t="s">
        <v>170</v>
      </c>
      <c r="C14" s="260" t="s">
        <v>3</v>
      </c>
      <c r="D14" s="107" t="s">
        <v>96</v>
      </c>
      <c r="E14" s="108">
        <f>'①【国内】研究资源成本估算 (v1.0)'!$G$23</f>
        <v>500</v>
      </c>
      <c r="F14" s="103">
        <f>VLOOKUP(E14,'【国内】问卷调研-数据源（OP单独执行） '!Z27:AD45,2,TRUE)</f>
        <v>0</v>
      </c>
      <c r="G14" s="103">
        <f>VLOOKUP(E14,'【国内】问卷调研-数据源（OP单独执行） '!Z27:AD45,3,TRUE)</f>
        <v>0</v>
      </c>
      <c r="H14" s="103">
        <f>VLOOKUP(E14,'【国内】问卷调研-数据源（OP单独执行） '!Z27:AD45,4,TRUE)</f>
        <v>3.05</v>
      </c>
      <c r="I14" s="103">
        <f>VLOOKUP(E14,'【国内】问卷调研-数据源（OP单独执行） '!Z27:AD45,5,TRUE)</f>
        <v>2.8</v>
      </c>
      <c r="J14" s="104">
        <f t="shared" si="0"/>
        <v>5.85</v>
      </c>
      <c r="K14" s="105">
        <f t="shared" si="2"/>
        <v>3000</v>
      </c>
    </row>
    <row r="15" ht="48" customHeight="1" spans="1:11">
      <c r="A15" s="42"/>
      <c r="B15" s="258" t="s">
        <v>170</v>
      </c>
      <c r="C15" s="260" t="s">
        <v>3</v>
      </c>
      <c r="D15" s="107" t="s">
        <v>207</v>
      </c>
      <c r="E15" s="108">
        <f>'①【国内】研究资源成本估算 (v1.0)'!$G$24</f>
        <v>1000</v>
      </c>
      <c r="F15" s="103">
        <f>VLOOKUP(E15,'【国内】问卷调研-数据源（OP单独执行） '!AH27:AL45,2,TRUE)</f>
        <v>0</v>
      </c>
      <c r="G15" s="103">
        <f>VLOOKUP(E15,'【国内】问卷调研-数据源（OP单独执行） '!AH27:AL45,3,TRUE)</f>
        <v>0</v>
      </c>
      <c r="H15" s="103">
        <f>VLOOKUP(E15,'【国内】问卷调研-数据源（OP单独执行） '!AH27:AL45,4,TRUE)</f>
        <v>5.35</v>
      </c>
      <c r="I15" s="103">
        <f>VLOOKUP(E15,'【国内】问卷调研-数据源（OP单独执行） '!AH27:AL45,5,TRUE)</f>
        <v>4.1</v>
      </c>
      <c r="J15" s="104">
        <f t="shared" si="0"/>
        <v>9.45</v>
      </c>
      <c r="K15" s="105">
        <f t="shared" si="2"/>
        <v>7000</v>
      </c>
    </row>
    <row r="16" ht="48" customHeight="1" spans="1:11">
      <c r="A16" s="42"/>
      <c r="B16" s="258" t="s">
        <v>170</v>
      </c>
      <c r="C16" s="260" t="s">
        <v>3</v>
      </c>
      <c r="D16" s="107" t="s">
        <v>209</v>
      </c>
      <c r="E16" s="108">
        <f>'①【国内】研究资源成本估算 (v1.0)'!$G$25</f>
        <v>500</v>
      </c>
      <c r="F16" s="103">
        <f>VLOOKUP(E16,'【国内】问卷调研-数据源（OP单独执行） '!AP27:AT45,2,TRUE)</f>
        <v>0</v>
      </c>
      <c r="G16" s="103">
        <f>VLOOKUP(E16,'【国内】问卷调研-数据源（OP单独执行） '!AP27:AT45,3,TRUE)</f>
        <v>0</v>
      </c>
      <c r="H16" s="103">
        <f>VLOOKUP(E16,'【国内】问卷调研-数据源（OP单独执行） '!AP27:AT45,4,TRUE)</f>
        <v>3.61666666666667</v>
      </c>
      <c r="I16" s="103">
        <f>VLOOKUP(E16,'【国内】问卷调研-数据源（OP单独执行） '!AP27:AT45,5,TRUE)</f>
        <v>3</v>
      </c>
      <c r="J16" s="104">
        <f t="shared" si="0"/>
        <v>6.61666666666667</v>
      </c>
      <c r="K16" s="105">
        <f t="shared" si="2"/>
        <v>4000</v>
      </c>
    </row>
    <row r="17" ht="48" customHeight="1" spans="1:20">
      <c r="A17" s="42"/>
      <c r="B17" s="258" t="s">
        <v>170</v>
      </c>
      <c r="C17" s="260" t="s">
        <v>3</v>
      </c>
      <c r="D17" s="107" t="s">
        <v>211</v>
      </c>
      <c r="E17" s="108">
        <f>'①【国内】研究资源成本估算 (v1.0)'!$G$26</f>
        <v>2000</v>
      </c>
      <c r="F17" s="103">
        <f>VLOOKUP(E17,'【国内】问卷调研-数据源（OP单独执行） '!AX27:BB45,2,TRUE)</f>
        <v>0.2</v>
      </c>
      <c r="G17" s="103">
        <f>VLOOKUP(E17,'【国内】问卷调研-数据源（OP单独执行） '!AX27:BB45,3,TRUE)</f>
        <v>1.86</v>
      </c>
      <c r="H17" s="103">
        <f>VLOOKUP(E17,'【国内】问卷调研-数据源（OP单独执行） '!AX27:BB45,4,TRUE)</f>
        <v>2.09666666666667</v>
      </c>
      <c r="I17" s="103">
        <f>VLOOKUP(E17,'【国内】问卷调研-数据源（OP单独执行） '!AX27:BB45,5,TRUE)</f>
        <v>6.1</v>
      </c>
      <c r="J17" s="104">
        <f t="shared" si="0"/>
        <v>10.2566666666667</v>
      </c>
      <c r="K17" s="105">
        <f t="shared" si="2"/>
        <v>18000</v>
      </c>
    </row>
    <row r="18" ht="36" customHeight="1" spans="1:20">
      <c r="A18" s="54" t="s">
        <v>198</v>
      </c>
      <c r="B18" s="258" t="s">
        <v>170</v>
      </c>
      <c r="C18" s="261" t="s">
        <v>4</v>
      </c>
      <c r="D18" s="107" t="s">
        <v>199</v>
      </c>
      <c r="E18" s="108">
        <f>'①【国内】研究资源成本估算 (v1.0)'!$G$20</f>
        <v>400</v>
      </c>
      <c r="F18" s="109">
        <f>VLOOKUP($E$18,'【国内】问卷调研-数据源（OP单独执行） '!B49:F68,2,TRUE)</f>
        <v>0</v>
      </c>
      <c r="G18" s="109">
        <f>VLOOKUP($E$18,'【国内】问卷调研-数据源（OP单独执行） '!B50:F68,3,TRUE)</f>
        <v>0</v>
      </c>
      <c r="H18" s="109">
        <f>VLOOKUP($E$18,'【国内】问卷调研-数据源（OP单独执行） '!B49:F68,4,TRUE)</f>
        <v>2.45833333333333</v>
      </c>
      <c r="I18" s="109">
        <f>VLOOKUP($E$18,'【国内】问卷调研-数据源（OP单独执行） '!B49:F68,5,TRUE)</f>
        <v>2.6</v>
      </c>
      <c r="J18" s="109">
        <f>F18+H18+I18+G18</f>
        <v>5.05833333333333</v>
      </c>
      <c r="K18" s="109">
        <f>E18*Q19</f>
        <v>2000</v>
      </c>
      <c r="O18" s="1" t="s">
        <v>74</v>
      </c>
      <c r="P18" s="1" t="s">
        <v>75</v>
      </c>
      <c r="Q18" s="1" t="s">
        <v>77</v>
      </c>
      <c r="R18" s="1" t="s">
        <v>79</v>
      </c>
      <c r="S18" s="1" t="s">
        <v>80</v>
      </c>
      <c r="T18" s="1" t="s">
        <v>81</v>
      </c>
    </row>
    <row r="19" ht="36" customHeight="1" spans="1:20">
      <c r="A19" s="54" t="s">
        <v>202</v>
      </c>
      <c r="B19" s="258" t="s">
        <v>170</v>
      </c>
      <c r="C19" s="261" t="s">
        <v>4</v>
      </c>
      <c r="D19" s="107" t="s">
        <v>203</v>
      </c>
      <c r="E19" s="108">
        <f>'①【国内】研究资源成本估算 (v1.0)'!$G$21</f>
        <v>1000</v>
      </c>
      <c r="F19" s="109">
        <f>VLOOKUP($E$19,'【国内】问卷调研-数据源（OP单独执行） '!J50:N68,2,TRUE)</f>
        <v>0.54</v>
      </c>
      <c r="G19" s="109">
        <f>VLOOKUP($E$19,'【国内】问卷调研-数据源（OP单独执行） '!J50:N68,3,TRUE)</f>
        <v>0</v>
      </c>
      <c r="H19" s="109">
        <f>VLOOKUP($E$19,'【国内】问卷调研-数据源（OP单独执行） '!J50:N68,4,TRUE)</f>
        <v>3.16166666666667</v>
      </c>
      <c r="I19" s="109">
        <f>VLOOKUP($E$19,'【国内】问卷调研-数据源（OP单独执行） '!J50:N68,5,TRUE)</f>
        <v>3.9</v>
      </c>
      <c r="J19" s="109">
        <f t="shared" ref="J19:J50" si="3">F19+H19+I19+G19</f>
        <v>7.60166666666667</v>
      </c>
      <c r="K19" s="109">
        <f>E19*Q20</f>
        <v>6000</v>
      </c>
      <c r="N19" s="107" t="s">
        <v>199</v>
      </c>
      <c r="O19" s="1">
        <v>2</v>
      </c>
      <c r="P19" s="1">
        <v>3</v>
      </c>
      <c r="Q19" s="1">
        <v>5</v>
      </c>
      <c r="R19" s="1">
        <v>7</v>
      </c>
      <c r="S19" s="1">
        <v>10</v>
      </c>
      <c r="T19" s="1">
        <v>12</v>
      </c>
    </row>
    <row r="20" ht="36" customHeight="1" spans="1:20">
      <c r="A20" s="54" t="s">
        <v>204</v>
      </c>
      <c r="B20" s="258" t="s">
        <v>170</v>
      </c>
      <c r="C20" s="261" t="s">
        <v>4</v>
      </c>
      <c r="D20" s="107" t="s">
        <v>95</v>
      </c>
      <c r="E20" s="108">
        <f>'①【国内】研究资源成本估算 (v1.0)'!$G$22</f>
        <v>500</v>
      </c>
      <c r="F20" s="109">
        <f>VLOOKUP($E$20,'【国内】问卷调研-数据源（OP单独执行） '!R50:V68,2,TRUE)</f>
        <v>0.18</v>
      </c>
      <c r="G20" s="109">
        <f>VLOOKUP($E$20,'【国内】问卷调研-数据源（OP单独执行） '!R50:V68,3,TRUE)</f>
        <v>0</v>
      </c>
      <c r="H20" s="109">
        <f>VLOOKUP($E$20,'【国内】问卷调研-数据源（OP单独执行） '!R50:V68,4,TRUE)</f>
        <v>2.14</v>
      </c>
      <c r="I20" s="109">
        <f>VLOOKUP($E$20,'【国内】问卷调研-数据源（OP单独执行） '!R50:V68,5,TRUE)</f>
        <v>2.8</v>
      </c>
      <c r="J20" s="109">
        <f t="shared" si="3"/>
        <v>5.12</v>
      </c>
      <c r="K20" s="109">
        <f t="shared" ref="K20:K24" si="4">E20*Q21</f>
        <v>3500</v>
      </c>
      <c r="N20" s="107" t="s">
        <v>203</v>
      </c>
      <c r="O20" s="1">
        <v>3</v>
      </c>
      <c r="P20" s="1">
        <v>4</v>
      </c>
      <c r="Q20" s="1">
        <v>6</v>
      </c>
      <c r="R20" s="1">
        <v>8.5</v>
      </c>
      <c r="S20" s="1">
        <v>12</v>
      </c>
      <c r="T20" s="1">
        <v>14</v>
      </c>
    </row>
    <row r="21" ht="36" customHeight="1" spans="1:20">
      <c r="A21" s="54" t="s">
        <v>205</v>
      </c>
      <c r="B21" s="258" t="s">
        <v>170</v>
      </c>
      <c r="C21" s="261" t="s">
        <v>4</v>
      </c>
      <c r="D21" s="107" t="s">
        <v>96</v>
      </c>
      <c r="E21" s="108">
        <f>'①【国内】研究资源成本估算 (v1.0)'!$G$23</f>
        <v>500</v>
      </c>
      <c r="F21" s="109">
        <f>VLOOKUP($E$21,'【国内】问卷调研-数据源（OP单独执行） '!Z50:AD68,2,TRUE)</f>
        <v>0.18</v>
      </c>
      <c r="G21" s="109">
        <f>VLOOKUP($E$21,'【国内】问卷调研-数据源（OP单独执行） '!Z50:AD68,3,TRUE)</f>
        <v>0</v>
      </c>
      <c r="H21" s="109">
        <f>VLOOKUP($E$21,'【国内】问卷调研-数据源（OP单独执行） '!Z50:AD68,4,TRUE)</f>
        <v>2.42333333333333</v>
      </c>
      <c r="I21" s="109">
        <f>VLOOKUP($E$21,'【国内】问卷调研-数据源（OP单独执行） '!Z50:AD68,5,TRUE)</f>
        <v>2.9</v>
      </c>
      <c r="J21" s="109">
        <f t="shared" si="3"/>
        <v>5.50333333333333</v>
      </c>
      <c r="K21" s="109">
        <f t="shared" si="4"/>
        <v>4000</v>
      </c>
      <c r="N21" s="107" t="s">
        <v>95</v>
      </c>
      <c r="O21" s="1">
        <v>4</v>
      </c>
      <c r="P21" s="1">
        <v>5</v>
      </c>
      <c r="Q21" s="1">
        <v>7</v>
      </c>
      <c r="R21" s="1">
        <v>10</v>
      </c>
      <c r="S21" s="1">
        <v>14</v>
      </c>
      <c r="T21" s="1">
        <v>16</v>
      </c>
    </row>
    <row r="22" ht="36" customHeight="1" spans="1:20">
      <c r="A22" s="54" t="s">
        <v>206</v>
      </c>
      <c r="B22" s="258" t="s">
        <v>170</v>
      </c>
      <c r="C22" s="261" t="s">
        <v>4</v>
      </c>
      <c r="D22" s="107" t="s">
        <v>207</v>
      </c>
      <c r="E22" s="108">
        <f>'①【国内】研究资源成本估算 (v1.0)'!$G$24</f>
        <v>1000</v>
      </c>
      <c r="F22" s="109">
        <f>VLOOKUP($E$22,'【国内】问卷调研-数据源（OP单独执行） '!AH50:AL68,2,TRUE)</f>
        <v>0.54</v>
      </c>
      <c r="G22" s="109">
        <f>VLOOKUP($E$22,'【国内】问卷调研-数据源（OP单独执行） '!AH50:AL68,3,TRUE)</f>
        <v>0</v>
      </c>
      <c r="H22" s="109">
        <f>VLOOKUP($E$22,'【国内】问卷调研-数据源（OP单独执行） '!AH50:AL68,4,TRUE)</f>
        <v>4.01166666666667</v>
      </c>
      <c r="I22" s="109">
        <f>VLOOKUP($E$22,'【国内】问卷调研-数据源（OP单独执行） '!AH50:AL68,5,TRUE)</f>
        <v>4.2</v>
      </c>
      <c r="J22" s="109">
        <f t="shared" si="3"/>
        <v>8.75166666666667</v>
      </c>
      <c r="K22" s="109">
        <f t="shared" si="4"/>
        <v>9000</v>
      </c>
      <c r="N22" s="107" t="s">
        <v>96</v>
      </c>
      <c r="O22" s="1">
        <v>5</v>
      </c>
      <c r="P22" s="1">
        <v>6</v>
      </c>
      <c r="Q22" s="1">
        <v>8</v>
      </c>
      <c r="R22" s="1">
        <v>11.5</v>
      </c>
      <c r="S22" s="1">
        <v>16</v>
      </c>
      <c r="T22" s="1">
        <v>18</v>
      </c>
    </row>
    <row r="23" ht="36" customHeight="1" spans="1:20">
      <c r="A23" s="54" t="s">
        <v>175</v>
      </c>
      <c r="B23" s="258" t="s">
        <v>170</v>
      </c>
      <c r="C23" s="261" t="s">
        <v>4</v>
      </c>
      <c r="D23" s="107" t="s">
        <v>209</v>
      </c>
      <c r="E23" s="108">
        <f>'①【国内】研究资源成本估算 (v1.0)'!$G$25</f>
        <v>500</v>
      </c>
      <c r="F23" s="109">
        <f>VLOOKUP($E$23,'【国内】问卷调研-数据源（OP单独执行） '!AP50:AT68,2,TRUE)</f>
        <v>0.18</v>
      </c>
      <c r="G23" s="109">
        <f>VLOOKUP($E$23,'【国内】问卷调研-数据源（OP单独执行） '!AP50:AT68,3,TRUE)</f>
        <v>0</v>
      </c>
      <c r="H23" s="109">
        <f>VLOOKUP($E$23,'【国内】问卷调研-数据源（OP单独执行） '!AP50:AT68,4,TRUE)</f>
        <v>2.99</v>
      </c>
      <c r="I23" s="109">
        <f>VLOOKUP($E$23,'【国内】问卷调研-数据源（OP单独执行） '!AP50:AT68,5,TRUE)</f>
        <v>3.1</v>
      </c>
      <c r="J23" s="109">
        <f t="shared" si="3"/>
        <v>6.27</v>
      </c>
      <c r="K23" s="109">
        <f t="shared" si="4"/>
        <v>5000</v>
      </c>
      <c r="N23" s="107" t="s">
        <v>207</v>
      </c>
      <c r="O23" s="1">
        <v>6</v>
      </c>
      <c r="P23" s="1">
        <v>7</v>
      </c>
      <c r="Q23" s="1">
        <v>9</v>
      </c>
      <c r="R23" s="1">
        <v>13</v>
      </c>
      <c r="S23" s="1">
        <v>18</v>
      </c>
      <c r="T23" s="1">
        <v>20</v>
      </c>
    </row>
    <row r="24" ht="36" customHeight="1" spans="1:20">
      <c r="A24" s="54" t="s">
        <v>175</v>
      </c>
      <c r="B24" s="258" t="s">
        <v>170</v>
      </c>
      <c r="C24" s="261" t="s">
        <v>4</v>
      </c>
      <c r="D24" s="107" t="s">
        <v>211</v>
      </c>
      <c r="E24" s="108">
        <f>'①【国内】研究资源成本估算 (v1.0)'!$G$26</f>
        <v>2000</v>
      </c>
      <c r="F24" s="109">
        <f>VLOOKUP($E$24,'【国内】问卷调研-数据源（OP单独执行） '!AX50:BB68,2,TRUE)</f>
        <v>0.72</v>
      </c>
      <c r="G24" s="109">
        <f>VLOOKUP($E$24,'【国内】问卷调研-数据源（OP单独执行） '!AX50:BB68,3,TRUE)</f>
        <v>0</v>
      </c>
      <c r="H24" s="109">
        <f>VLOOKUP($E$24,'【国内】问卷调研-数据源（OP单独执行） '!AX50:BB68,4,TRUE)</f>
        <v>5.56</v>
      </c>
      <c r="I24" s="109">
        <f>VLOOKUP($E$24,'【国内】问卷调研-数据源（OP单独执行） '!AX50:BB68,5,TRUE)</f>
        <v>6.2</v>
      </c>
      <c r="J24" s="109">
        <f t="shared" si="3"/>
        <v>12.48</v>
      </c>
      <c r="K24" s="109">
        <f t="shared" si="4"/>
        <v>22000</v>
      </c>
      <c r="N24" s="107" t="s">
        <v>209</v>
      </c>
      <c r="O24" s="1">
        <v>7</v>
      </c>
      <c r="P24" s="1">
        <v>8</v>
      </c>
      <c r="Q24" s="1">
        <v>10</v>
      </c>
      <c r="R24" s="1">
        <v>14.5</v>
      </c>
      <c r="S24" s="1">
        <v>20</v>
      </c>
      <c r="T24" s="1">
        <v>22</v>
      </c>
    </row>
    <row r="25" ht="36" customHeight="1" spans="1:20">
      <c r="A25" s="54" t="s">
        <v>208</v>
      </c>
      <c r="B25" s="258" t="s">
        <v>170</v>
      </c>
      <c r="C25" s="262" t="s">
        <v>5</v>
      </c>
      <c r="D25" s="107" t="s">
        <v>199</v>
      </c>
      <c r="E25" s="108">
        <f>'①【国内】研究资源成本估算 (v1.0)'!$G$20</f>
        <v>400</v>
      </c>
      <c r="F25" s="109">
        <f>VLOOKUP($E$25,'【国内】问卷调研-数据源（OP单独执行） '!B73:F91,2,TRUE)</f>
        <v>0.18</v>
      </c>
      <c r="G25" s="109">
        <f>VLOOKUP($E$25,'【国内】问卷调研-数据源（OP单独执行） '!B73:F91,3,TRUE)</f>
        <v>0</v>
      </c>
      <c r="H25" s="109">
        <f>VLOOKUP($E$25,'【国内】问卷调研-数据源（OP单独执行） '!B73:F91,4,TRUE)</f>
        <v>1.91333333333333</v>
      </c>
      <c r="I25" s="109">
        <f>VLOOKUP($E$25,'【国内】问卷调研-数据源（OP单独执行） '!B73:F91,5,TRUE)</f>
        <v>2.8</v>
      </c>
      <c r="J25" s="109">
        <f t="shared" si="3"/>
        <v>4.89333333333333</v>
      </c>
      <c r="K25" s="109">
        <f>E25*R19</f>
        <v>2800</v>
      </c>
      <c r="N25" s="107" t="s">
        <v>211</v>
      </c>
      <c r="O25" s="1">
        <v>8</v>
      </c>
      <c r="P25" s="1">
        <v>9</v>
      </c>
      <c r="Q25" s="1">
        <v>11</v>
      </c>
      <c r="R25" s="1">
        <v>16</v>
      </c>
      <c r="S25" s="1">
        <v>22</v>
      </c>
      <c r="T25" s="1">
        <v>24</v>
      </c>
    </row>
    <row r="26" ht="36" customHeight="1" spans="1:20">
      <c r="A26" s="54" t="s">
        <v>210</v>
      </c>
      <c r="B26" s="258" t="s">
        <v>170</v>
      </c>
      <c r="C26" s="262" t="s">
        <v>5</v>
      </c>
      <c r="D26" s="107" t="s">
        <v>203</v>
      </c>
      <c r="E26" s="108">
        <f>'①【国内】研究资源成本估算 (v1.0)'!$G$21</f>
        <v>1000</v>
      </c>
      <c r="F26" s="109">
        <f>VLOOKUP($E$26,'【国内】问卷调研-数据源（OP单独执行） '!J73:N91,2,TRUE)</f>
        <v>0.54</v>
      </c>
      <c r="G26" s="109">
        <f>VLOOKUP($E$26,'【国内】问卷调研-数据源（OP单独执行） '!J73:N91,3,TRUE)</f>
        <v>0</v>
      </c>
      <c r="H26" s="109">
        <f>VLOOKUP($E$26,'【国内】问卷调研-数据源（OP单独执行） '!J73:N91,4,TRUE)</f>
        <v>3.16166666666667</v>
      </c>
      <c r="I26" s="109">
        <f>VLOOKUP($E$26,'【国内】问卷调研-数据源（OP单独执行） '!J73:N91,5,TRUE)</f>
        <v>4.1</v>
      </c>
      <c r="J26" s="109">
        <f t="shared" si="3"/>
        <v>7.80166666666667</v>
      </c>
      <c r="K26" s="109">
        <f t="shared" ref="K26:K31" si="5">E26*R20</f>
        <v>8500</v>
      </c>
    </row>
    <row r="27" ht="36" customHeight="1" spans="1:20">
      <c r="A27" s="54" t="s">
        <v>221</v>
      </c>
      <c r="B27" s="258" t="s">
        <v>170</v>
      </c>
      <c r="C27" s="262" t="s">
        <v>5</v>
      </c>
      <c r="D27" s="107" t="s">
        <v>95</v>
      </c>
      <c r="E27" s="108">
        <f>'①【国内】研究资源成本估算 (v1.0)'!$G$22</f>
        <v>500</v>
      </c>
      <c r="F27" s="109">
        <f>VLOOKUP($E$27,'【国内】问卷调研-数据源（OP单独执行） '!R73:V91,2,TRUE)</f>
        <v>0.18</v>
      </c>
      <c r="G27" s="109">
        <f>VLOOKUP($E$27,'【国内】问卷调研-数据源（OP单独执行） '!R73:V91,3,TRUE)</f>
        <v>0</v>
      </c>
      <c r="H27" s="109">
        <f>VLOOKUP($E$27,'【国内】问卷调研-数据源（OP单独执行） '!R73:V91,4,TRUE)</f>
        <v>2.67266666666667</v>
      </c>
      <c r="I27" s="109">
        <f>VLOOKUP($E$27,'【国内】问卷调研-数据源（OP单独执行） '!R73:V91,5,TRUE)</f>
        <v>3</v>
      </c>
      <c r="J27" s="109">
        <f t="shared" si="3"/>
        <v>5.85266666666667</v>
      </c>
      <c r="K27" s="109">
        <f t="shared" si="5"/>
        <v>5000</v>
      </c>
    </row>
    <row r="28" ht="36" customHeight="1" spans="1:20">
      <c r="A28" s="54" t="s">
        <v>225</v>
      </c>
      <c r="B28" s="258" t="s">
        <v>170</v>
      </c>
      <c r="C28" s="262" t="s">
        <v>5</v>
      </c>
      <c r="D28" s="107" t="s">
        <v>96</v>
      </c>
      <c r="E28" s="108">
        <f>'①【国内】研究资源成本估算 (v1.0)'!$G$23</f>
        <v>500</v>
      </c>
      <c r="F28" s="109">
        <f>VLOOKUP($E$28,'【国内】问卷调研-数据源（OP单独执行） '!Z73:AD91,2,TRUE)</f>
        <v>0.18</v>
      </c>
      <c r="G28" s="109">
        <f>VLOOKUP($E$28,'【国内】问卷调研-数据源（OP单独执行） '!Z73:AD91,3,TRUE)</f>
        <v>0</v>
      </c>
      <c r="H28" s="109">
        <f>VLOOKUP($E$28,'【国内】问卷调研-数据源（OP单独执行） '!Z73:AD91,4,TRUE)</f>
        <v>3.09766666666667</v>
      </c>
      <c r="I28" s="109">
        <f>VLOOKUP($E$28,'【国内】问卷调研-数据源（OP单独执行） '!Z73:AD91,5,TRUE)</f>
        <v>3.1</v>
      </c>
      <c r="J28" s="109">
        <f t="shared" si="3"/>
        <v>6.37766666666667</v>
      </c>
      <c r="K28" s="109">
        <f t="shared" si="5"/>
        <v>5750</v>
      </c>
    </row>
    <row r="29" ht="36" customHeight="1" spans="1:20">
      <c r="A29" s="54" t="s">
        <v>228</v>
      </c>
      <c r="B29" s="258" t="s">
        <v>170</v>
      </c>
      <c r="C29" s="262" t="s">
        <v>5</v>
      </c>
      <c r="D29" s="107" t="s">
        <v>207</v>
      </c>
      <c r="E29" s="108">
        <f>'①【国内】研究资源成本估算 (v1.0)'!$G$24</f>
        <v>1000</v>
      </c>
      <c r="F29" s="109">
        <f>VLOOKUP($E$29,'【国内】问卷调研-数据源（OP单独执行） '!AH73:AL91,2,TRUE)</f>
        <v>0.558</v>
      </c>
      <c r="G29" s="109">
        <f>VLOOKUP($E$29,'【国内】问卷调研-数据源（OP单独执行） '!AH73:AL91,3,TRUE)</f>
        <v>0</v>
      </c>
      <c r="H29" s="109">
        <f>VLOOKUP($E$29,'【国内】问卷调研-数据源（OP单独执行） '!AH73:AL91,4,TRUE)</f>
        <v>4.114</v>
      </c>
      <c r="I29" s="109">
        <f>VLOOKUP($E$29,'【国内】问卷调研-数据源（OP单独执行） '!AH73:AL91,5,TRUE)</f>
        <v>4.4</v>
      </c>
      <c r="J29" s="109">
        <f t="shared" si="3"/>
        <v>9.072</v>
      </c>
      <c r="K29" s="109">
        <f t="shared" si="5"/>
        <v>13000</v>
      </c>
    </row>
    <row r="30" ht="36" customHeight="1" spans="1:20">
      <c r="A30" s="54" t="s">
        <v>175</v>
      </c>
      <c r="B30" s="258" t="s">
        <v>170</v>
      </c>
      <c r="C30" s="262" t="s">
        <v>5</v>
      </c>
      <c r="D30" s="107" t="s">
        <v>209</v>
      </c>
      <c r="E30" s="108">
        <f>'①【国内】研究资源成本估算 (v1.0)'!$G$25</f>
        <v>500</v>
      </c>
      <c r="F30" s="109">
        <f>VLOOKUP($E$30,'【国内】问卷调研-数据源（OP单独执行） '!AP73:AT91,2,TRUE)</f>
        <v>0.18</v>
      </c>
      <c r="G30" s="109">
        <f>VLOOKUP($E$30,'【国内】问卷调研-数据源（OP单独执行） '!AP73:AT91,3,TRUE)</f>
        <v>0</v>
      </c>
      <c r="H30" s="109">
        <f>VLOOKUP($E$30,'【国内】问卷调研-数据源（OP单独执行） '!AP73:AT91,4,TRUE)</f>
        <v>3.66433333333333</v>
      </c>
      <c r="I30" s="109">
        <f>VLOOKUP($E$30,'【国内】问卷调研-数据源（OP单独执行） '!AP73:AT91,5,TRUE)</f>
        <v>3.3</v>
      </c>
      <c r="J30" s="109">
        <f t="shared" si="3"/>
        <v>7.14433333333333</v>
      </c>
      <c r="K30" s="109">
        <f t="shared" si="5"/>
        <v>7250</v>
      </c>
    </row>
    <row r="31" ht="36" customHeight="1" spans="1:20">
      <c r="A31" s="54" t="s">
        <v>175</v>
      </c>
      <c r="B31" s="258" t="s">
        <v>170</v>
      </c>
      <c r="C31" s="262" t="s">
        <v>5</v>
      </c>
      <c r="D31" s="107" t="s">
        <v>211</v>
      </c>
      <c r="E31" s="108">
        <f>'①【国内】研究资源成本估算 (v1.0)'!$G$26</f>
        <v>2000</v>
      </c>
      <c r="F31" s="109">
        <f>VLOOKUP($E$31,'【国内】问卷调研-数据源（OP单独执行） '!AX73:BB91,2,TRUE)</f>
        <v>0.756</v>
      </c>
      <c r="G31" s="109">
        <f>VLOOKUP($E$31,'【国内】问卷调研-数据源（OP单独执行） '!AX73:BB91,3,TRUE)</f>
        <v>0</v>
      </c>
      <c r="H31" s="109">
        <f>VLOOKUP($E$31,'【国内】问卷调研-数据源（OP单独执行） '!AX73:BB91,4,TRUE)</f>
        <v>6.79033333333333</v>
      </c>
      <c r="I31" s="109">
        <f>VLOOKUP($E$31,'【国内】问卷调研-数据源（OP单独执行） '!AX73:BB91,5,TRUE)</f>
        <v>6.4</v>
      </c>
      <c r="J31" s="109">
        <f t="shared" si="3"/>
        <v>13.9463333333333</v>
      </c>
      <c r="K31" s="109">
        <f t="shared" si="5"/>
        <v>32000</v>
      </c>
    </row>
    <row r="32" ht="36" customHeight="1" spans="1:20">
      <c r="A32" s="54" t="s">
        <v>230</v>
      </c>
      <c r="B32" s="258" t="s">
        <v>170</v>
      </c>
      <c r="C32" s="263" t="s">
        <v>123</v>
      </c>
      <c r="D32" s="107" t="s">
        <v>199</v>
      </c>
      <c r="E32" s="108">
        <f>'①【国内】研究资源成本估算 (v1.0)'!$G$20</f>
        <v>400</v>
      </c>
      <c r="F32" s="109">
        <f>VLOOKUP($E$32,'【国内】问卷调研-数据源（OP单独执行） '!B96:F114,2,TRUE)</f>
        <v>0.18</v>
      </c>
      <c r="G32" s="109">
        <f>VLOOKUP($E$32,'【国内】问卷调研-数据源（OP单独执行） '!B96:F114,3,TRUE)</f>
        <v>0</v>
      </c>
      <c r="H32" s="109">
        <f>VLOOKUP($E$32,'【国内】问卷调研-数据源（OP单独执行） '!B96:F114,4,TRUE)</f>
        <v>2.19666666666667</v>
      </c>
      <c r="I32" s="109">
        <f>VLOOKUP($E$32,'【国内】问卷调研-数据源（OP单独执行） '!B96:F114,5,TRUE)</f>
        <v>2.9</v>
      </c>
      <c r="J32" s="109">
        <f t="shared" si="3"/>
        <v>5.27666666666667</v>
      </c>
      <c r="K32" s="109">
        <f>E32*S19</f>
        <v>4000</v>
      </c>
    </row>
    <row r="33" ht="36" customHeight="1" spans="1:13">
      <c r="A33" s="54" t="s">
        <v>232</v>
      </c>
      <c r="B33" s="258" t="s">
        <v>170</v>
      </c>
      <c r="C33" s="263" t="s">
        <v>123</v>
      </c>
      <c r="D33" s="107" t="s">
        <v>203</v>
      </c>
      <c r="E33" s="108">
        <f>'①【国内】研究资源成本估算 (v1.0)'!$G$21</f>
        <v>1000</v>
      </c>
      <c r="F33" s="109">
        <f>VLOOKUP($E$33,'【国内】问卷调研-数据源（OP单独执行） '!$J96:$N114,2,TRUE)</f>
        <v>0.72</v>
      </c>
      <c r="G33" s="109">
        <f>VLOOKUP($E$33,'【国内】问卷调研-数据源（OP单独执行） '!$J96:$N114,3,TRUE)</f>
        <v>0</v>
      </c>
      <c r="H33" s="109">
        <f>VLOOKUP($E$33,'【国内】问卷调研-数据源（OP单独执行） '!$J96:$N114,4,TRUE)</f>
        <v>3.097</v>
      </c>
      <c r="I33" s="109">
        <f>VLOOKUP($E$33,'【国内】问卷调研-数据源（OP单独执行） '!$J96:$N114,5,TRUE)</f>
        <v>4.2</v>
      </c>
      <c r="J33" s="109">
        <f t="shared" si="3"/>
        <v>8.017</v>
      </c>
      <c r="K33" s="109">
        <f t="shared" ref="K33:K38" si="6">E33*S20</f>
        <v>12000</v>
      </c>
    </row>
    <row r="34" ht="36" customHeight="1" spans="1:13">
      <c r="A34" s="54" t="s">
        <v>241</v>
      </c>
      <c r="B34" s="258" t="s">
        <v>170</v>
      </c>
      <c r="C34" s="263" t="s">
        <v>123</v>
      </c>
      <c r="D34" s="107" t="s">
        <v>95</v>
      </c>
      <c r="E34" s="108">
        <f>'①【国内】研究资源成本估算 (v1.0)'!$G$22</f>
        <v>500</v>
      </c>
      <c r="F34" s="109">
        <f>VLOOKUP($E$34,'【国内】问卷调研-数据源（OP单独执行） '!$R96:$V114,2,TRUE)</f>
        <v>0.18</v>
      </c>
      <c r="G34" s="109">
        <f>VLOOKUP($E$34,'【国内】问卷调研-数据源（OP单独执行） '!$R96:$V114,3,TRUE)</f>
        <v>0</v>
      </c>
      <c r="H34" s="109">
        <f>VLOOKUP($E$34,'【国内】问卷调研-数据源（OP单独执行） '!$R96:$V114,4,TRUE)</f>
        <v>2.76333333333333</v>
      </c>
      <c r="I34" s="109">
        <f>VLOOKUP($E$34,'【国内】问卷调研-数据源（OP单独执行） '!$R96:$V114,5,TRUE)</f>
        <v>3.1</v>
      </c>
      <c r="J34" s="109">
        <f t="shared" si="3"/>
        <v>6.04333333333333</v>
      </c>
      <c r="K34" s="109">
        <f t="shared" si="6"/>
        <v>7000</v>
      </c>
    </row>
    <row r="35" ht="36" customHeight="1" spans="1:13">
      <c r="A35" s="54" t="s">
        <v>246</v>
      </c>
      <c r="B35" s="258" t="s">
        <v>170</v>
      </c>
      <c r="C35" s="263" t="s">
        <v>123</v>
      </c>
      <c r="D35" s="107" t="s">
        <v>96</v>
      </c>
      <c r="E35" s="108">
        <f>'①【国内】研究资源成本估算 (v1.0)'!$G$23</f>
        <v>500</v>
      </c>
      <c r="F35" s="109">
        <f>VLOOKUP($E$35,'【国内】问卷调研-数据源（OP单独执行） '!$Z96:$AD114,2,TRUE)</f>
        <v>0.18</v>
      </c>
      <c r="G35" s="109">
        <f>VLOOKUP($E$35,'【国内】问卷调研-数据源（OP单独执行） '!$Z96:$AD114,3,TRUE)</f>
        <v>0</v>
      </c>
      <c r="H35" s="109">
        <f>VLOOKUP($E$35,'【国内】问卷调研-数据源（OP单独执行） '!$Z96:$AD114,4,TRUE)</f>
        <v>3.04666666666667</v>
      </c>
      <c r="I35" s="109">
        <f>VLOOKUP($E$35,'【国内】问卷调研-数据源（OP单独执行） '!$Z96:$AD114,5,TRUE)</f>
        <v>3.2</v>
      </c>
      <c r="J35" s="109">
        <f t="shared" si="3"/>
        <v>6.42666666666667</v>
      </c>
      <c r="K35" s="109">
        <f t="shared" si="6"/>
        <v>8000</v>
      </c>
    </row>
    <row r="36" ht="36" customHeight="1" spans="1:13">
      <c r="A36" s="54" t="s">
        <v>249</v>
      </c>
      <c r="B36" s="258" t="s">
        <v>170</v>
      </c>
      <c r="C36" s="263" t="s">
        <v>123</v>
      </c>
      <c r="D36" s="107" t="s">
        <v>207</v>
      </c>
      <c r="E36" s="108">
        <f>'①【国内】研究资源成本估算 (v1.0)'!$G$24</f>
        <v>1000</v>
      </c>
      <c r="F36" s="109">
        <f>VLOOKUP($E$36,'【国内】问卷调研-数据源（OP单独执行） '!$AH96:$AL114,2,TRUE)</f>
        <v>0.72</v>
      </c>
      <c r="G36" s="109">
        <f>VLOOKUP($E$36,'【国内】问卷调研-数据源（OP单独执行） '!$AH96:$AL114,3,TRUE)</f>
        <v>0</v>
      </c>
      <c r="H36" s="109">
        <f>VLOOKUP($E$36,'【国内】问卷调研-数据源（OP单独执行） '!$AH96:$AL114,4,TRUE)</f>
        <v>3.947</v>
      </c>
      <c r="I36" s="109">
        <f>VLOOKUP($E$36,'【国内】问卷调研-数据源（OP单独执行） '!$AH96:$AL114,5,TRUE)</f>
        <v>4.5</v>
      </c>
      <c r="J36" s="109">
        <f t="shared" si="3"/>
        <v>9.167</v>
      </c>
      <c r="K36" s="109">
        <f t="shared" si="6"/>
        <v>18000</v>
      </c>
    </row>
    <row r="37" ht="36" customHeight="1" spans="1:13">
      <c r="A37" s="54" t="s">
        <v>175</v>
      </c>
      <c r="B37" s="258" t="s">
        <v>170</v>
      </c>
      <c r="C37" s="263" t="s">
        <v>123</v>
      </c>
      <c r="D37" s="107" t="s">
        <v>209</v>
      </c>
      <c r="E37" s="108">
        <f>'①【国内】研究资源成本估算 (v1.0)'!$G$25</f>
        <v>500</v>
      </c>
      <c r="F37" s="109">
        <f>VLOOKUP($E$37,'【国内】问卷调研-数据源（OP单独执行） '!$AP96:$AT114,2,TRUE)</f>
        <v>0.18</v>
      </c>
      <c r="G37" s="109">
        <f>VLOOKUP($E$37,'【国内】问卷调研-数据源（OP单独执行） '!$AP96:$AT114,3,TRUE)</f>
        <v>0</v>
      </c>
      <c r="H37" s="109">
        <f>VLOOKUP($E$37,'【国内】问卷调研-数据源（OP单独执行） '!$AP96:$AT114,4,TRUE)</f>
        <v>3.61333333333333</v>
      </c>
      <c r="I37" s="109">
        <f>VLOOKUP($E$37,'【国内】问卷调研-数据源（OP单独执行） '!$AP96:$AT114,5,TRUE)</f>
        <v>3.4</v>
      </c>
      <c r="J37" s="109">
        <f t="shared" si="3"/>
        <v>7.19333333333334</v>
      </c>
      <c r="K37" s="109">
        <f t="shared" si="6"/>
        <v>10000</v>
      </c>
    </row>
    <row r="38" ht="36" customHeight="1" spans="1:13">
      <c r="A38" s="54" t="s">
        <v>175</v>
      </c>
      <c r="B38" s="258" t="s">
        <v>170</v>
      </c>
      <c r="C38" s="263" t="s">
        <v>123</v>
      </c>
      <c r="D38" s="107" t="s">
        <v>211</v>
      </c>
      <c r="E38" s="108">
        <f>'①【国内】研究资源成本估算 (v1.0)'!$G$26</f>
        <v>2000</v>
      </c>
      <c r="F38" s="109">
        <f>VLOOKUP($E$38,'【国内】问卷调研-数据源（OP单独执行） '!$AX96:$BB114,2,TRUE)</f>
        <v>0.9</v>
      </c>
      <c r="G38" s="109">
        <f>VLOOKUP($E$38,'【国内】问卷调研-数据源（OP单独执行） '!$AX96:$BB114,3,TRUE)</f>
        <v>0</v>
      </c>
      <c r="H38" s="109">
        <f>VLOOKUP($E$38,'【国内】问卷调研-数据源（OP单独执行） '!$AX96:$BB114,4,TRUE)</f>
        <v>6.309</v>
      </c>
      <c r="I38" s="109">
        <f>VLOOKUP($E$38,'【国内】问卷调研-数据源（OP单独执行） '!$AX96:$BB114,5,TRUE)</f>
        <v>6.5</v>
      </c>
      <c r="J38" s="109">
        <f t="shared" si="3"/>
        <v>13.709</v>
      </c>
      <c r="K38" s="109">
        <f t="shared" si="6"/>
        <v>44000</v>
      </c>
    </row>
    <row r="39" ht="36" customHeight="1" spans="1:13">
      <c r="A39" s="54" t="s">
        <v>252</v>
      </c>
      <c r="B39" s="258" t="s">
        <v>170</v>
      </c>
      <c r="C39" s="264" t="s">
        <v>124</v>
      </c>
      <c r="D39" s="107" t="s">
        <v>199</v>
      </c>
      <c r="E39" s="108">
        <f>'①【国内】研究资源成本估算 (v1.0)'!$G$20</f>
        <v>400</v>
      </c>
      <c r="F39" s="109">
        <f>VLOOKUP($E$39,'【国内】问卷调研-数据源（OP单独执行） '!$B119:$F137,2,TRUE)</f>
        <v>0.18</v>
      </c>
      <c r="G39" s="109">
        <f>VLOOKUP($E$39,'【国内】问卷调研-数据源（OP单独执行） '!$B119:$F137,3,TRUE)</f>
        <v>0</v>
      </c>
      <c r="H39" s="109">
        <f>VLOOKUP($E$39,'【国内】问卷调研-数据源（OP单独执行） '!$B119:$F137,4,TRUE)</f>
        <v>2.48</v>
      </c>
      <c r="I39" s="109">
        <f>VLOOKUP($E$39,'【国内】问卷调研-数据源（OP单独执行） '!$B119:$F137,5,TRUE)</f>
        <v>3</v>
      </c>
      <c r="J39" s="109">
        <f t="shared" si="3"/>
        <v>5.66</v>
      </c>
      <c r="K39" s="109">
        <f t="shared" ref="K39:K45" si="7">E39*T19</f>
        <v>4800</v>
      </c>
      <c r="M39" s="107" t="s">
        <v>93</v>
      </c>
    </row>
    <row r="40" ht="36" customHeight="1" spans="1:13">
      <c r="A40" s="54" t="s">
        <v>265</v>
      </c>
      <c r="B40" s="258" t="s">
        <v>170</v>
      </c>
      <c r="C40" s="264" t="s">
        <v>124</v>
      </c>
      <c r="D40" s="107" t="s">
        <v>203</v>
      </c>
      <c r="E40" s="108">
        <f>'①【国内】研究资源成本估算 (v1.0)'!$G$21</f>
        <v>1000</v>
      </c>
      <c r="F40" s="109">
        <f>VLOOKUP($E$40,'【国内】问卷调研-数据源（OP单独执行） '!$J119:$N137,2,TRUE)</f>
        <v>0.9</v>
      </c>
      <c r="G40" s="109">
        <f>VLOOKUP($E$40,'【国内】问卷调研-数据源（OP单独执行） '!$J119:$N137,3,TRUE)</f>
        <v>0</v>
      </c>
      <c r="H40" s="109">
        <f>VLOOKUP($E$40,'【国内】问卷调研-数据源（OP单独执行） '!$J119:$N137,4,TRUE)</f>
        <v>2.987</v>
      </c>
      <c r="I40" s="109">
        <f>VLOOKUP($E$40,'【国内】问卷调研-数据源（OP单独执行） '!$J119:$N137,5,TRUE)</f>
        <v>4.3</v>
      </c>
      <c r="J40" s="109">
        <f t="shared" si="3"/>
        <v>8.187</v>
      </c>
      <c r="K40" s="109">
        <f t="shared" si="7"/>
        <v>14000</v>
      </c>
      <c r="M40" s="107" t="s">
        <v>94</v>
      </c>
    </row>
    <row r="41" ht="36" customHeight="1" spans="1:13">
      <c r="A41" s="54" t="s">
        <v>266</v>
      </c>
      <c r="B41" s="258" t="s">
        <v>170</v>
      </c>
      <c r="C41" s="264" t="s">
        <v>124</v>
      </c>
      <c r="D41" s="107" t="s">
        <v>95</v>
      </c>
      <c r="E41" s="108">
        <f>'①【国内】研究资源成本估算 (v1.0)'!$G$22</f>
        <v>500</v>
      </c>
      <c r="F41" s="109">
        <f>VLOOKUP($E$41,'【国内】问卷调研-数据源（OP单独执行） '!$R119:$V137,2,TRUE)</f>
        <v>0.18</v>
      </c>
      <c r="G41" s="109">
        <f>VLOOKUP($E$41,'【国内】问卷调研-数据源（OP单独执行） '!$R119:$V137,3,TRUE)</f>
        <v>0</v>
      </c>
      <c r="H41" s="109">
        <f>VLOOKUP($E$41,'【国内】问卷调研-数据源（OP单独执行） '!$R119:$V137,4,TRUE)</f>
        <v>3.04666666666667</v>
      </c>
      <c r="I41" s="109">
        <f>VLOOKUP($E$41,'【国内】问卷调研-数据源（OP单独执行） '!$R119:$V137,5,TRUE)</f>
        <v>3.2</v>
      </c>
      <c r="J41" s="109">
        <f t="shared" si="3"/>
        <v>6.42666666666667</v>
      </c>
      <c r="K41" s="109">
        <f t="shared" si="7"/>
        <v>8000</v>
      </c>
      <c r="M41" s="107" t="s">
        <v>95</v>
      </c>
    </row>
    <row r="42" ht="36" customHeight="1" spans="1:13">
      <c r="A42" s="54" t="s">
        <v>297</v>
      </c>
      <c r="B42" s="258" t="s">
        <v>170</v>
      </c>
      <c r="C42" s="264" t="s">
        <v>124</v>
      </c>
      <c r="D42" s="107" t="s">
        <v>96</v>
      </c>
      <c r="E42" s="108">
        <f>'①【国内】研究资源成本估算 (v1.0)'!$G$23</f>
        <v>500</v>
      </c>
      <c r="F42" s="109">
        <f>VLOOKUP($E$42,'【国内】问卷调研-数据源（OP单独执行） '!$Z119:$AD137,2,TRUE)</f>
        <v>0.18</v>
      </c>
      <c r="G42" s="109">
        <f>VLOOKUP($E$42,'【国内】问卷调研-数据源（OP单独执行） '!$Z119:$AD137,3,TRUE)</f>
        <v>0</v>
      </c>
      <c r="H42" s="109">
        <f>VLOOKUP($E$42,'【国内】问卷调研-数据源（OP单独执行） '!$Z119:$AD137,4,TRUE)</f>
        <v>3.61333333333333</v>
      </c>
      <c r="I42" s="109">
        <f>VLOOKUP($E$42,'【国内】问卷调研-数据源（OP单独执行） '!$Z119:$AD137,5,TRUE)</f>
        <v>3.3</v>
      </c>
      <c r="J42" s="109">
        <f t="shared" si="3"/>
        <v>7.09333333333334</v>
      </c>
      <c r="K42" s="109">
        <f t="shared" si="7"/>
        <v>9000</v>
      </c>
      <c r="M42" s="107" t="s">
        <v>96</v>
      </c>
    </row>
    <row r="43" ht="36" customHeight="1" spans="1:13">
      <c r="A43" s="54" t="s">
        <v>275</v>
      </c>
      <c r="B43" s="258" t="s">
        <v>170</v>
      </c>
      <c r="C43" s="264" t="s">
        <v>124</v>
      </c>
      <c r="D43" s="107" t="s">
        <v>207</v>
      </c>
      <c r="E43" s="108">
        <f>'①【国内】研究资源成本估算 (v1.0)'!$G$24</f>
        <v>1000</v>
      </c>
      <c r="F43" s="109">
        <f>VLOOKUP($E$43,'【国内】问卷调研-数据源（OP单独执行） '!$AH119:$AL137,2,TRUE)</f>
        <v>0.9</v>
      </c>
      <c r="G43" s="109">
        <f>VLOOKUP($E$43,'【国内】问卷调研-数据源（OP单独执行） '!$AH119:$AL137,3,TRUE)</f>
        <v>0</v>
      </c>
      <c r="H43" s="109">
        <f>VLOOKUP($E$43,'【国内】问卷调研-数据源（OP单独执行） '!$AH119:$AL137,4,TRUE)</f>
        <v>4.40366666666667</v>
      </c>
      <c r="I43" s="109">
        <f>VLOOKUP($E$43,'【国内】问卷调研-数据源（OP单独执行） '!$AH119:$AL137,5,TRUE)</f>
        <v>4.6</v>
      </c>
      <c r="J43" s="109">
        <f t="shared" si="3"/>
        <v>9.90366666666667</v>
      </c>
      <c r="K43" s="109">
        <f t="shared" si="7"/>
        <v>20000</v>
      </c>
      <c r="M43" s="107" t="s">
        <v>207</v>
      </c>
    </row>
    <row r="44" ht="36" customHeight="1" spans="1:13">
      <c r="A44" s="54" t="s">
        <v>175</v>
      </c>
      <c r="B44" s="258" t="s">
        <v>170</v>
      </c>
      <c r="C44" s="264" t="s">
        <v>124</v>
      </c>
      <c r="D44" s="107" t="s">
        <v>209</v>
      </c>
      <c r="E44" s="108">
        <f>'①【国内】研究资源成本估算 (v1.0)'!$G$25</f>
        <v>500</v>
      </c>
      <c r="F44" s="109">
        <f>VLOOKUP($E$44,'【国内】问卷调研-数据源（OP单独执行） '!$AP119:$AT137,2,TRUE)</f>
        <v>0.18</v>
      </c>
      <c r="G44" s="109">
        <f>VLOOKUP($E$44,'【国内】问卷调研-数据源（OP单独执行） '!$AP119:$AT137,3,TRUE)</f>
        <v>0</v>
      </c>
      <c r="H44" s="109">
        <f>VLOOKUP($E$44,'【国内】问卷调研-数据源（OP单独执行） '!$AP119:$AT137,4,TRUE)</f>
        <v>4.74666666666667</v>
      </c>
      <c r="I44" s="109">
        <f>VLOOKUP($E$44,'【国内】问卷调研-数据源（OP单独执行） '!$AP119:$AT137,5,TRUE)</f>
        <v>3.5</v>
      </c>
      <c r="J44" s="109">
        <f t="shared" si="3"/>
        <v>8.42666666666667</v>
      </c>
      <c r="K44" s="109">
        <f t="shared" si="7"/>
        <v>11000</v>
      </c>
      <c r="M44" s="107" t="s">
        <v>209</v>
      </c>
    </row>
    <row r="45" ht="36" customHeight="1" spans="1:13">
      <c r="A45" s="54" t="s">
        <v>175</v>
      </c>
      <c r="B45" s="258" t="s">
        <v>170</v>
      </c>
      <c r="C45" s="264" t="s">
        <v>124</v>
      </c>
      <c r="D45" s="107" t="s">
        <v>211</v>
      </c>
      <c r="E45" s="108">
        <f>'①【国内】研究资源成本估算 (v1.0)'!$G$26</f>
        <v>2000</v>
      </c>
      <c r="F45" s="109">
        <f>VLOOKUP($E$45,'【国内】问卷调研-数据源（OP单独执行） '!$AX119:$BB137,2,TRUE)</f>
        <v>1.08</v>
      </c>
      <c r="G45" s="109">
        <f>VLOOKUP($E$45,'【国内】问卷调研-数据源（OP单独执行） '!$AX119:$BB137,3,TRUE)</f>
        <v>0</v>
      </c>
      <c r="H45" s="109">
        <f>VLOOKUP($E$45,'【国内】问卷调研-数据源（OP单独执行） '!$AX119:$BB137,4,TRUE)</f>
        <v>7.35733333333333</v>
      </c>
      <c r="I45" s="109">
        <f>VLOOKUP($E$45,'【国内】问卷调研-数据源（OP单独执行） '!$AX119:$BB137,5,TRUE)</f>
        <v>6.6</v>
      </c>
      <c r="J45" s="109">
        <f t="shared" si="3"/>
        <v>15.0373333333333</v>
      </c>
      <c r="K45" s="109">
        <f t="shared" si="7"/>
        <v>48000</v>
      </c>
      <c r="M45" s="107" t="s">
        <v>211</v>
      </c>
    </row>
    <row r="46" ht="17.25" spans="1:13">
      <c r="B46" s="258" t="s">
        <v>30</v>
      </c>
      <c r="C46" s="259" t="s">
        <v>1</v>
      </c>
      <c r="D46" s="107" t="s">
        <v>199</v>
      </c>
      <c r="E46" s="108">
        <f>'①【国内】研究资源成本估算 (v1.0)'!$G$20</f>
        <v>400</v>
      </c>
      <c r="F46" s="109">
        <f>VLOOKUP($E$46,'【国内】问卷调研-数据源（P3单独执行） '!B4:F22,2,TRUE)</f>
        <v>0</v>
      </c>
      <c r="G46" s="109">
        <f>VLOOKUP($E$46,'【国内】问卷调研-数据源（P3单独执行） '!B4:F22,4,TRUE)</f>
        <v>0.5</v>
      </c>
      <c r="H46" s="109">
        <v>0</v>
      </c>
      <c r="I46" s="109">
        <f>VLOOKUP($E$46,'【国内】问卷调研-数据源（P3单独执行） '!B4:F22,5,TRUE)</f>
        <v>0.9</v>
      </c>
      <c r="J46" s="109">
        <f t="shared" si="3"/>
        <v>1.4</v>
      </c>
      <c r="K46" s="109">
        <f>E46*O19</f>
        <v>800</v>
      </c>
    </row>
    <row r="47" ht="17.25" spans="1:13">
      <c r="B47" s="258" t="s">
        <v>30</v>
      </c>
      <c r="C47" s="259" t="s">
        <v>1</v>
      </c>
      <c r="D47" s="107" t="s">
        <v>203</v>
      </c>
      <c r="E47" s="108">
        <f>'①【国内】研究资源成本估算 (v1.0)'!$G$21</f>
        <v>1000</v>
      </c>
      <c r="F47" s="109">
        <f>VLOOKUP($E$47,'【国内】问卷调研-数据源（P3单独执行） '!J4:N22,2,TRUE)</f>
        <v>0</v>
      </c>
      <c r="G47" s="109">
        <f>VLOOKUP($E$47,'【国内】问卷调研-数据源（P3单独执行） '!J4:N22,4,TRUE)</f>
        <v>1.6</v>
      </c>
      <c r="H47" s="109">
        <v>0</v>
      </c>
      <c r="I47" s="109">
        <f>VLOOKUP($E$47,'【国内】问卷调研-数据源（P3单独执行） '!J4:N22,5,TRUE)</f>
        <v>1</v>
      </c>
      <c r="J47" s="109">
        <f t="shared" si="3"/>
        <v>2.6</v>
      </c>
      <c r="K47" s="109">
        <f t="shared" ref="K47:K52" si="8">E47*O20</f>
        <v>3000</v>
      </c>
    </row>
    <row r="48" ht="17.25" spans="1:13">
      <c r="B48" s="258" t="s">
        <v>30</v>
      </c>
      <c r="C48" s="259" t="s">
        <v>1</v>
      </c>
      <c r="D48" s="107" t="s">
        <v>95</v>
      </c>
      <c r="E48" s="108">
        <f>'①【国内】研究资源成本估算 (v1.0)'!$G$22</f>
        <v>500</v>
      </c>
      <c r="F48" s="109">
        <f>VLOOKUP($E$48,'【国内】问卷调研-数据源（P3单独执行） '!R4:V22,2,TRUE)</f>
        <v>0</v>
      </c>
      <c r="G48" s="109">
        <f>VLOOKUP($E$48,'【国内】问卷调研-数据源（P3单独执行） '!R4:V22,4,TRUE)</f>
        <v>0.7</v>
      </c>
      <c r="H48" s="109">
        <v>0</v>
      </c>
      <c r="I48" s="109">
        <f>VLOOKUP($E$48,'【国内】问卷调研-数据源（P3单独执行） '!R4:V22,5,TRUE)</f>
        <v>1.1</v>
      </c>
      <c r="J48" s="109">
        <f t="shared" si="3"/>
        <v>1.8</v>
      </c>
      <c r="K48" s="109">
        <f t="shared" si="8"/>
        <v>2000</v>
      </c>
    </row>
    <row r="49" ht="17.25" spans="2:11">
      <c r="B49" s="258" t="s">
        <v>30</v>
      </c>
      <c r="C49" s="259" t="s">
        <v>1</v>
      </c>
      <c r="D49" s="107" t="s">
        <v>96</v>
      </c>
      <c r="E49" s="108">
        <f>'①【国内】研究资源成本估算 (v1.0)'!$G$23</f>
        <v>500</v>
      </c>
      <c r="F49" s="109">
        <f>VLOOKUP($E$49,'【国内】问卷调研-数据源（P3单独执行） '!$Z4:$AD22,2,TRUE)</f>
        <v>0</v>
      </c>
      <c r="G49" s="109">
        <f>VLOOKUP($E$49,'【国内】问卷调研-数据源（P3单独执行） '!$Z4:$AD22,4,TRUE)</f>
        <v>0.8</v>
      </c>
      <c r="H49" s="109">
        <v>0</v>
      </c>
      <c r="I49" s="109">
        <f>VLOOKUP($E$49,'【国内】问卷调研-数据源（P3单独执行） '!$Z4:$AD22,5,TRUE)</f>
        <v>1.2</v>
      </c>
      <c r="J49" s="109">
        <f t="shared" si="3"/>
        <v>2</v>
      </c>
      <c r="K49" s="109">
        <f t="shared" si="8"/>
        <v>2500</v>
      </c>
    </row>
    <row r="50" ht="17.25" spans="2:11">
      <c r="B50" s="258" t="s">
        <v>30</v>
      </c>
      <c r="C50" s="259" t="s">
        <v>1</v>
      </c>
      <c r="D50" s="107" t="s">
        <v>207</v>
      </c>
      <c r="E50" s="108">
        <f>'①【国内】研究资源成本估算 (v1.0)'!$G$24</f>
        <v>1000</v>
      </c>
      <c r="F50" s="109">
        <f>VLOOKUP($E$50,'【国内】问卷调研-数据源（P3单独执行） '!$AH4:$AL22,2,TRUE)</f>
        <v>0</v>
      </c>
      <c r="G50" s="109">
        <f>VLOOKUP($E$50,'【国内】问卷调研-数据源（P3单独执行） '!$AH4:$AL22,4,TRUE)</f>
        <v>1.9</v>
      </c>
      <c r="H50" s="109">
        <v>0</v>
      </c>
      <c r="I50" s="109">
        <f>VLOOKUP($E$50,'【国内】问卷调研-数据源（P3单独执行） '!$AH4:$AL22,5,TRUE)</f>
        <v>1.3</v>
      </c>
      <c r="J50" s="109">
        <f t="shared" si="3"/>
        <v>3.2</v>
      </c>
      <c r="K50" s="109">
        <f t="shared" si="8"/>
        <v>6000</v>
      </c>
    </row>
    <row r="51" ht="17.25" spans="2:11">
      <c r="B51" s="258" t="s">
        <v>30</v>
      </c>
      <c r="C51" s="259" t="s">
        <v>1</v>
      </c>
      <c r="D51" s="107" t="s">
        <v>209</v>
      </c>
      <c r="E51" s="108">
        <f>'①【国内】研究资源成本估算 (v1.0)'!$G$25</f>
        <v>500</v>
      </c>
      <c r="F51" s="109">
        <f>VLOOKUP($E$51,'【国内】问卷调研-数据源（P3单独执行） '!$AP4:$AT22,2,TRUE)</f>
        <v>0</v>
      </c>
      <c r="G51" s="109">
        <f>VLOOKUP($E$51,'【国内】问卷调研-数据源（P3单独执行） '!$AP4:$AT22,4,TRUE)</f>
        <v>1</v>
      </c>
      <c r="H51" s="109">
        <v>0</v>
      </c>
      <c r="I51" s="109">
        <f>VLOOKUP($E$51,'【国内】问卷调研-数据源（P3单独执行） '!$AP4:$AT22,5,TRUE)</f>
        <v>1.4</v>
      </c>
      <c r="J51" s="109">
        <f t="shared" ref="J51:J82" si="9">F51+H51+I51+G51</f>
        <v>2.4</v>
      </c>
      <c r="K51" s="109">
        <f t="shared" si="8"/>
        <v>3500</v>
      </c>
    </row>
    <row r="52" ht="17.25" spans="2:11">
      <c r="B52" s="258" t="s">
        <v>30</v>
      </c>
      <c r="C52" s="259" t="s">
        <v>1</v>
      </c>
      <c r="D52" s="107" t="s">
        <v>211</v>
      </c>
      <c r="E52" s="108">
        <f>'①【国内】研究资源成本估算 (v1.0)'!$G$26</f>
        <v>2000</v>
      </c>
      <c r="F52" s="109">
        <f>VLOOKUP($E$52,'【国内】问卷调研-数据源（P3单独执行） '!$AX4:$BB22,2,TRUE)</f>
        <v>0</v>
      </c>
      <c r="G52" s="109">
        <f>VLOOKUP($E$52,'【国内】问卷调研-数据源（P3单独执行） '!$AX4:$BB22,4,TRUE)</f>
        <v>3</v>
      </c>
      <c r="H52" s="109">
        <v>0</v>
      </c>
      <c r="I52" s="109">
        <f>VLOOKUP($E$52,'【国内】问卷调研-数据源（P3单独执行） '!$AX4:$BB22,5,TRUE)</f>
        <v>2.5</v>
      </c>
      <c r="J52" s="109">
        <f t="shared" si="9"/>
        <v>5.5</v>
      </c>
      <c r="K52" s="109">
        <f t="shared" si="8"/>
        <v>16000</v>
      </c>
    </row>
    <row r="53" ht="17.25" spans="2:11">
      <c r="B53" s="258" t="s">
        <v>30</v>
      </c>
      <c r="C53" s="260" t="s">
        <v>3</v>
      </c>
      <c r="D53" s="107" t="s">
        <v>199</v>
      </c>
      <c r="E53" s="108">
        <f>'①【国内】研究资源成本估算 (v1.0)'!$G$20</f>
        <v>400</v>
      </c>
      <c r="F53" s="109">
        <f>VLOOKUP($E$53,'【国内】问卷调研-数据源（P3单独执行） '!$B27:$F45,2,TRUE)</f>
        <v>0</v>
      </c>
      <c r="G53" s="109">
        <f>VLOOKUP($E$53,'【国内】问卷调研-数据源（P3单独执行） '!$B27:$F45,4,TRUE)</f>
        <v>0.9</v>
      </c>
      <c r="H53" s="109">
        <v>0</v>
      </c>
      <c r="I53" s="109">
        <f>VLOOKUP($E$53,'【国内】问卷调研-数据源（P3单独执行） '!$B27:$F45,5,TRUE)</f>
        <v>1.1</v>
      </c>
      <c r="J53" s="109">
        <f t="shared" si="9"/>
        <v>2</v>
      </c>
      <c r="K53" s="109">
        <f>E53*P19</f>
        <v>1200</v>
      </c>
    </row>
    <row r="54" ht="17.25" spans="2:11">
      <c r="B54" s="258" t="s">
        <v>30</v>
      </c>
      <c r="C54" s="260" t="s">
        <v>3</v>
      </c>
      <c r="D54" s="107" t="s">
        <v>203</v>
      </c>
      <c r="E54" s="108">
        <f>'①【国内】研究资源成本估算 (v1.0)'!$G$21</f>
        <v>1000</v>
      </c>
      <c r="F54" s="109">
        <f>VLOOKUP($E$54,'【国内】问卷调研-数据源（P3单独执行） '!$J27:$N45,2,TRUE)</f>
        <v>0</v>
      </c>
      <c r="G54" s="109">
        <f>VLOOKUP($E$54,'【国内】问卷调研-数据源（P3单独执行） '!$J27:$N45,4,TRUE)</f>
        <v>1.8</v>
      </c>
      <c r="H54" s="109">
        <v>0</v>
      </c>
      <c r="I54" s="109">
        <f>VLOOKUP($E$54,'【国内】问卷调研-数据源（P3单独执行） '!$J27:$N45,5,TRUE)</f>
        <v>1.4</v>
      </c>
      <c r="J54" s="109">
        <f t="shared" si="9"/>
        <v>3.2</v>
      </c>
      <c r="K54" s="109">
        <f t="shared" ref="K54:K59" si="10">E54*P20</f>
        <v>4000</v>
      </c>
    </row>
    <row r="55" ht="17.25" spans="2:11">
      <c r="B55" s="258" t="s">
        <v>30</v>
      </c>
      <c r="C55" s="260" t="s">
        <v>3</v>
      </c>
      <c r="D55" s="107" t="s">
        <v>95</v>
      </c>
      <c r="E55" s="108">
        <f>'①【国内】研究资源成本估算 (v1.0)'!$G$22</f>
        <v>500</v>
      </c>
      <c r="F55" s="109">
        <f>VLOOKUP($E$55,'【国内】问卷调研-数据源（P3单独执行） '!$R27:$V45,2,TRUE)</f>
        <v>0</v>
      </c>
      <c r="G55" s="109">
        <f>VLOOKUP($E$55,'【国内】问卷调研-数据源（P3单独执行） '!$R27:$V45,4,TRUE)</f>
        <v>1.1</v>
      </c>
      <c r="H55" s="109">
        <v>0</v>
      </c>
      <c r="I55" s="109">
        <f>VLOOKUP($E$55,'【国内】问卷调研-数据源（P3单独执行） '!$R27:$V45,5,TRUE)</f>
        <v>1.3</v>
      </c>
      <c r="J55" s="109">
        <f t="shared" si="9"/>
        <v>2.4</v>
      </c>
      <c r="K55" s="109">
        <f t="shared" si="10"/>
        <v>2500</v>
      </c>
    </row>
    <row r="56" ht="17.25" spans="2:11">
      <c r="B56" s="258" t="s">
        <v>30</v>
      </c>
      <c r="C56" s="260" t="s">
        <v>3</v>
      </c>
      <c r="D56" s="107" t="s">
        <v>96</v>
      </c>
      <c r="E56" s="108">
        <f>'①【国内】研究资源成本估算 (v1.0)'!$G$23</f>
        <v>500</v>
      </c>
      <c r="F56" s="109">
        <f>VLOOKUP($E$56,'【国内】问卷调研-数据源（P3单独执行） '!$Z27:$AD45,2,TRUE)</f>
        <v>0</v>
      </c>
      <c r="G56" s="109">
        <f>VLOOKUP($E$56,'【国内】问卷调研-数据源（P3单独执行） '!$Z27:$AD45,4,TRUE)</f>
        <v>1.2</v>
      </c>
      <c r="H56" s="109">
        <v>0</v>
      </c>
      <c r="I56" s="109">
        <f>VLOOKUP($E$56,'【国内】问卷调研-数据源（P3单独执行） '!$Z27:$AD45,5,TRUE)</f>
        <v>1.4</v>
      </c>
      <c r="J56" s="109">
        <f t="shared" si="9"/>
        <v>2.6</v>
      </c>
      <c r="K56" s="109">
        <f t="shared" si="10"/>
        <v>3000</v>
      </c>
    </row>
    <row r="57" ht="17.25" spans="2:11">
      <c r="B57" s="258" t="s">
        <v>30</v>
      </c>
      <c r="C57" s="260" t="s">
        <v>3</v>
      </c>
      <c r="D57" s="107" t="s">
        <v>207</v>
      </c>
      <c r="E57" s="108">
        <f>'①【国内】研究资源成本估算 (v1.0)'!$G$24</f>
        <v>1000</v>
      </c>
      <c r="F57" s="109">
        <f>VLOOKUP($E$57,'【国内】问卷调研-数据源（P3单独执行） '!$AH27:$AL45,2,TRUE)</f>
        <v>0</v>
      </c>
      <c r="G57" s="109">
        <f>VLOOKUP($E$57,'【国内】问卷调研-数据源（P3单独执行） '!$AH27:$AL45,4,TRUE)</f>
        <v>2.1</v>
      </c>
      <c r="H57" s="109">
        <v>0</v>
      </c>
      <c r="I57" s="109">
        <f>VLOOKUP($E$57,'【国内】问卷调研-数据源（P3单独执行） '!$AH27:$AL45,5,TRUE)</f>
        <v>1.7</v>
      </c>
      <c r="J57" s="109">
        <f t="shared" si="9"/>
        <v>3.8</v>
      </c>
      <c r="K57" s="109">
        <f t="shared" si="10"/>
        <v>7000</v>
      </c>
    </row>
    <row r="58" ht="17.25" spans="2:11">
      <c r="B58" s="258" t="s">
        <v>30</v>
      </c>
      <c r="C58" s="260" t="s">
        <v>3</v>
      </c>
      <c r="D58" s="107" t="s">
        <v>209</v>
      </c>
      <c r="E58" s="108">
        <f>'①【国内】研究资源成本估算 (v1.0)'!$G$25</f>
        <v>500</v>
      </c>
      <c r="F58" s="109">
        <f>VLOOKUP($E$58,'【国内】问卷调研-数据源（P3单独执行） '!$AP27:$AT45,2,TRUE)</f>
        <v>0</v>
      </c>
      <c r="G58" s="109">
        <f>VLOOKUP($E$58,'【国内】问卷调研-数据源（P3单独执行） '!$AP27:$AT45,4,TRUE)</f>
        <v>1.4</v>
      </c>
      <c r="H58" s="109">
        <v>0</v>
      </c>
      <c r="I58" s="109">
        <f>VLOOKUP($E$58,'【国内】问卷调研-数据源（P3单独执行） '!$AP27:$AT45,5,TRUE)</f>
        <v>1.6</v>
      </c>
      <c r="J58" s="109">
        <f t="shared" si="9"/>
        <v>3</v>
      </c>
      <c r="K58" s="109">
        <f t="shared" si="10"/>
        <v>4000</v>
      </c>
    </row>
    <row r="59" ht="17.25" spans="2:11">
      <c r="B59" s="258" t="s">
        <v>30</v>
      </c>
      <c r="C59" s="260" t="s">
        <v>3</v>
      </c>
      <c r="D59" s="107" t="s">
        <v>211</v>
      </c>
      <c r="E59" s="108">
        <f>'①【国内】研究资源成本估算 (v1.0)'!$G$26</f>
        <v>2000</v>
      </c>
      <c r="F59" s="109">
        <f>VLOOKUP($E$59,'【国内】问卷调研-数据源（P3单独执行） '!$AX28:$BB45,2,TRUE)</f>
        <v>0.1</v>
      </c>
      <c r="G59" s="109">
        <f>VLOOKUP($E$59,'【国内】问卷调研-数据源（P3单独执行） '!$AX28:$BB45,4,TRUE)</f>
        <v>3.1</v>
      </c>
      <c r="H59" s="109">
        <v>0</v>
      </c>
      <c r="I59" s="109">
        <f>VLOOKUP($E$59,'【国内】问卷调研-数据源（P3单独执行） '!$AX28:$BB45,5,TRUE)</f>
        <v>2.4</v>
      </c>
      <c r="J59" s="109">
        <f t="shared" si="9"/>
        <v>5.6</v>
      </c>
      <c r="K59" s="109">
        <f t="shared" si="10"/>
        <v>18000</v>
      </c>
    </row>
    <row r="60" ht="17.25" spans="2:11">
      <c r="B60" s="258" t="s">
        <v>30</v>
      </c>
      <c r="C60" s="261" t="s">
        <v>4</v>
      </c>
      <c r="D60" s="107" t="s">
        <v>199</v>
      </c>
      <c r="E60" s="108">
        <f>'①【国内】研究资源成本估算 (v1.0)'!$G$20</f>
        <v>400</v>
      </c>
      <c r="F60" s="109">
        <f>VLOOKUP($E$60,'【国内】问卷调研-数据源（P3单独执行） '!B50:F68,2,TRUE)</f>
        <v>0</v>
      </c>
      <c r="G60" s="109">
        <f>VLOOKUP($E$60,'【国内】问卷调研-数据源（P3单独执行） '!B50:F68,4,TRUE)</f>
        <v>1</v>
      </c>
      <c r="H60" s="109">
        <v>0</v>
      </c>
      <c r="I60" s="109">
        <f>VLOOKUP($E$60,'【国内】问卷调研-数据源（P3单独执行） '!B50:F68,5,TRUE)</f>
        <v>1.1</v>
      </c>
      <c r="J60" s="109">
        <f t="shared" si="9"/>
        <v>2.1</v>
      </c>
      <c r="K60" s="109">
        <f>E60*Q19</f>
        <v>2000</v>
      </c>
    </row>
    <row r="61" ht="17.25" spans="2:11">
      <c r="B61" s="258" t="s">
        <v>30</v>
      </c>
      <c r="C61" s="261" t="s">
        <v>4</v>
      </c>
      <c r="D61" s="107" t="s">
        <v>203</v>
      </c>
      <c r="E61" s="108">
        <f>'①【国内】研究资源成本估算 (v1.0)'!$G$21</f>
        <v>1000</v>
      </c>
      <c r="F61" s="109">
        <f>VLOOKUP($E$61,'【国内】问卷调研-数据源（P3单独执行） '!J50:N68,2,TRUE)</f>
        <v>0.1</v>
      </c>
      <c r="G61" s="109">
        <f>VLOOKUP($E$61,'【国内】问卷调研-数据源（P3单独执行） '!J50:N68,4,TRUE)</f>
        <v>2.1</v>
      </c>
      <c r="H61" s="109">
        <v>0</v>
      </c>
      <c r="I61" s="109">
        <f>VLOOKUP($E$61,'【国内】问卷调研-数据源（P3单独执行） '!$J50:$N68,5,TRUE)</f>
        <v>1.4</v>
      </c>
      <c r="J61" s="109">
        <f t="shared" si="9"/>
        <v>3.6</v>
      </c>
      <c r="K61" s="109">
        <f t="shared" ref="K61:K66" si="11">E61*Q20</f>
        <v>6000</v>
      </c>
    </row>
    <row r="62" ht="17.25" spans="2:11">
      <c r="B62" s="258" t="s">
        <v>30</v>
      </c>
      <c r="C62" s="261" t="s">
        <v>4</v>
      </c>
      <c r="D62" s="107" t="s">
        <v>95</v>
      </c>
      <c r="E62" s="108">
        <f>'①【国内】研究资源成本估算 (v1.0)'!$G$22</f>
        <v>500</v>
      </c>
      <c r="F62" s="109">
        <f>VLOOKUP($E$62,'【国内】问卷调研-数据源（P3单独执行） '!$R50:$V68,2,TRUE)</f>
        <v>0</v>
      </c>
      <c r="G62" s="109">
        <f>VLOOKUP($E$62,'【国内】问卷调研-数据源（P3单独执行） '!$R50:$V68,4,TRUE)</f>
        <v>1.2</v>
      </c>
      <c r="H62" s="109">
        <v>0</v>
      </c>
      <c r="I62" s="109">
        <f>VLOOKUP($E$62,'【国内】问卷调研-数据源（P3单独执行） '!$R50:$V68,5,TRUE)</f>
        <v>1.3</v>
      </c>
      <c r="J62" s="109">
        <f t="shared" si="9"/>
        <v>2.5</v>
      </c>
      <c r="K62" s="109">
        <f t="shared" si="11"/>
        <v>3500</v>
      </c>
    </row>
    <row r="63" ht="17.25" spans="2:11">
      <c r="B63" s="258" t="s">
        <v>30</v>
      </c>
      <c r="C63" s="261" t="s">
        <v>4</v>
      </c>
      <c r="D63" s="265" t="s">
        <v>96</v>
      </c>
      <c r="E63" s="108">
        <f>'①【国内】研究资源成本估算 (v1.0)'!$G$23</f>
        <v>500</v>
      </c>
      <c r="F63" s="109">
        <f>VLOOKUP($E$63,'【国内】问卷调研-数据源（P3单独执行） '!$Z50:$AD68,2,TRUE)</f>
        <v>0</v>
      </c>
      <c r="G63" s="109">
        <f>VLOOKUP($E$63,'【国内】问卷调研-数据源（P3单独执行） '!$Z50:$AD68,4,TRUE)</f>
        <v>1.3</v>
      </c>
      <c r="H63" s="109">
        <v>0</v>
      </c>
      <c r="I63" s="109">
        <f>VLOOKUP($E$63,'【国内】问卷调研-数据源（P3单独执行） '!$Z50:$AD68,5,TRUE)</f>
        <v>1.4</v>
      </c>
      <c r="J63" s="109">
        <f t="shared" si="9"/>
        <v>2.7</v>
      </c>
      <c r="K63" s="109">
        <f t="shared" si="11"/>
        <v>4000</v>
      </c>
    </row>
    <row r="64" ht="17.25" spans="2:11">
      <c r="B64" s="258" t="s">
        <v>30</v>
      </c>
      <c r="C64" s="261" t="s">
        <v>4</v>
      </c>
      <c r="D64" s="265" t="s">
        <v>207</v>
      </c>
      <c r="E64" s="108">
        <f>'①【国内】研究资源成本估算 (v1.0)'!$G$24</f>
        <v>1000</v>
      </c>
      <c r="F64" s="109">
        <f>VLOOKUP($E$64,'【国内】问卷调研-数据源（P3单独执行） '!$AH50:$AL68,2,TRUE)</f>
        <v>0.1</v>
      </c>
      <c r="G64" s="109">
        <f>VLOOKUP($E$64,'【国内】问卷调研-数据源（P3单独执行） '!$AH50:$AL68,4,TRUE)</f>
        <v>2.4</v>
      </c>
      <c r="H64" s="109">
        <v>0</v>
      </c>
      <c r="I64" s="109">
        <f>VLOOKUP($E$64,'【国内】问卷调研-数据源（P3单独执行） '!$AH50:$AL68,5,TRUE)</f>
        <v>1.7</v>
      </c>
      <c r="J64" s="109">
        <f t="shared" si="9"/>
        <v>4.2</v>
      </c>
      <c r="K64" s="109">
        <f t="shared" si="11"/>
        <v>9000</v>
      </c>
    </row>
    <row r="65" ht="17.25" spans="2:11">
      <c r="B65" s="258" t="s">
        <v>30</v>
      </c>
      <c r="C65" s="261" t="s">
        <v>4</v>
      </c>
      <c r="D65" s="265" t="s">
        <v>209</v>
      </c>
      <c r="E65" s="108">
        <f>'①【国内】研究资源成本估算 (v1.0)'!$G$25</f>
        <v>500</v>
      </c>
      <c r="F65" s="109">
        <f>VLOOKUP(E65,'【国内】问卷调研-数据源（P3单独执行） '!AP50:AT68,2,TRUE)</f>
        <v>0</v>
      </c>
      <c r="G65" s="109">
        <f>VLOOKUP(E65,'【国内】问卷调研-数据源（P3单独执行） '!AP50:AT68,4,TRUE)</f>
        <v>1.5</v>
      </c>
      <c r="H65" s="109">
        <v>0</v>
      </c>
      <c r="I65" s="109">
        <f>VLOOKUP(E65,'【国内】问卷调研-数据源（P3单独执行） '!AP50:AT68,5,TRUE)</f>
        <v>1.6</v>
      </c>
      <c r="J65" s="109">
        <f t="shared" si="9"/>
        <v>3.1</v>
      </c>
      <c r="K65" s="109">
        <f t="shared" si="11"/>
        <v>5000</v>
      </c>
    </row>
    <row r="66" ht="17.25" spans="2:11">
      <c r="B66" s="258" t="s">
        <v>30</v>
      </c>
      <c r="C66" s="261" t="s">
        <v>4</v>
      </c>
      <c r="D66" s="107" t="s">
        <v>211</v>
      </c>
      <c r="E66" s="108">
        <f>'①【国内】研究资源成本估算 (v1.0)'!$G$26</f>
        <v>2000</v>
      </c>
      <c r="F66" s="109">
        <f>VLOOKUP(E66,'【国内】问卷调研-数据源（P3单独执行） '!$AX50:$BB68,2,TRUE)</f>
        <v>0.2</v>
      </c>
      <c r="G66" s="109">
        <f>VLOOKUP(E66,'【国内】问卷调研-数据源（P3单独执行） '!AX50:BB68,4,TRUE)</f>
        <v>3.2</v>
      </c>
      <c r="H66" s="109">
        <v>0</v>
      </c>
      <c r="I66" s="109">
        <f>VLOOKUP(E66,'【国内】问卷调研-数据源（P3单独执行） '!AX50:BB68,5,TRUE)</f>
        <v>2.4</v>
      </c>
      <c r="J66" s="109">
        <f t="shared" si="9"/>
        <v>5.8</v>
      </c>
      <c r="K66" s="109">
        <f t="shared" si="11"/>
        <v>22000</v>
      </c>
    </row>
    <row r="67" ht="17.25" spans="2:11">
      <c r="B67" s="258" t="s">
        <v>30</v>
      </c>
      <c r="C67" s="262" t="s">
        <v>5</v>
      </c>
      <c r="D67" s="107" t="s">
        <v>199</v>
      </c>
      <c r="E67" s="108">
        <f>'①【国内】研究资源成本估算 (v1.0)'!$G$20</f>
        <v>400</v>
      </c>
      <c r="F67" s="109">
        <f>VLOOKUP($E$67,'【国内】问卷调研-数据源（P3单独执行） '!$B73:$F91,2,TRUE)</f>
        <v>0</v>
      </c>
      <c r="G67" s="109">
        <f>VLOOKUP($E$67,'【国内】问卷调研-数据源（P3单独执行） '!$B73:$F91,4,TRUE)</f>
        <v>1.12</v>
      </c>
      <c r="H67" s="109">
        <v>0</v>
      </c>
      <c r="I67" s="109">
        <f>VLOOKUP($E$67,'【国内】问卷调研-数据源（P3单独执行） '!$B73:$F91,5,TRUE)</f>
        <v>1.3</v>
      </c>
      <c r="J67" s="109">
        <f t="shared" si="9"/>
        <v>2.42</v>
      </c>
      <c r="K67" s="109">
        <f>E67*R19</f>
        <v>2800</v>
      </c>
    </row>
    <row r="68" ht="17.25" spans="2:11">
      <c r="B68" s="258" t="s">
        <v>30</v>
      </c>
      <c r="C68" s="262" t="s">
        <v>5</v>
      </c>
      <c r="D68" s="107" t="s">
        <v>203</v>
      </c>
      <c r="E68" s="108">
        <f>'①【国内】研究资源成本估算 (v1.0)'!$G$21</f>
        <v>1000</v>
      </c>
      <c r="F68" s="109">
        <f>VLOOKUP($E$68,'【国内】问卷调研-数据源（P3单独执行） '!$J73:$N91,2,TRUE)</f>
        <v>0.1</v>
      </c>
      <c r="G68" s="109">
        <f>VLOOKUP($E$68,'【国内】问卷调研-数据源（P3单独执行） '!$J73:$N91,4,TRUE)</f>
        <v>2.1</v>
      </c>
      <c r="H68" s="109">
        <v>0</v>
      </c>
      <c r="I68" s="109">
        <f>VLOOKUP($E$68,'【国内】问卷调研-数据源（P3单独执行） '!$J73:$N91,5,TRUE)</f>
        <v>1.6</v>
      </c>
      <c r="J68" s="109">
        <f t="shared" si="9"/>
        <v>3.8</v>
      </c>
      <c r="K68" s="109">
        <f t="shared" ref="K68:K73" si="12">E68*R20</f>
        <v>8500</v>
      </c>
    </row>
    <row r="69" ht="17.25" spans="2:11">
      <c r="B69" s="258" t="s">
        <v>30</v>
      </c>
      <c r="C69" s="262" t="s">
        <v>5</v>
      </c>
      <c r="D69" s="107" t="s">
        <v>95</v>
      </c>
      <c r="E69" s="108">
        <f>'①【国内】研究资源成本估算 (v1.0)'!$G$22</f>
        <v>500</v>
      </c>
      <c r="F69" s="109">
        <f>VLOOKUP($E$69,'【国内】问卷调研-数据源（P3单独执行） '!$R73:$V91,2,TRUE)</f>
        <v>0</v>
      </c>
      <c r="G69" s="109">
        <f>VLOOKUP($E$69,'【国内】问卷调研-数据源（P3单独执行） '!$R73:$V91,4,TRUE)</f>
        <v>1.388</v>
      </c>
      <c r="H69" s="109">
        <v>0</v>
      </c>
      <c r="I69" s="109">
        <f>VLOOKUP($E$69,'【国内】问卷调研-数据源（P3单独执行） '!$R73:$V91,5,TRUE)</f>
        <v>1.5</v>
      </c>
      <c r="J69" s="109">
        <f t="shared" si="9"/>
        <v>2.888</v>
      </c>
      <c r="K69" s="109">
        <f t="shared" si="12"/>
        <v>5000</v>
      </c>
    </row>
    <row r="70" ht="17.25" spans="2:11">
      <c r="B70" s="258" t="s">
        <v>30</v>
      </c>
      <c r="C70" s="262" t="s">
        <v>5</v>
      </c>
      <c r="D70" s="107" t="s">
        <v>96</v>
      </c>
      <c r="E70" s="108">
        <f>'①【国内】研究资源成本估算 (v1.0)'!$G$23</f>
        <v>500</v>
      </c>
      <c r="F70" s="109">
        <f>VLOOKUP($E$70,'【国内】问卷调研-数据源（P3单独执行） '!$Z73:$AD91,2,TRUE)</f>
        <v>0</v>
      </c>
      <c r="G70" s="109">
        <f>VLOOKUP($E$70,'【国内】问卷调研-数据源（P3单独执行） '!$Z73:$AD91,4,TRUE)</f>
        <v>1.538</v>
      </c>
      <c r="H70" s="109">
        <v>0</v>
      </c>
      <c r="I70" s="109">
        <f>VLOOKUP($E$70,'【国内】问卷调研-数据源（P3单独执行） '!$Z73:$AD91,5,TRUE)</f>
        <v>1.6</v>
      </c>
      <c r="J70" s="109">
        <f t="shared" si="9"/>
        <v>3.138</v>
      </c>
      <c r="K70" s="109">
        <f t="shared" si="12"/>
        <v>5750</v>
      </c>
    </row>
    <row r="71" ht="17.25" spans="2:11">
      <c r="B71" s="258" t="s">
        <v>30</v>
      </c>
      <c r="C71" s="262" t="s">
        <v>5</v>
      </c>
      <c r="D71" s="107" t="s">
        <v>207</v>
      </c>
      <c r="E71" s="108">
        <f>'①【国内】研究资源成本估算 (v1.0)'!$G$24</f>
        <v>1000</v>
      </c>
      <c r="F71" s="109">
        <f>VLOOKUP($E$71,'【国内】问卷调研-数据源（P3单独执行） '!$AH73:$AL91,2,TRUE)</f>
        <v>0.11</v>
      </c>
      <c r="G71" s="109">
        <f>VLOOKUP($E$71,'【国内】问卷调研-数据源（P3单独执行） '!$AH73:$AL91,4,TRUE)</f>
        <v>2.45</v>
      </c>
      <c r="H71" s="109">
        <v>0</v>
      </c>
      <c r="I71" s="109">
        <f>VLOOKUP($E$71,'【国内】问卷调研-数据源（P3单独执行） '!$AH73:$AL91,5,TRUE)</f>
        <v>1.9</v>
      </c>
      <c r="J71" s="109">
        <f t="shared" si="9"/>
        <v>4.46</v>
      </c>
      <c r="K71" s="109">
        <f t="shared" si="12"/>
        <v>13000</v>
      </c>
    </row>
    <row r="72" ht="17.25" spans="2:11">
      <c r="B72" s="258" t="s">
        <v>30</v>
      </c>
      <c r="C72" s="262" t="s">
        <v>5</v>
      </c>
      <c r="D72" s="107" t="s">
        <v>209</v>
      </c>
      <c r="E72" s="108">
        <f>'①【国内】研究资源成本估算 (v1.0)'!$G$25</f>
        <v>500</v>
      </c>
      <c r="F72" s="109">
        <f>VLOOKUP($E$72,'【国内】问卷调研-数据源（P3单独执行） '!$AP73:$AT91,2,TRUE)</f>
        <v>0</v>
      </c>
      <c r="G72" s="109">
        <f>VLOOKUP($E$72,'【国内】问卷调研-数据源（P3单独执行） '!$AP73:$AT91,4,TRUE)</f>
        <v>1.738</v>
      </c>
      <c r="H72" s="109">
        <v>0</v>
      </c>
      <c r="I72" s="109">
        <f>VLOOKUP($E$72,'【国内】问卷调研-数据源（P3单独执行） '!$AP73:$AT91,5,TRUE)</f>
        <v>1.8</v>
      </c>
      <c r="J72" s="109">
        <f t="shared" si="9"/>
        <v>3.538</v>
      </c>
      <c r="K72" s="109">
        <f t="shared" si="12"/>
        <v>7250</v>
      </c>
    </row>
    <row r="73" ht="17.25" spans="2:11">
      <c r="B73" s="258" t="s">
        <v>30</v>
      </c>
      <c r="C73" s="262" t="s">
        <v>5</v>
      </c>
      <c r="D73" s="107" t="s">
        <v>211</v>
      </c>
      <c r="E73" s="108">
        <f>'①【国内】研究资源成本估算 (v1.0)'!$G$26</f>
        <v>2000</v>
      </c>
      <c r="F73" s="109">
        <f>VLOOKUP($E$73,'【国内】问卷调研-数据源（P3单独执行） '!$AX73:$BB91,2,TRUE)</f>
        <v>0.22</v>
      </c>
      <c r="G73" s="109">
        <f>VLOOKUP($E$73,'【国内】问卷调研-数据源（P3单独执行） '!$AX73:$BB91,4,TRUE)</f>
        <v>3.662</v>
      </c>
      <c r="H73" s="109">
        <v>0</v>
      </c>
      <c r="I73" s="109">
        <f>VLOOKUP($E$73,'【国内】问卷调研-数据源（P3单独执行） '!$AX73:$BB91,5,TRUE)</f>
        <v>2.6</v>
      </c>
      <c r="J73" s="109">
        <f t="shared" si="9"/>
        <v>6.482</v>
      </c>
      <c r="K73" s="109">
        <f t="shared" si="12"/>
        <v>32000</v>
      </c>
    </row>
    <row r="74" ht="17.25" spans="2:11">
      <c r="B74" s="258" t="s">
        <v>30</v>
      </c>
      <c r="C74" s="263" t="s">
        <v>123</v>
      </c>
      <c r="D74" s="107" t="s">
        <v>199</v>
      </c>
      <c r="E74" s="108">
        <f>'①【国内】研究资源成本估算 (v1.0)'!$G$20</f>
        <v>400</v>
      </c>
      <c r="F74" s="109">
        <f>VLOOKUP($E$74,'【国内】问卷调研-数据源（P3单独执行） '!$B96:$F114,2,TRUE)</f>
        <v>0</v>
      </c>
      <c r="G74" s="109">
        <f>VLOOKUP($E$74,'【国内】问卷调研-数据源（P3单独执行） '!$B96:$F114,4,TRUE)</f>
        <v>1.22</v>
      </c>
      <c r="H74" s="109">
        <v>0</v>
      </c>
      <c r="I74" s="109">
        <f>VLOOKUP($E$74,'【国内】问卷调研-数据源（P3单独执行） '!$B96:$F114,5,TRUE)</f>
        <v>1.4</v>
      </c>
      <c r="J74" s="109">
        <f t="shared" si="9"/>
        <v>2.62</v>
      </c>
      <c r="K74" s="109">
        <f>E74*S19</f>
        <v>4000</v>
      </c>
    </row>
    <row r="75" ht="17.25" spans="2:11">
      <c r="B75" s="258" t="s">
        <v>30</v>
      </c>
      <c r="C75" s="263" t="s">
        <v>123</v>
      </c>
      <c r="D75" s="107" t="s">
        <v>203</v>
      </c>
      <c r="E75" s="108">
        <f>'①【国内】研究资源成本估算 (v1.0)'!$G$21</f>
        <v>1000</v>
      </c>
      <c r="F75" s="109">
        <f>VLOOKUP($E$75,'【国内】问卷调研-数据源（P3单独执行） '!$J96:$N114,2,TRUE)</f>
        <v>0.2</v>
      </c>
      <c r="G75" s="109">
        <f>VLOOKUP($E$75,'【国内】问卷调研-数据源（P3单独执行） '!$J96:$N114,4,TRUE)</f>
        <v>2.216</v>
      </c>
      <c r="H75" s="109">
        <v>0</v>
      </c>
      <c r="I75" s="109">
        <f>VLOOKUP($E$75,'【国内】问卷调研-数据源（P3单独执行） '!$J96:$N114,5,TRUE)</f>
        <v>1.7</v>
      </c>
      <c r="J75" s="109">
        <f t="shared" si="9"/>
        <v>4.116</v>
      </c>
      <c r="K75" s="109">
        <f t="shared" ref="K75:K80" si="13">E75*S20</f>
        <v>12000</v>
      </c>
    </row>
    <row r="76" ht="17.25" spans="2:11">
      <c r="B76" s="258" t="s">
        <v>30</v>
      </c>
      <c r="C76" s="263" t="s">
        <v>123</v>
      </c>
      <c r="D76" s="107" t="s">
        <v>95</v>
      </c>
      <c r="E76" s="108">
        <f>'①【国内】研究资源成本估算 (v1.0)'!$G$22</f>
        <v>500</v>
      </c>
      <c r="F76" s="109">
        <f>VLOOKUP($E$76,'【国内】问卷调研-数据源（P3单独执行） '!$R96:$V114,2,TRUE)</f>
        <v>0</v>
      </c>
      <c r="G76" s="109">
        <f>VLOOKUP($E$76,'【国内】问卷调研-数据源（P3单独执行） '!$R96:$V114,4,TRUE)</f>
        <v>1.42</v>
      </c>
      <c r="H76" s="109">
        <v>0</v>
      </c>
      <c r="I76" s="109">
        <f>VLOOKUP($E$76,'【国内】问卷调研-数据源（P3单独执行） '!$R96:$V114,5,TRUE)</f>
        <v>1.6</v>
      </c>
      <c r="J76" s="109">
        <f t="shared" si="9"/>
        <v>3.02</v>
      </c>
      <c r="K76" s="109">
        <f t="shared" si="13"/>
        <v>7000</v>
      </c>
    </row>
    <row r="77" ht="17.25" spans="2:11">
      <c r="B77" s="258" t="s">
        <v>30</v>
      </c>
      <c r="C77" s="263" t="s">
        <v>123</v>
      </c>
      <c r="D77" s="107" t="s">
        <v>96</v>
      </c>
      <c r="E77" s="108">
        <f>'①【国内】研究资源成本估算 (v1.0)'!$G$23</f>
        <v>500</v>
      </c>
      <c r="F77" s="109">
        <f>VLOOKUP($E$77,'【国内】问卷调研-数据源（P3单独执行） '!$AH96:$AL114,2,TRUE)</f>
        <v>0</v>
      </c>
      <c r="G77" s="109">
        <f>VLOOKUP($E$77,'【国内】问卷调研-数据源（P3单独执行） '!$AH96:$AL114,4,TRUE)</f>
        <v>1.62</v>
      </c>
      <c r="H77" s="109">
        <v>0</v>
      </c>
      <c r="I77" s="109">
        <f>VLOOKUP($E$77,'【国内】问卷调研-数据源（P3单独执行） '!$AH96:$AL114,5,TRUE)</f>
        <v>1.8</v>
      </c>
      <c r="J77" s="109">
        <f t="shared" si="9"/>
        <v>3.42</v>
      </c>
      <c r="K77" s="109">
        <f t="shared" si="13"/>
        <v>8000</v>
      </c>
    </row>
    <row r="78" ht="17.25" spans="2:11">
      <c r="B78" s="258" t="s">
        <v>30</v>
      </c>
      <c r="C78" s="263" t="s">
        <v>123</v>
      </c>
      <c r="D78" s="107" t="s">
        <v>207</v>
      </c>
      <c r="E78" s="108">
        <f>'①【国内】研究资源成本估算 (v1.0)'!$G$24</f>
        <v>1000</v>
      </c>
      <c r="F78" s="109">
        <f>VLOOKUP($E$78,'【国内】问卷调研-数据源（P3单独执行） '!$AH96:$AL114,2,TRUE)</f>
        <v>0.2</v>
      </c>
      <c r="G78" s="109">
        <f>VLOOKUP($E$78,'【国内】问卷调研-数据源（P3单独执行） '!$AH96:$AL114,4,TRUE)</f>
        <v>2.516</v>
      </c>
      <c r="H78" s="109">
        <v>0</v>
      </c>
      <c r="I78" s="109">
        <f>VLOOKUP($E$78,'【国内】问卷调研-数据源（P3单独执行） '!$AH96:$AL114,5,TRUE)</f>
        <v>2</v>
      </c>
      <c r="J78" s="109">
        <f t="shared" si="9"/>
        <v>4.716</v>
      </c>
      <c r="K78" s="109">
        <f t="shared" si="13"/>
        <v>18000</v>
      </c>
    </row>
    <row r="79" ht="17.25" spans="2:11">
      <c r="B79" s="258" t="s">
        <v>30</v>
      </c>
      <c r="C79" s="263" t="s">
        <v>123</v>
      </c>
      <c r="D79" s="107" t="s">
        <v>209</v>
      </c>
      <c r="E79" s="108">
        <f>'①【国内】研究资源成本估算 (v1.0)'!$G$25</f>
        <v>500</v>
      </c>
      <c r="F79" s="109">
        <f>VLOOKUP($E$79,'【国内】问卷调研-数据源（P3单独执行） '!$AP96:$AT114,2,TRUE)</f>
        <v>0</v>
      </c>
      <c r="G79" s="109">
        <f>VLOOKUP($E$79,'【国内】问卷调研-数据源（P3单独执行） '!$AP96:$AT114,4,TRUE)</f>
        <v>1.72</v>
      </c>
      <c r="H79" s="109">
        <v>0</v>
      </c>
      <c r="I79" s="109">
        <f>VLOOKUP($E$79,'【国内】问卷调研-数据源（P3单独执行） '!$AP96:$AT114,5,TRUE)</f>
        <v>1.9</v>
      </c>
      <c r="J79" s="109">
        <f t="shared" si="9"/>
        <v>3.62</v>
      </c>
      <c r="K79" s="109">
        <f t="shared" si="13"/>
        <v>10000</v>
      </c>
    </row>
    <row r="80" ht="17.25" spans="2:11">
      <c r="B80" s="258" t="s">
        <v>30</v>
      </c>
      <c r="C80" s="263" t="s">
        <v>123</v>
      </c>
      <c r="D80" s="107" t="s">
        <v>211</v>
      </c>
      <c r="E80" s="108">
        <f>'①【国内】研究资源成本估算 (v1.0)'!$G$26</f>
        <v>2000</v>
      </c>
      <c r="F80" s="109">
        <f>VLOOKUP($E$80,'【国内】问卷调研-数据源（P3单独执行） '!$AX96:$BB114,2,TRUE)</f>
        <v>0.3</v>
      </c>
      <c r="G80" s="109">
        <f>VLOOKUP($E$80,'【国内】问卷调研-数据源（P3单独执行） '!$AX96:$BB114,4,TRUE)</f>
        <v>3.612</v>
      </c>
      <c r="H80" s="109">
        <v>0</v>
      </c>
      <c r="I80" s="109">
        <f>VLOOKUP($E$80,'【国内】问卷调研-数据源（P3单独执行） '!$AX96:$BB114,5,TRUE)</f>
        <v>2.6</v>
      </c>
      <c r="J80" s="109">
        <f t="shared" si="9"/>
        <v>6.512</v>
      </c>
      <c r="K80" s="109">
        <f t="shared" si="13"/>
        <v>44000</v>
      </c>
    </row>
    <row r="81" ht="17.25" spans="2:11">
      <c r="B81" s="258" t="s">
        <v>30</v>
      </c>
      <c r="C81" s="264" t="s">
        <v>124</v>
      </c>
      <c r="D81" s="107" t="s">
        <v>199</v>
      </c>
      <c r="E81" s="108">
        <f>'①【国内】研究资源成本估算 (v1.0)'!$G$20</f>
        <v>400</v>
      </c>
      <c r="F81" s="109">
        <f>VLOOKUP($E$81,'【国内】问卷调研-数据源（P3单独执行） '!$B119:$F137,2,TRUE)</f>
        <v>0</v>
      </c>
      <c r="G81" s="109">
        <f>VLOOKUP($E$81,'【国内】问卷调研-数据源（P3单独执行） '!$B119:$F137,4,TRUE)</f>
        <v>1.32</v>
      </c>
      <c r="H81" s="109">
        <v>0</v>
      </c>
      <c r="I81" s="109">
        <f>VLOOKUP($E$81,'【国内】问卷调研-数据源（P3单独执行） '!$B119:$F137,5,TRUE)</f>
        <v>1.5</v>
      </c>
      <c r="J81" s="109">
        <f t="shared" si="9"/>
        <v>2.82</v>
      </c>
      <c r="K81" s="109">
        <f>E81*S19</f>
        <v>4000</v>
      </c>
    </row>
    <row r="82" ht="17.25" spans="2:11">
      <c r="B82" s="258" t="s">
        <v>30</v>
      </c>
      <c r="C82" s="264" t="s">
        <v>124</v>
      </c>
      <c r="D82" s="107" t="s">
        <v>203</v>
      </c>
      <c r="E82" s="108">
        <f>'①【国内】研究资源成本估算 (v1.0)'!$G$21</f>
        <v>1000</v>
      </c>
      <c r="F82" s="109">
        <f>VLOOKUP($E$82,'【国内】问卷调研-数据源（P3单独执行） '!$J119:$N137,2,TRUE)</f>
        <v>0.3</v>
      </c>
      <c r="G82" s="109">
        <f>VLOOKUP($E$82,'【国内】问卷调研-数据源（P3单独执行） '!$J119:$N137,4,TRUE)</f>
        <v>2.316</v>
      </c>
      <c r="H82" s="109">
        <v>0</v>
      </c>
      <c r="I82" s="109">
        <f>VLOOKUP($E$82,'【国内】问卷调研-数据源（P3单独执行） '!$J119:$N137,5,TRUE)</f>
        <v>1.8</v>
      </c>
      <c r="J82" s="109">
        <f t="shared" si="9"/>
        <v>4.416</v>
      </c>
      <c r="K82" s="109">
        <f t="shared" ref="K82:K87" si="14">E82*S20</f>
        <v>12000</v>
      </c>
    </row>
    <row r="83" ht="17.25" spans="2:11">
      <c r="B83" s="258" t="s">
        <v>30</v>
      </c>
      <c r="C83" s="264" t="s">
        <v>124</v>
      </c>
      <c r="D83" s="107" t="s">
        <v>95</v>
      </c>
      <c r="E83" s="108">
        <f>'①【国内】研究资源成本估算 (v1.0)'!$G$22</f>
        <v>500</v>
      </c>
      <c r="F83" s="109">
        <f>VLOOKUP($E$83,'【国内】问卷调研-数据源（P3单独执行） '!$R119:$V137,2,TRUE)</f>
        <v>0</v>
      </c>
      <c r="G83" s="109">
        <f>VLOOKUP($E$83,'【国内】问卷调研-数据源（P3单独执行） '!$R119:$V137,4,TRUE)</f>
        <v>1.52</v>
      </c>
      <c r="H83" s="109">
        <v>0</v>
      </c>
      <c r="I83" s="109">
        <f>VLOOKUP($E$83,'【国内】问卷调研-数据源（P3单独执行） '!$R119:$V137,5,TRUE)</f>
        <v>1.7</v>
      </c>
      <c r="J83" s="109">
        <f t="shared" ref="J83:J129" si="15">F83+H83+I83+G83</f>
        <v>3.22</v>
      </c>
      <c r="K83" s="109">
        <f t="shared" si="14"/>
        <v>7000</v>
      </c>
    </row>
    <row r="84" ht="17.25" spans="2:11">
      <c r="B84" s="258" t="s">
        <v>30</v>
      </c>
      <c r="C84" s="264" t="s">
        <v>124</v>
      </c>
      <c r="D84" s="107" t="s">
        <v>96</v>
      </c>
      <c r="E84" s="108">
        <f>'①【国内】研究资源成本估算 (v1.0)'!$G$23</f>
        <v>500</v>
      </c>
      <c r="F84" s="109">
        <f>VLOOKUP($E$84,'【国内】问卷调研-数据源（P3单独执行） '!$Z119:$AD137,2,TRUE)</f>
        <v>0</v>
      </c>
      <c r="G84" s="109">
        <f>VLOOKUP($E$84,'【国内】问卷调研-数据源（P3单独执行） '!$Z119:$AD137,4,TRUE)</f>
        <v>1.72</v>
      </c>
      <c r="H84" s="109">
        <v>0</v>
      </c>
      <c r="I84" s="109">
        <f>VLOOKUP($E$84,'【国内】问卷调研-数据源（P3单独执行） '!$Z119:$AD137,5,TRUE)</f>
        <v>1.8</v>
      </c>
      <c r="J84" s="109">
        <f t="shared" si="15"/>
        <v>3.52</v>
      </c>
      <c r="K84" s="109">
        <f t="shared" si="14"/>
        <v>8000</v>
      </c>
    </row>
    <row r="85" ht="17.25" spans="2:11">
      <c r="B85" s="258" t="s">
        <v>30</v>
      </c>
      <c r="C85" s="264" t="s">
        <v>124</v>
      </c>
      <c r="D85" s="107" t="s">
        <v>207</v>
      </c>
      <c r="E85" s="108">
        <f>'①【国内】研究资源成本估算 (v1.0)'!$G$24</f>
        <v>1000</v>
      </c>
      <c r="F85" s="109">
        <f>VLOOKUP($E$85,'【国内】问卷调研-数据源（P3单独执行） '!$AH119:$AL137,2,TRUE)</f>
        <v>0.3</v>
      </c>
      <c r="G85" s="109">
        <f>VLOOKUP($E$85,'【国内】问卷调研-数据源（P3单独执行） '!$AH119:$AL137,4,TRUE)</f>
        <v>2.816</v>
      </c>
      <c r="H85" s="109">
        <v>0</v>
      </c>
      <c r="I85" s="109">
        <f>VLOOKUP($E$85,'【国内】问卷调研-数据源（P3单独执行） '!$AH119:$AL137,5,TRUE)</f>
        <v>2.1</v>
      </c>
      <c r="J85" s="109">
        <f t="shared" si="15"/>
        <v>5.216</v>
      </c>
      <c r="K85" s="109">
        <f t="shared" si="14"/>
        <v>18000</v>
      </c>
    </row>
    <row r="86" ht="17.25" spans="2:11">
      <c r="B86" s="258" t="s">
        <v>30</v>
      </c>
      <c r="C86" s="264" t="s">
        <v>124</v>
      </c>
      <c r="D86" s="107" t="s">
        <v>209</v>
      </c>
      <c r="E86" s="108">
        <f>'①【国内】研究资源成本估算 (v1.0)'!$G$25</f>
        <v>500</v>
      </c>
      <c r="F86" s="109">
        <f>VLOOKUP($E$86,'【国内】问卷调研-数据源（P3单独执行） '!$AP119:$AT137,2,TRUE)</f>
        <v>0</v>
      </c>
      <c r="G86" s="109">
        <f>VLOOKUP($E$86,'【国内】问卷调研-数据源（P3单独执行） '!$AP119:$AT137,4,TRUE)</f>
        <v>2.12</v>
      </c>
      <c r="H86" s="109">
        <v>0</v>
      </c>
      <c r="I86" s="109">
        <f>VLOOKUP($E$86,'【国内】问卷调研-数据源（P3单独执行） '!$AP119:$AT137,5,TRUE)</f>
        <v>2</v>
      </c>
      <c r="J86" s="109">
        <f t="shared" si="15"/>
        <v>4.12</v>
      </c>
      <c r="K86" s="109">
        <f t="shared" si="14"/>
        <v>10000</v>
      </c>
    </row>
    <row r="87" ht="17.25" spans="2:11">
      <c r="B87" s="258" t="s">
        <v>30</v>
      </c>
      <c r="C87" s="264" t="s">
        <v>124</v>
      </c>
      <c r="D87" s="107" t="s">
        <v>211</v>
      </c>
      <c r="E87" s="108">
        <f>'①【国内】研究资源成本估算 (v1.0)'!$G$26</f>
        <v>2000</v>
      </c>
      <c r="F87" s="109">
        <f>VLOOKUP($E$87,'【国内】问卷调研-数据源（P3单独执行） '!$AX119:$BB137,2,TRUE)</f>
        <v>0.4</v>
      </c>
      <c r="G87" s="109">
        <f>VLOOKUP($E$87,'【国内】问卷调研-数据源（P3单独执行） '!$AX119:$BB137,4,TRUE)</f>
        <v>4.112</v>
      </c>
      <c r="H87" s="109">
        <v>0</v>
      </c>
      <c r="I87" s="109">
        <f>VLOOKUP($E$87,'【国内】问卷调研-数据源（P3单独执行） '!$AX119:$BB137,5,TRUE)</f>
        <v>2.8</v>
      </c>
      <c r="J87" s="109">
        <f t="shared" si="15"/>
        <v>7.312</v>
      </c>
      <c r="K87" s="109">
        <f t="shared" si="14"/>
        <v>44000</v>
      </c>
    </row>
    <row r="88" ht="17.25" spans="2:11">
      <c r="B88" s="258" t="s">
        <v>166</v>
      </c>
      <c r="C88" s="259" t="s">
        <v>1</v>
      </c>
      <c r="D88" s="107" t="s">
        <v>199</v>
      </c>
      <c r="E88" s="108">
        <f>'①【国内】研究资源成本估算 (v1.0)'!$G$20</f>
        <v>400</v>
      </c>
      <c r="F88" s="109">
        <f>VLOOKUP($E$88,'【国内】问卷调研-数据源（混合执行）  (2)'!$B4:$F22,2,TRUE)</f>
        <v>0.1</v>
      </c>
      <c r="G88" s="109">
        <f>VLOOKUP($E$88,'【国内】问卷调研-数据源（混合执行）  (2)'!$B4:$F22,3,TRUE)</f>
        <v>0.2</v>
      </c>
      <c r="H88" s="109">
        <f>VLOOKUP($E$88,'【国内】问卷调研-数据源（混合执行）  (2)'!$B4:$F22,4,TRUE)</f>
        <v>0.290833333333333</v>
      </c>
      <c r="I88" s="109">
        <f>VLOOKUP($E$88,'【国内】问卷调研-数据源（混合执行）  (2)'!$B4:$F22,5,TRUE)</f>
        <v>1.17</v>
      </c>
      <c r="J88" s="109">
        <f t="shared" si="15"/>
        <v>1.76083333333333</v>
      </c>
      <c r="K88" s="109">
        <f t="shared" ref="K88:K94" si="16">E88*O19</f>
        <v>800</v>
      </c>
    </row>
    <row r="89" ht="17.25" spans="2:11">
      <c r="B89" s="258" t="s">
        <v>166</v>
      </c>
      <c r="C89" s="259" t="s">
        <v>1</v>
      </c>
      <c r="D89" s="107" t="s">
        <v>203</v>
      </c>
      <c r="E89" s="108">
        <f>'①【国内】研究资源成本估算 (v1.0)'!$G$21</f>
        <v>1000</v>
      </c>
      <c r="F89" s="109">
        <f>VLOOKUP($E$89,'【国内】问卷调研-数据源（混合执行）  (2)'!$J4:$N22,2,TRUE)</f>
        <v>0.2</v>
      </c>
      <c r="G89" s="109">
        <f>VLOOKUP($E$89,'【国内】问卷调研-数据源（混合执行）  (2)'!$J4:$N22,3,TRUE)</f>
        <v>0.64</v>
      </c>
      <c r="H89" s="109">
        <f>VLOOKUP($E$89,'【国内】问卷调研-数据源（混合执行）  (2)'!$J4:$N22,4,TRUE)</f>
        <v>1.66166666666667</v>
      </c>
      <c r="I89" s="109">
        <f>VLOOKUP($E$89,'【国内】问卷调研-数据源（混合执行）  (2)'!$J4:$N22,5,TRUE)</f>
        <v>1.3</v>
      </c>
      <c r="J89" s="109">
        <f t="shared" si="15"/>
        <v>3.80166666666667</v>
      </c>
      <c r="K89" s="109">
        <f t="shared" si="16"/>
        <v>3000</v>
      </c>
    </row>
    <row r="90" ht="17.25" spans="2:11">
      <c r="B90" s="258" t="s">
        <v>166</v>
      </c>
      <c r="C90" s="259" t="s">
        <v>1</v>
      </c>
      <c r="D90" s="107" t="s">
        <v>95</v>
      </c>
      <c r="E90" s="108">
        <f>'①【国内】研究资源成本估算 (v1.0)'!$G$22</f>
        <v>500</v>
      </c>
      <c r="F90" s="109">
        <f>VLOOKUP($E$90,'【国内】问卷调研-数据源（混合执行）  (2)'!$R4:$V22,2,TRUE)</f>
        <v>0.1</v>
      </c>
      <c r="G90" s="109">
        <f>VLOOKUP($E$90,'【国内】问卷调研-数据源（混合执行）  (2)'!$R4:$V22,3,TRUE)</f>
        <v>0.28</v>
      </c>
      <c r="H90" s="109">
        <f>VLOOKUP($E$90,'【国内】问卷调研-数据源（混合执行）  (2)'!$R4:$V22,4,TRUE)</f>
        <v>0.615833333333333</v>
      </c>
      <c r="I90" s="109">
        <f>VLOOKUP($E$90,'【国内】问卷调研-数据源（混合执行）  (2)'!$R4:$V22,5,TRUE)</f>
        <v>1.43</v>
      </c>
      <c r="J90" s="109">
        <f t="shared" si="15"/>
        <v>2.42583333333333</v>
      </c>
      <c r="K90" s="109">
        <f t="shared" si="16"/>
        <v>2000</v>
      </c>
    </row>
    <row r="91" ht="17.25" spans="2:11">
      <c r="B91" s="258" t="s">
        <v>166</v>
      </c>
      <c r="C91" s="259" t="s">
        <v>1</v>
      </c>
      <c r="D91" s="107" t="s">
        <v>96</v>
      </c>
      <c r="E91" s="108">
        <f>'①【国内】研究资源成本估算 (v1.0)'!$G$23</f>
        <v>500</v>
      </c>
      <c r="F91" s="109">
        <f>VLOOKUP($E$91,'【国内】问卷调研-数据源（混合执行）  (2)'!$Z4:$AD22,2,TRUE)</f>
        <v>0.1</v>
      </c>
      <c r="G91" s="109">
        <f>VLOOKUP($E$91,'【国内】问卷调研-数据源（混合执行）  (2)'!$Z4:$AD22,3,TRUE)</f>
        <v>0.32</v>
      </c>
      <c r="H91" s="109">
        <f>VLOOKUP($E$91,'【国内】问卷调研-数据源（混合执行）  (2)'!$Z4:$AD22,4,TRUE)</f>
        <v>0.778333333333333</v>
      </c>
      <c r="I91" s="109">
        <f>VLOOKUP($E$91,'【国内】问卷调研-数据源（混合执行）  (2)'!$Z4:$AD22,5,TRUE)</f>
        <v>1.56</v>
      </c>
      <c r="J91" s="109">
        <f t="shared" si="15"/>
        <v>2.75833333333333</v>
      </c>
      <c r="K91" s="109">
        <f t="shared" si="16"/>
        <v>2500</v>
      </c>
    </row>
    <row r="92" ht="17.25" spans="2:11">
      <c r="B92" s="258" t="s">
        <v>166</v>
      </c>
      <c r="C92" s="259" t="s">
        <v>1</v>
      </c>
      <c r="D92" s="107" t="s">
        <v>207</v>
      </c>
      <c r="E92" s="108">
        <f>'①【国内】研究资源成本估算 (v1.0)'!$G$24</f>
        <v>1000</v>
      </c>
      <c r="F92" s="109">
        <f>VLOOKUP($E$92,'【国内】问卷调研-数据源（混合执行）  (2)'!$AH4:$AL22,2,TRUE)</f>
        <v>0.2</v>
      </c>
      <c r="G92" s="109">
        <f>VLOOKUP($E$92,'【国内】问卷调研-数据源（混合执行）  (2)'!$AH4:$AL22,3,TRUE)</f>
        <v>0.76</v>
      </c>
      <c r="H92" s="109">
        <f>VLOOKUP($E$92,'【国内】问卷调研-数据源（混合执行）  (2)'!$AH4:$AL22,4,TRUE)</f>
        <v>2.14916666666667</v>
      </c>
      <c r="I92" s="109">
        <f>VLOOKUP($E$92,'【国内】问卷调研-数据源（混合执行）  (2)'!$AH4:$AL22,5,TRUE)</f>
        <v>1.69</v>
      </c>
      <c r="J92" s="109">
        <f t="shared" si="15"/>
        <v>4.79916666666667</v>
      </c>
      <c r="K92" s="109">
        <f t="shared" si="16"/>
        <v>6000</v>
      </c>
    </row>
    <row r="93" ht="17.25" spans="2:11">
      <c r="B93" s="258" t="s">
        <v>166</v>
      </c>
      <c r="C93" s="259" t="s">
        <v>1</v>
      </c>
      <c r="D93" s="107" t="s">
        <v>209</v>
      </c>
      <c r="E93" s="108">
        <f>'①【国内】研究资源成本估算 (v1.0)'!$G$25</f>
        <v>500</v>
      </c>
      <c r="F93" s="109">
        <f>VLOOKUP($E$93,'【国内】问卷调研-数据源（混合执行）  (2)'!$AP4:$AT22,2,TRUE)</f>
        <v>0.1</v>
      </c>
      <c r="G93" s="109">
        <f>VLOOKUP($E$93,'【国内】问卷调研-数据源（混合执行）  (2)'!$AP4:$AT22,3,TRUE)</f>
        <v>0.4</v>
      </c>
      <c r="H93" s="109">
        <f>VLOOKUP($E$93,'【国内】问卷调研-数据源（混合执行）  (2)'!$AP4:$AT22,4,TRUE)</f>
        <v>1.10333333333333</v>
      </c>
      <c r="I93" s="109">
        <f>VLOOKUP($E$93,'【国内】问卷调研-数据源（混合执行）  (2)'!$AP4:$AT22,5,TRUE)</f>
        <v>1.82</v>
      </c>
      <c r="J93" s="109">
        <f t="shared" si="15"/>
        <v>3.42333333333333</v>
      </c>
      <c r="K93" s="109">
        <f t="shared" si="16"/>
        <v>3500</v>
      </c>
    </row>
    <row r="94" ht="17.25" spans="2:11">
      <c r="B94" s="258" t="s">
        <v>166</v>
      </c>
      <c r="C94" s="259" t="s">
        <v>1</v>
      </c>
      <c r="D94" s="107" t="s">
        <v>211</v>
      </c>
      <c r="E94" s="108">
        <f>'①【国内】研究资源成本估算 (v1.0)'!$G$26</f>
        <v>2000</v>
      </c>
      <c r="F94" s="109">
        <f>VLOOKUP($E$94,'【国内】问卷调研-数据源（混合执行）  (2)'!$AX4:$BB22,2,TRUE)</f>
        <v>0.2</v>
      </c>
      <c r="G94" s="109">
        <f>VLOOKUP($E$94,'【国内】问卷调研-数据源（混合执行）  (2)'!$AX4:$BB22,3,TRUE)</f>
        <v>1.8</v>
      </c>
      <c r="H94" s="109">
        <f>VLOOKUP($E$94,'【国内】问卷调研-数据源（混合执行）  (2)'!$AX4:$BB22,4,TRUE)</f>
        <v>2.22916666666667</v>
      </c>
      <c r="I94" s="109">
        <f>VLOOKUP($E$94,'【国内】问卷调研-数据源（混合执行）  (2)'!$AX4:$BB22,5,TRUE)</f>
        <v>3.25</v>
      </c>
      <c r="J94" s="109">
        <f t="shared" si="15"/>
        <v>7.47916666666667</v>
      </c>
      <c r="K94" s="109">
        <f t="shared" si="16"/>
        <v>16000</v>
      </c>
    </row>
    <row r="95" ht="17.25" spans="2:11">
      <c r="B95" s="258" t="s">
        <v>166</v>
      </c>
      <c r="C95" s="260" t="s">
        <v>3</v>
      </c>
      <c r="D95" s="107" t="s">
        <v>199</v>
      </c>
      <c r="E95" s="108">
        <f>'①【国内】研究资源成本估算 (v1.0)'!$G$20</f>
        <v>400</v>
      </c>
      <c r="F95" s="109">
        <f>VLOOKUP($E$95,'【国内】问卷调研-数据源（混合执行）  (2)'!$B27:$F45,2,TRUE)</f>
        <v>0.1</v>
      </c>
      <c r="G95" s="109">
        <f>VLOOKUP($E$95,'【国内】问卷调研-数据源（混合执行）  (2)'!$B27:$F45,3,TRUE)</f>
        <v>0.36</v>
      </c>
      <c r="H95" s="109">
        <f>VLOOKUP($E$95,'【国内】问卷调研-数据源（混合执行）  (2)'!$B27:$F45,4,TRUE)</f>
        <v>0.955833333333333</v>
      </c>
      <c r="I95" s="109">
        <f>VLOOKUP($E$95,'【国内】问卷调研-数据源（混合执行）  (2)'!$B27:$F45,5,TRUE)</f>
        <v>1.43</v>
      </c>
      <c r="J95" s="109">
        <f t="shared" si="15"/>
        <v>2.84583333333333</v>
      </c>
      <c r="K95" s="109">
        <f>E95*P19</f>
        <v>1200</v>
      </c>
    </row>
    <row r="96" ht="17.25" spans="2:11">
      <c r="B96" s="258" t="s">
        <v>166</v>
      </c>
      <c r="C96" s="260" t="s">
        <v>3</v>
      </c>
      <c r="D96" s="107" t="s">
        <v>203</v>
      </c>
      <c r="E96" s="108">
        <f>'①【国内】研究资源成本估算 (v1.0)'!$G$21</f>
        <v>1000</v>
      </c>
      <c r="F96" s="109">
        <f>VLOOKUP($E$96,'【国内】问卷调研-数据源（混合执行）  (2)'!$J27:$N45,2,TRUE)</f>
        <v>0.2</v>
      </c>
      <c r="G96" s="109">
        <f>VLOOKUP($E$96,'【国内】问卷调研-数据源（混合执行）  (2)'!$J27:$N45,3,TRUE)</f>
        <v>0.72</v>
      </c>
      <c r="H96" s="109">
        <f>VLOOKUP($E$96,'【国内】问卷调研-数据源（混合执行）  (2)'!$J27:$N45,4,TRUE)</f>
        <v>1.97166666666667</v>
      </c>
      <c r="I96" s="109">
        <f>VLOOKUP($E$96,'【国内】问卷调研-数据源（混合执行）  (2)'!$J27:$N45,5,TRUE)</f>
        <v>1.82</v>
      </c>
      <c r="J96" s="109">
        <f t="shared" si="15"/>
        <v>4.71166666666667</v>
      </c>
      <c r="K96" s="109">
        <f t="shared" ref="K96:K101" si="17">E96*P20</f>
        <v>4000</v>
      </c>
    </row>
    <row r="97" ht="17.25" spans="2:11">
      <c r="B97" s="258" t="s">
        <v>166</v>
      </c>
      <c r="C97" s="260" t="s">
        <v>3</v>
      </c>
      <c r="D97" s="107" t="s">
        <v>95</v>
      </c>
      <c r="E97" s="108">
        <f>'①【国内】研究资源成本估算 (v1.0)'!$G$22</f>
        <v>500</v>
      </c>
      <c r="F97" s="109">
        <f>VLOOKUP($E$97,'【国内】问卷调研-数据源（混合执行）  (2)'!$R27:$V45,2,TRUE)</f>
        <v>0.1</v>
      </c>
      <c r="G97" s="109">
        <f>VLOOKUP($E$97,'【国内】问卷调研-数据源（混合执行）  (2)'!$R27:$V45,3,TRUE)</f>
        <v>0.44</v>
      </c>
      <c r="H97" s="109">
        <f>VLOOKUP($E$97,'【国内】问卷调研-数据源（混合执行）  (2)'!$R27:$V45,4,TRUE)</f>
        <v>1.28083333333333</v>
      </c>
      <c r="I97" s="109">
        <f>VLOOKUP($E$97,'【国内】问卷调研-数据源（混合执行）  (2)'!$R27:$V45,5,TRUE)</f>
        <v>1.69</v>
      </c>
      <c r="J97" s="109">
        <f t="shared" si="15"/>
        <v>3.51083333333333</v>
      </c>
      <c r="K97" s="109">
        <f t="shared" si="17"/>
        <v>2500</v>
      </c>
    </row>
    <row r="98" ht="17.25" spans="2:11">
      <c r="B98" s="258" t="s">
        <v>166</v>
      </c>
      <c r="C98" s="260" t="s">
        <v>3</v>
      </c>
      <c r="D98" s="107" t="s">
        <v>96</v>
      </c>
      <c r="E98" s="108">
        <f>'①【国内】研究资源成本估算 (v1.0)'!$G$23</f>
        <v>500</v>
      </c>
      <c r="F98" s="109">
        <f>VLOOKUP($E$98,'【国内】问卷调研-数据源（混合执行）  (2)'!$Z27:$AD45,2,TRUE)</f>
        <v>0.1</v>
      </c>
      <c r="G98" s="109">
        <f>VLOOKUP($E$98,'【国内】问卷调研-数据源（混合执行）  (2)'!$Z27:$AD45,3,TRUE)</f>
        <v>0.48</v>
      </c>
      <c r="H98" s="109">
        <f>VLOOKUP($E$98,'【国内】问卷调研-数据源（混合执行）  (2)'!$Z27:$AD45,4,TRUE)</f>
        <v>1.44333333333333</v>
      </c>
      <c r="I98" s="109">
        <f>VLOOKUP($E$98,'【国内】问卷调研-数据源（混合执行）  (2)'!$Z27:$AD45,5,TRUE)</f>
        <v>1.82</v>
      </c>
      <c r="J98" s="109">
        <f t="shared" si="15"/>
        <v>3.84333333333333</v>
      </c>
      <c r="K98" s="109">
        <f t="shared" si="17"/>
        <v>3000</v>
      </c>
    </row>
    <row r="99" ht="17.25" spans="2:11">
      <c r="B99" s="258" t="s">
        <v>166</v>
      </c>
      <c r="C99" s="260" t="s">
        <v>3</v>
      </c>
      <c r="D99" s="107" t="s">
        <v>207</v>
      </c>
      <c r="E99" s="108">
        <f>'①【国内】研究资源成本估算 (v1.0)'!$G$24</f>
        <v>1000</v>
      </c>
      <c r="F99" s="109">
        <f>VLOOKUP($E$99,'【国内】问卷调研-数据源（混合执行）  (2)'!$AH27:$AL45,2,TRUE)</f>
        <v>0.2</v>
      </c>
      <c r="G99" s="109">
        <f>VLOOKUP($E$99,'【国内】问卷调研-数据源（混合执行）  (2)'!$AH27:$AL45,3,TRUE)</f>
        <v>0.84</v>
      </c>
      <c r="H99" s="109">
        <f>VLOOKUP($E$99,'【国内】问卷调研-数据源（混合执行）  (2)'!$AH27:$AL45,4,TRUE)</f>
        <v>2.45916666666667</v>
      </c>
      <c r="I99" s="109">
        <f>VLOOKUP($E$99,'【国内】问卷调研-数据源（混合执行）  (2)'!$AH27:$AL45,5,TRUE)</f>
        <v>2.21</v>
      </c>
      <c r="J99" s="109">
        <f t="shared" si="15"/>
        <v>5.70916666666667</v>
      </c>
      <c r="K99" s="109">
        <f t="shared" si="17"/>
        <v>7000</v>
      </c>
    </row>
    <row r="100" ht="17.25" spans="2:11">
      <c r="B100" s="258" t="s">
        <v>166</v>
      </c>
      <c r="C100" s="260" t="s">
        <v>3</v>
      </c>
      <c r="D100" s="107" t="s">
        <v>209</v>
      </c>
      <c r="E100" s="108">
        <f>'①【国内】研究资源成本估算 (v1.0)'!$G$25</f>
        <v>500</v>
      </c>
      <c r="F100" s="109">
        <f>VLOOKUP($E$100,'【国内】问卷调研-数据源（混合执行）  (2)'!$AP27:$AT45,2,TRUE)</f>
        <v>0.1</v>
      </c>
      <c r="G100" s="109">
        <f>VLOOKUP($E$100,'【国内】问卷调研-数据源（混合执行）  (2)'!$AP27:$AT45,3,TRUE)</f>
        <v>0.56</v>
      </c>
      <c r="H100" s="109">
        <f>VLOOKUP($E$100,'【国内】问卷调研-数据源（混合执行）  (2)'!$AP27:$AT45,4,TRUE)</f>
        <v>1.76833333333333</v>
      </c>
      <c r="I100" s="109">
        <f>VLOOKUP($E$100,'【国内】问卷调研-数据源（混合执行）  (2)'!$AP27:$AT45,5,TRUE)</f>
        <v>2.08</v>
      </c>
      <c r="J100" s="109">
        <f t="shared" si="15"/>
        <v>4.50833333333333</v>
      </c>
      <c r="K100" s="109">
        <f t="shared" si="17"/>
        <v>4000</v>
      </c>
    </row>
    <row r="101" ht="17.25" spans="2:11">
      <c r="B101" s="258" t="s">
        <v>166</v>
      </c>
      <c r="C101" s="260" t="s">
        <v>3</v>
      </c>
      <c r="D101" s="107" t="s">
        <v>211</v>
      </c>
      <c r="E101" s="108">
        <f>'①【国内】研究资源成本估算 (v1.0)'!$G$26</f>
        <v>2000</v>
      </c>
      <c r="F101" s="109">
        <f>VLOOKUP($E$101,'【国内】问卷调研-数据源（混合执行）  (2)'!$AX27:$BB45,2,TRUE)</f>
        <v>0.3</v>
      </c>
      <c r="G101" s="109">
        <f>VLOOKUP($E$101,'【国内】问卷调研-数据源（混合执行）  (2)'!$AX27:$BB45,3,TRUE)</f>
        <v>1.86</v>
      </c>
      <c r="H101" s="109">
        <f>VLOOKUP($E$101,'【国内】问卷调研-数据源（混合执行）  (2)'!$AX27:$BB45,4,TRUE)</f>
        <v>2.35</v>
      </c>
      <c r="I101" s="109">
        <f>VLOOKUP($E$101,'【国内】问卷调研-数据源（混合执行）  (2)'!$AX27:$BB45,5,TRUE)</f>
        <v>3.12</v>
      </c>
      <c r="J101" s="109">
        <f t="shared" si="15"/>
        <v>7.63</v>
      </c>
      <c r="K101" s="109">
        <f t="shared" si="17"/>
        <v>18000</v>
      </c>
    </row>
    <row r="102" ht="17.25" spans="2:11">
      <c r="B102" s="258" t="s">
        <v>166</v>
      </c>
      <c r="C102" s="261" t="s">
        <v>4</v>
      </c>
      <c r="D102" s="107" t="s">
        <v>199</v>
      </c>
      <c r="E102" s="108">
        <f>'①【国内】研究资源成本估算 (v1.0)'!$G$20</f>
        <v>400</v>
      </c>
      <c r="F102" s="109">
        <f>VLOOKUP($E$102,'【国内】问卷调研-数据源（混合执行）  (2)'!$B50:$F68,2,TRUE)</f>
        <v>0.1</v>
      </c>
      <c r="G102" s="109">
        <f>VLOOKUP($E$102,'【国内】问卷调研-数据源（混合执行）  (2)'!$B50:$F68,3,TRUE)</f>
        <v>0.4</v>
      </c>
      <c r="H102" s="109">
        <f>VLOOKUP($E$102,'【国内】问卷调研-数据源（混合执行）  (2)'!$B50:$F68,4,TRUE)</f>
        <v>1.12583333333333</v>
      </c>
      <c r="I102" s="109">
        <f>VLOOKUP($E$102,'【国内】问卷调研-数据源（混合执行）  (2)'!$B50:$F68,5,TRUE)</f>
        <v>1.43</v>
      </c>
      <c r="J102" s="109">
        <f t="shared" si="15"/>
        <v>3.05583333333333</v>
      </c>
      <c r="K102" s="109">
        <f>E102*Q19</f>
        <v>2000</v>
      </c>
    </row>
    <row r="103" ht="17.25" spans="2:11">
      <c r="B103" s="258" t="s">
        <v>166</v>
      </c>
      <c r="C103" s="261" t="s">
        <v>4</v>
      </c>
      <c r="D103" s="107" t="s">
        <v>203</v>
      </c>
      <c r="E103" s="108">
        <f>'①【国内】研究资源成本估算 (v1.0)'!$G$21</f>
        <v>1000</v>
      </c>
      <c r="F103" s="109">
        <f>VLOOKUP($E$103,'【国内】问卷调研-数据源（混合执行）  (2)'!$J50:$N68,2,TRUE)</f>
        <v>0.3</v>
      </c>
      <c r="G103" s="109">
        <f>VLOOKUP($E$103,'【国内】问卷调研-数据源（混合执行）  (2)'!$J50:$N68,3,TRUE)</f>
        <v>0.84</v>
      </c>
      <c r="H103" s="109">
        <f>VLOOKUP($E$103,'【国内】问卷调研-数据源（混合执行）  (2)'!$J50:$N68,4,TRUE)</f>
        <v>2.48166666666667</v>
      </c>
      <c r="I103" s="109">
        <f>VLOOKUP($E$103,'【国内】问卷调研-数据源（混合执行）  (2)'!$J50:$N68,5,TRUE)</f>
        <v>1.82</v>
      </c>
      <c r="J103" s="109">
        <f t="shared" si="15"/>
        <v>5.44166666666667</v>
      </c>
      <c r="K103" s="109">
        <f t="shared" ref="K103:K108" si="18">E103*Q20</f>
        <v>6000</v>
      </c>
    </row>
    <row r="104" ht="17.25" spans="2:11">
      <c r="B104" s="258" t="s">
        <v>166</v>
      </c>
      <c r="C104" s="261" t="s">
        <v>4</v>
      </c>
      <c r="D104" s="107" t="s">
        <v>95</v>
      </c>
      <c r="E104" s="108">
        <f>'①【国内】研究资源成本估算 (v1.0)'!$G$22</f>
        <v>500</v>
      </c>
      <c r="F104" s="109">
        <f>VLOOKUP($E$104,'【国内】问卷调研-数据源（混合执行）  (2)'!R50:V68,2,TRUE)</f>
        <v>0.1</v>
      </c>
      <c r="G104" s="109">
        <f>VLOOKUP($E$104,'【国内】问卷调研-数据源（混合执行）  (2)'!R50:V68,3,TRUE)</f>
        <v>0.48</v>
      </c>
      <c r="H104" s="109">
        <f>VLOOKUP($E$104,'【国内】问卷调研-数据源（混合执行）  (2)'!R50:V68,4,TRUE)</f>
        <v>1.45083333333333</v>
      </c>
      <c r="I104" s="109">
        <f>VLOOKUP($E$104,'【国内】问卷调研-数据源（混合执行）  (2)'!R50:V68,5,TRUE)</f>
        <v>1.69</v>
      </c>
      <c r="J104" s="109">
        <f t="shared" si="15"/>
        <v>3.72083333333333</v>
      </c>
      <c r="K104" s="109">
        <f t="shared" si="18"/>
        <v>3500</v>
      </c>
    </row>
    <row r="105" ht="17.25" spans="2:11">
      <c r="B105" s="258" t="s">
        <v>166</v>
      </c>
      <c r="C105" s="261" t="s">
        <v>4</v>
      </c>
      <c r="D105" s="107" t="s">
        <v>96</v>
      </c>
      <c r="E105" s="108">
        <f>'①【国内】研究资源成本估算 (v1.0)'!$G$23</f>
        <v>500</v>
      </c>
      <c r="F105" s="109">
        <f>VLOOKUP($E$105,'【国内】问卷调研-数据源（混合执行）  (2)'!$Z50:$AD68,2,TRUE)</f>
        <v>0.1</v>
      </c>
      <c r="G105" s="109">
        <f>VLOOKUP($E$105,'【国内】问卷调研-数据源（混合执行）  (2)'!$Z50:$AD68,3,TRUE)</f>
        <v>0.52</v>
      </c>
      <c r="H105" s="109">
        <f>VLOOKUP($E$105,'【国内】问卷调研-数据源（混合执行）  (2)'!$Z50:$AD68,4,TRUE)</f>
        <v>1.61333333333333</v>
      </c>
      <c r="I105" s="109">
        <f>VLOOKUP($E$105,'【国内】问卷调研-数据源（混合执行）  (2)'!$Z50:$AD68,5,TRUE)</f>
        <v>1.82</v>
      </c>
      <c r="J105" s="109">
        <f t="shared" si="15"/>
        <v>4.05333333333333</v>
      </c>
      <c r="K105" s="109">
        <f t="shared" si="18"/>
        <v>4000</v>
      </c>
    </row>
    <row r="106" ht="17.25" spans="2:11">
      <c r="B106" s="258" t="s">
        <v>166</v>
      </c>
      <c r="C106" s="261" t="s">
        <v>4</v>
      </c>
      <c r="D106" s="107" t="s">
        <v>207</v>
      </c>
      <c r="E106" s="108">
        <f>'①【国内】研究资源成本估算 (v1.0)'!$G$24</f>
        <v>1000</v>
      </c>
      <c r="F106" s="109">
        <f>VLOOKUP($E$106,'【国内】问卷调研-数据源（混合执行）  (2)'!$AH50:$AL68,2,TRUE)</f>
        <v>0.3</v>
      </c>
      <c r="G106" s="109">
        <f>VLOOKUP($E$106,'【国内】问卷调研-数据源（混合执行）  (2)'!$AH50:$AL68,3,TRUE)</f>
        <v>0.96</v>
      </c>
      <c r="H106" s="109">
        <f>VLOOKUP($E$106,'【国内】问卷调研-数据源（混合执行）  (2)'!$AH50:$AL68,4,TRUE)</f>
        <v>2.96916666666667</v>
      </c>
      <c r="I106" s="109">
        <f>VLOOKUP($E$106,'【国内】问卷调研-数据源（混合执行）  (2)'!$AH50:$AL68,5,TRUE)</f>
        <v>2.21</v>
      </c>
      <c r="J106" s="109">
        <f t="shared" si="15"/>
        <v>6.43916666666667</v>
      </c>
      <c r="K106" s="109">
        <f t="shared" si="18"/>
        <v>9000</v>
      </c>
    </row>
    <row r="107" ht="17.25" spans="2:11">
      <c r="B107" s="258" t="s">
        <v>166</v>
      </c>
      <c r="C107" s="261" t="s">
        <v>4</v>
      </c>
      <c r="D107" s="107" t="s">
        <v>209</v>
      </c>
      <c r="E107" s="108">
        <f>'①【国内】研究资源成本估算 (v1.0)'!$G$25</f>
        <v>500</v>
      </c>
      <c r="F107" s="109">
        <f>VLOOKUP($E$107,'【国内】问卷调研-数据源（混合执行）  (2)'!AP50:AT68,2,TRUE)</f>
        <v>0.1</v>
      </c>
      <c r="G107" s="109">
        <f>VLOOKUP($E$107,'【国内】问卷调研-数据源（混合执行）  (2)'!AP50:AT68,3,TRUE)</f>
        <v>0.6</v>
      </c>
      <c r="H107" s="109">
        <f>VLOOKUP($E$107,'【国内】问卷调研-数据源（混合执行）  (2)'!AP50:AT68,4,TRUE)</f>
        <v>1.93833333333333</v>
      </c>
      <c r="I107" s="109">
        <f>VLOOKUP($E$107,'【国内】问卷调研-数据源（混合执行）  (2)'!AP50:AT68,5,TRUE)</f>
        <v>2.08</v>
      </c>
      <c r="J107" s="109">
        <f t="shared" si="15"/>
        <v>4.71833333333333</v>
      </c>
      <c r="K107" s="109">
        <f t="shared" si="18"/>
        <v>5000</v>
      </c>
    </row>
    <row r="108" ht="17.25" spans="2:11">
      <c r="B108" s="258" t="s">
        <v>166</v>
      </c>
      <c r="C108" s="261" t="s">
        <v>4</v>
      </c>
      <c r="D108" s="107" t="s">
        <v>211</v>
      </c>
      <c r="E108" s="108">
        <f>'①【国内】研究资源成本估算 (v1.0)'!$G$26</f>
        <v>2000</v>
      </c>
      <c r="F108" s="109">
        <f>VLOOKUP($E$108,'【国内】问卷调研-数据源（混合执行）  (2)'!$AX50:$BB68,2,TRUE)</f>
        <v>0.4</v>
      </c>
      <c r="G108" s="109">
        <f>VLOOKUP($E$108,'【国内】问卷调研-数据源（混合执行）  (2)'!$AX50:$BB68,3,TRUE)</f>
        <v>1.92</v>
      </c>
      <c r="H108" s="109">
        <f>VLOOKUP($E$108,'【国内】问卷调研-数据源（混合执行）  (2)'!$AX50:$BB68,4,TRUE)</f>
        <v>2.46333333333333</v>
      </c>
      <c r="I108" s="109">
        <f>VLOOKUP($E$108,'【国内】问卷调研-数据源（混合执行）  (2)'!$AX50:$BB68,5,TRUE)</f>
        <v>3.12</v>
      </c>
      <c r="J108" s="109">
        <f t="shared" si="15"/>
        <v>7.90333333333333</v>
      </c>
      <c r="K108" s="109">
        <f t="shared" si="18"/>
        <v>22000</v>
      </c>
    </row>
    <row r="109" ht="17.25" spans="2:11">
      <c r="B109" s="258" t="s">
        <v>166</v>
      </c>
      <c r="C109" s="262" t="s">
        <v>5</v>
      </c>
      <c r="D109" s="107" t="s">
        <v>199</v>
      </c>
      <c r="E109" s="108">
        <f>'①【国内】研究资源成本估算 (v1.0)'!$G$20</f>
        <v>400</v>
      </c>
      <c r="F109" s="109">
        <f>VLOOKUP($E$109,'【国内】问卷调研-数据源（混合执行）  (2)'!$B73:$F91,2,TRUE)</f>
        <v>0.1</v>
      </c>
      <c r="G109" s="109">
        <f>VLOOKUP($E$109,'【国内】问卷调研-数据源（混合执行）  (2)'!$B73:$F91,3,TRUE)</f>
        <v>0.448</v>
      </c>
      <c r="H109" s="109">
        <f>VLOOKUP($E$109,'【国内】问卷调研-数据源（混合执行）  (2)'!$B73:$F91,4,TRUE)</f>
        <v>1.31483333333333</v>
      </c>
      <c r="I109" s="109">
        <f>VLOOKUP($E$109,'【国内】问卷调研-数据源（混合执行）  (2)'!$B73:$F91,5,TRUE)</f>
        <v>1.69</v>
      </c>
      <c r="J109" s="109">
        <f t="shared" si="15"/>
        <v>3.55283333333333</v>
      </c>
      <c r="K109" s="109">
        <f>E109*R19</f>
        <v>2800</v>
      </c>
    </row>
    <row r="110" ht="17.25" spans="2:11">
      <c r="B110" s="258" t="s">
        <v>166</v>
      </c>
      <c r="C110" s="262" t="s">
        <v>5</v>
      </c>
      <c r="D110" s="107" t="s">
        <v>203</v>
      </c>
      <c r="E110" s="108">
        <f>'①【国内】研究资源成本估算 (v1.0)'!$G$21</f>
        <v>1000</v>
      </c>
      <c r="F110" s="109">
        <f>VLOOKUP($E$110,'【国内】问卷调研-数据源（混合执行）  (2)'!$J73:$N91,2,TRUE)</f>
        <v>0.3</v>
      </c>
      <c r="G110" s="109">
        <f>VLOOKUP($E$110,'【国内】问卷调研-数据源（混合执行）  (2)'!$J73:$N91,3,TRUE)</f>
        <v>0.84</v>
      </c>
      <c r="H110" s="109">
        <f>VLOOKUP($E$110,'【国内】问卷调研-数据源（混合执行）  (2)'!$J73:$N91,4,TRUE)</f>
        <v>2.46666666666667</v>
      </c>
      <c r="I110" s="109">
        <f>VLOOKUP($E$110,'【国内】问卷调研-数据源（混合执行）  (2)'!$J73:$N91,5,TRUE)</f>
        <v>2.08</v>
      </c>
      <c r="J110" s="109">
        <f t="shared" si="15"/>
        <v>5.68666666666667</v>
      </c>
      <c r="K110" s="109">
        <f t="shared" ref="K110:K115" si="19">E110*R20</f>
        <v>8500</v>
      </c>
    </row>
    <row r="111" ht="17.25" spans="2:11">
      <c r="B111" s="258" t="s">
        <v>166</v>
      </c>
      <c r="C111" s="262" t="s">
        <v>5</v>
      </c>
      <c r="D111" s="107" t="s">
        <v>95</v>
      </c>
      <c r="E111" s="108">
        <f>'①【国内】研究资源成本估算 (v1.0)'!$G$22</f>
        <v>500</v>
      </c>
      <c r="F111" s="109">
        <f>VLOOKUP($E$111,'【国内】问卷调研-数据源（混合执行）  (2)'!$R73:$V91,2,TRUE)</f>
        <v>0.1</v>
      </c>
      <c r="G111" s="109">
        <f>VLOOKUP($E$111,'【国内】问卷调研-数据源（混合执行）  (2)'!$R73:$V91,3,TRUE)</f>
        <v>0.5552</v>
      </c>
      <c r="H111" s="109">
        <f>VLOOKUP($E$111,'【国内】问卷调研-数据源（混合执行）  (2)'!$R73:$V91,4,TRUE)</f>
        <v>1.75543333333333</v>
      </c>
      <c r="I111" s="109">
        <f>VLOOKUP($E$111,'【国内】问卷调研-数据源（混合执行）  (2)'!$R73:$V91,5,TRUE)</f>
        <v>1.95</v>
      </c>
      <c r="J111" s="109">
        <f t="shared" si="15"/>
        <v>4.36063333333333</v>
      </c>
      <c r="K111" s="109">
        <f t="shared" si="19"/>
        <v>5000</v>
      </c>
    </row>
    <row r="112" ht="17.25" spans="2:11">
      <c r="B112" s="258" t="s">
        <v>166</v>
      </c>
      <c r="C112" s="262" t="s">
        <v>5</v>
      </c>
      <c r="D112" s="107" t="s">
        <v>96</v>
      </c>
      <c r="E112" s="108">
        <f>'①【国内】研究资源成本估算 (v1.0)'!$G$23</f>
        <v>500</v>
      </c>
      <c r="F112" s="109">
        <f>VLOOKUP($E$112,'【国内】问卷调研-数据源（混合执行）  (2)'!$Z73:$AD91,2,TRUE)</f>
        <v>0.1</v>
      </c>
      <c r="G112" s="109">
        <f>VLOOKUP($E$112,'【国内】问卷调研-数据源（混合执行）  (2)'!$Z73:$AD91,3,TRUE)</f>
        <v>0.6152</v>
      </c>
      <c r="H112" s="109">
        <f>VLOOKUP($E$112,'【国内】问卷调研-数据源（混合执行）  (2)'!$Z73:$AD91,4,TRUE)</f>
        <v>2.00293333333333</v>
      </c>
      <c r="I112" s="109">
        <f>VLOOKUP($E$112,'【国内】问卷调研-数据源（混合执行）  (2)'!$Z73:$AD91,5,TRUE)</f>
        <v>2.08</v>
      </c>
      <c r="J112" s="109">
        <f t="shared" si="15"/>
        <v>4.79813333333333</v>
      </c>
      <c r="K112" s="109">
        <f t="shared" si="19"/>
        <v>5750</v>
      </c>
    </row>
    <row r="113" ht="17.25" spans="2:11">
      <c r="B113" s="258" t="s">
        <v>166</v>
      </c>
      <c r="C113" s="262" t="s">
        <v>5</v>
      </c>
      <c r="D113" s="107" t="s">
        <v>207</v>
      </c>
      <c r="E113" s="108">
        <f>'①【国内】研究资源成本估算 (v1.0)'!$G$24</f>
        <v>1000</v>
      </c>
      <c r="F113" s="109">
        <f>VLOOKUP($E$113,'【国内】问卷调研-数据源（混合执行）  (2)'!$AH73:$AL91,2,TRUE)</f>
        <v>0.31</v>
      </c>
      <c r="G113" s="109">
        <f>VLOOKUP($E$113,'【国内】问卷调研-数据源（混合执行）  (2)'!$AH73:$AL91,3,TRUE)</f>
        <v>0.98</v>
      </c>
      <c r="H113" s="109">
        <f>VLOOKUP($E$113,'【国内】问卷调研-数据源（混合执行）  (2)'!$AH73:$AL91,4,TRUE)</f>
        <v>3.03916666666667</v>
      </c>
      <c r="I113" s="109">
        <f>VLOOKUP($E$113,'【国内】问卷调研-数据源（混合执行）  (2)'!$AH73:$AL91,5,TRUE)</f>
        <v>2.47</v>
      </c>
      <c r="J113" s="109">
        <f t="shared" si="15"/>
        <v>6.79916666666667</v>
      </c>
      <c r="K113" s="109">
        <f t="shared" si="19"/>
        <v>13000</v>
      </c>
    </row>
    <row r="114" ht="17.25" spans="2:11">
      <c r="B114" s="258" t="s">
        <v>166</v>
      </c>
      <c r="C114" s="262" t="s">
        <v>5</v>
      </c>
      <c r="D114" s="107" t="s">
        <v>209</v>
      </c>
      <c r="E114" s="108">
        <f>'①【国内】研究资源成本估算 (v1.0)'!$G$25</f>
        <v>500</v>
      </c>
      <c r="F114" s="109">
        <f>VLOOKUP($E$114,'【国内】问卷调研-数据源（混合执行）  (2)'!$AP73:$AT91,2,TRUE)</f>
        <v>0.1</v>
      </c>
      <c r="G114" s="109">
        <f>VLOOKUP($E$114,'【国内】问卷调研-数据源（混合执行）  (2)'!$AP73:$AT91,3,TRUE)</f>
        <v>0.6952</v>
      </c>
      <c r="H114" s="109">
        <f>VLOOKUP($E$114,'【国内】问卷调研-数据源（混合执行）  (2)'!$AP73:$AT91,4,TRUE)</f>
        <v>2.32793333333333</v>
      </c>
      <c r="I114" s="109">
        <f>VLOOKUP($E$114,'【国内】问卷调研-数据源（混合执行）  (2)'!$AP73:$AT91,5,TRUE)</f>
        <v>2.34</v>
      </c>
      <c r="J114" s="109">
        <f t="shared" si="15"/>
        <v>5.46313333333333</v>
      </c>
      <c r="K114" s="109">
        <f t="shared" si="19"/>
        <v>7250</v>
      </c>
    </row>
    <row r="115" ht="17.25" spans="2:11">
      <c r="B115" s="258" t="s">
        <v>166</v>
      </c>
      <c r="C115" s="262" t="s">
        <v>5</v>
      </c>
      <c r="D115" s="107" t="s">
        <v>211</v>
      </c>
      <c r="E115" s="108">
        <f>'①【国内】研究资源成本估算 (v1.0)'!$G$26</f>
        <v>2000</v>
      </c>
      <c r="F115" s="109">
        <f>VLOOKUP($E$115,'【国内】问卷调研-数据源（混合执行）  (2)'!$AX73:$BB91,2,TRUE)</f>
        <v>0.42</v>
      </c>
      <c r="G115" s="109">
        <f>VLOOKUP($E$115,'【国内】问卷调研-数据源（混合执行）  (2)'!$AX73:$BB91,3,TRUE)</f>
        <v>2.1972</v>
      </c>
      <c r="H115" s="109">
        <f>VLOOKUP($E$115,'【国内】问卷调研-数据源（混合执行）  (2)'!$AX73:$BB91,4,TRUE)</f>
        <v>2.97193333333334</v>
      </c>
      <c r="I115" s="109">
        <f>VLOOKUP($E$115,'【国内】问卷调研-数据源（混合执行）  (2)'!$AX73:$BB91,5,TRUE)</f>
        <v>3.38</v>
      </c>
      <c r="J115" s="109">
        <f t="shared" si="15"/>
        <v>8.96913333333334</v>
      </c>
      <c r="K115" s="109">
        <f t="shared" si="19"/>
        <v>32000</v>
      </c>
    </row>
    <row r="116" ht="17.25" spans="2:11">
      <c r="B116" s="258" t="s">
        <v>166</v>
      </c>
      <c r="C116" s="263" t="s">
        <v>123</v>
      </c>
      <c r="D116" s="107" t="s">
        <v>199</v>
      </c>
      <c r="E116" s="108">
        <f>'①【国内】研究资源成本估算 (v1.0)'!$G$20</f>
        <v>400</v>
      </c>
      <c r="F116" s="109">
        <f>VLOOKUP($E$116,'【国内】问卷调研-数据源（混合执行）  (2)'!$B96:$F114,2,TRUE)</f>
        <v>0.1</v>
      </c>
      <c r="G116" s="109">
        <f>VLOOKUP($E$116,'【国内】问卷调研-数据源（混合执行）  (2)'!$B96:$F114,3,TRUE)</f>
        <v>0.488</v>
      </c>
      <c r="H116" s="109">
        <f>VLOOKUP($E$116,'【国内】问卷调研-数据源（混合执行）  (2)'!$B96:$F114,4,TRUE)</f>
        <v>1.47733333333333</v>
      </c>
      <c r="I116" s="109">
        <f>VLOOKUP($E$116,'【国内】问卷调研-数据源（混合执行）  (2)'!$B96:$F114,5,TRUE)</f>
        <v>1.82</v>
      </c>
      <c r="J116" s="109">
        <f t="shared" si="15"/>
        <v>3.88533333333333</v>
      </c>
      <c r="K116" s="109">
        <f>E116*S19</f>
        <v>4000</v>
      </c>
    </row>
    <row r="117" ht="17.25" spans="2:11">
      <c r="B117" s="258" t="s">
        <v>166</v>
      </c>
      <c r="C117" s="263" t="s">
        <v>123</v>
      </c>
      <c r="D117" s="107" t="s">
        <v>203</v>
      </c>
      <c r="E117" s="108">
        <f>'①【国内】研究资源成本估算 (v1.0)'!$G$21</f>
        <v>1000</v>
      </c>
      <c r="F117" s="109">
        <f>VLOOKUP($E$117,'【国内】问卷调研-数据源（混合执行）  (2)'!$J96:$N114,2,TRUE)</f>
        <v>0.4</v>
      </c>
      <c r="G117" s="109">
        <f>VLOOKUP($E$117,'【国内】问卷调研-数据源（混合执行）  (2)'!$J96:$N114,3,TRUE)</f>
        <v>0.8864</v>
      </c>
      <c r="H117" s="109">
        <f>VLOOKUP($E$117,'【国内】问卷调研-数据源（混合执行）  (2)'!$J96:$N114,4,TRUE)</f>
        <v>2.65636666666667</v>
      </c>
      <c r="I117" s="109">
        <f>VLOOKUP($E$117,'【国内】问卷调研-数据源（混合执行）  (2)'!$J96:$N114,5,TRUE)</f>
        <v>2.21</v>
      </c>
      <c r="J117" s="109">
        <f t="shared" si="15"/>
        <v>6.15276666666667</v>
      </c>
      <c r="K117" s="109">
        <f t="shared" ref="K117:K122" si="20">E117*S20</f>
        <v>12000</v>
      </c>
    </row>
    <row r="118" ht="17.25" spans="2:11">
      <c r="B118" s="258" t="s">
        <v>166</v>
      </c>
      <c r="C118" s="263" t="s">
        <v>123</v>
      </c>
      <c r="D118" s="107" t="s">
        <v>95</v>
      </c>
      <c r="E118" s="108">
        <f>'①【国内】研究资源成本估算 (v1.0)'!$G$22</f>
        <v>500</v>
      </c>
      <c r="F118" s="109">
        <f>VLOOKUP($E$118,'【国内】问卷调研-数据源（混合执行）  (2)'!$R96:$V114,2,TRUE)</f>
        <v>0.1</v>
      </c>
      <c r="G118" s="109">
        <f>VLOOKUP($E$118,'【国内】问卷调研-数据源（混合执行）  (2)'!$R96:$V114,3,TRUE)</f>
        <v>0.568</v>
      </c>
      <c r="H118" s="109">
        <f>VLOOKUP($E$118,'【国内】问卷调研-数据源（混合执行）  (2)'!$R96:$V114,4,TRUE)</f>
        <v>1.80233333333333</v>
      </c>
      <c r="I118" s="109">
        <f>VLOOKUP($E$118,'【国内】问卷调研-数据源（混合执行）  (2)'!$R96:$V114,5,TRUE)</f>
        <v>2.08</v>
      </c>
      <c r="J118" s="109">
        <f t="shared" si="15"/>
        <v>4.55033333333333</v>
      </c>
      <c r="K118" s="109">
        <f t="shared" si="20"/>
        <v>7000</v>
      </c>
    </row>
    <row r="119" ht="17.25" spans="2:11">
      <c r="B119" s="258" t="s">
        <v>166</v>
      </c>
      <c r="C119" s="263" t="s">
        <v>123</v>
      </c>
      <c r="D119" s="107" t="s">
        <v>96</v>
      </c>
      <c r="E119" s="108">
        <f>'①【国内】研究资源成本估算 (v1.0)'!$G$23</f>
        <v>500</v>
      </c>
      <c r="F119" s="109">
        <f>VLOOKUP($E$119,'【国内】问卷调研-数据源（混合执行）  (2)'!$Z96:$AD114,2,TRUE)</f>
        <v>0.1</v>
      </c>
      <c r="G119" s="109">
        <f>VLOOKUP($E$119,'【国内】问卷调研-数据源（混合执行）  (2)'!$Z96:$AD114,3,TRUE)</f>
        <v>0.608</v>
      </c>
      <c r="H119" s="109">
        <f>VLOOKUP($E$119,'【国内】问卷调研-数据源（混合执行）  (2)'!$Z96:$AD114,4,TRUE)</f>
        <v>1.96483333333333</v>
      </c>
      <c r="I119" s="109">
        <f>VLOOKUP($E$119,'【国内】问卷调研-数据源（混合执行）  (2)'!$Z96:$AD114,5,TRUE)</f>
        <v>2.21</v>
      </c>
      <c r="J119" s="109">
        <f t="shared" si="15"/>
        <v>4.88283333333333</v>
      </c>
      <c r="K119" s="109">
        <f t="shared" si="20"/>
        <v>8000</v>
      </c>
    </row>
    <row r="120" ht="17.25" spans="2:11">
      <c r="B120" s="258" t="s">
        <v>166</v>
      </c>
      <c r="C120" s="263" t="s">
        <v>123</v>
      </c>
      <c r="D120" s="107" t="s">
        <v>207</v>
      </c>
      <c r="E120" s="108">
        <f>'①【国内】研究资源成本估算 (v1.0)'!$G$24</f>
        <v>1000</v>
      </c>
      <c r="F120" s="109">
        <f>VLOOKUP($E$120,'【国内】问卷调研-数据源（混合执行）  (2)'!$AH96:$AL114,2,TRUE)</f>
        <v>0.4</v>
      </c>
      <c r="G120" s="109">
        <f>VLOOKUP($E$120,'【国内】问卷调研-数据源（混合执行）  (2)'!$AH96:$AL114,3,TRUE)</f>
        <v>1.0064</v>
      </c>
      <c r="H120" s="109">
        <f>VLOOKUP($E$120,'【国内】问卷调研-数据源（混合执行）  (2)'!$AH96:$AL114,4,TRUE)</f>
        <v>3.14386666666667</v>
      </c>
      <c r="I120" s="109">
        <f>VLOOKUP($E$120,'【国内】问卷调研-数据源（混合执行）  (2)'!$AH96:$AL114,5,TRUE)</f>
        <v>2.6</v>
      </c>
      <c r="J120" s="109">
        <f t="shared" si="15"/>
        <v>7.15026666666667</v>
      </c>
      <c r="K120" s="109">
        <f t="shared" si="20"/>
        <v>18000</v>
      </c>
    </row>
    <row r="121" ht="17.25" spans="2:11">
      <c r="B121" s="258" t="s">
        <v>166</v>
      </c>
      <c r="C121" s="263" t="s">
        <v>123</v>
      </c>
      <c r="D121" s="107" t="s">
        <v>209</v>
      </c>
      <c r="E121" s="108">
        <f>'①【国内】研究资源成本估算 (v1.0)'!$G$25</f>
        <v>500</v>
      </c>
      <c r="F121" s="109">
        <f>VLOOKUP($E$121,'【国内】问卷调研-数据源（混合执行）  (2)'!$AP96:$AT114,2,TRUE)</f>
        <v>0.1</v>
      </c>
      <c r="G121" s="109">
        <f>VLOOKUP($E$121,'【国内】问卷调研-数据源（混合执行）  (2)'!$AP96:$AT114,3,TRUE)</f>
        <v>0.688</v>
      </c>
      <c r="H121" s="109">
        <f>VLOOKUP($E$121,'【国内】问卷调研-数据源（混合执行）  (2)'!$AP96:$AT114,4,TRUE)</f>
        <v>2.28983333333333</v>
      </c>
      <c r="I121" s="109">
        <f>VLOOKUP($E$121,'【国内】问卷调研-数据源（混合执行）  (2)'!$AP96:$AT114,5,TRUE)</f>
        <v>2.47</v>
      </c>
      <c r="J121" s="109">
        <f t="shared" si="15"/>
        <v>5.54783333333333</v>
      </c>
      <c r="K121" s="109">
        <f t="shared" si="20"/>
        <v>10000</v>
      </c>
    </row>
    <row r="122" ht="17.25" spans="2:11">
      <c r="B122" s="258" t="s">
        <v>166</v>
      </c>
      <c r="C122" s="263" t="s">
        <v>123</v>
      </c>
      <c r="D122" s="107" t="s">
        <v>211</v>
      </c>
      <c r="E122" s="108">
        <f>'①【国内】研究资源成本估算 (v1.0)'!$G$26</f>
        <v>2000</v>
      </c>
      <c r="F122" s="109">
        <f>VLOOKUP($E$122,'【国内】问卷调研-数据源（混合执行）  (2)'!$AX96:$BB114,2,TRUE)</f>
        <v>0.5</v>
      </c>
      <c r="G122" s="109">
        <f>VLOOKUP($E$122,'【国内】问卷调研-数据源（混合执行）  (2)'!$AX96:$BB114,3,TRUE)</f>
        <v>2.1672</v>
      </c>
      <c r="H122" s="109">
        <f>VLOOKUP($E$122,'【国内】问卷调研-数据源（混合执行）  (2)'!$AX96:$BB114,4,TRUE)</f>
        <v>2.91526666666667</v>
      </c>
      <c r="I122" s="109">
        <f>VLOOKUP($E$122,'【国内】问卷调研-数据源（混合执行）  (2)'!$AX96:$BB114,5,TRUE)</f>
        <v>3.38</v>
      </c>
      <c r="J122" s="109">
        <f t="shared" si="15"/>
        <v>8.96246666666667</v>
      </c>
      <c r="K122" s="109">
        <f t="shared" si="20"/>
        <v>44000</v>
      </c>
    </row>
    <row r="123" ht="17.25" spans="2:11">
      <c r="B123" s="258" t="s">
        <v>166</v>
      </c>
      <c r="C123" s="264" t="s">
        <v>124</v>
      </c>
      <c r="D123" s="107" t="s">
        <v>199</v>
      </c>
      <c r="E123" s="108">
        <f>'①【国内】研究资源成本估算 (v1.0)'!$G$20</f>
        <v>400</v>
      </c>
      <c r="F123" s="109">
        <f>VLOOKUP($E$123,'【国内】问卷调研-数据源（混合执行）  (2)'!$B119:$F137,2,TRUE)</f>
        <v>0.1</v>
      </c>
      <c r="G123" s="109">
        <f>VLOOKUP($E$123,'【国内】问卷调研-数据源（混合执行）  (2)'!$B119:$F137,3,TRUE)</f>
        <v>0.528</v>
      </c>
      <c r="H123" s="109">
        <f>VLOOKUP($E$123,'【国内】问卷调研-数据源（混合执行）  (2)'!$B119:$F137,4,TRUE)</f>
        <v>1.63983333333333</v>
      </c>
      <c r="I123" s="109">
        <f>VLOOKUP($E$123,'【国内】问卷调研-数据源（混合执行）  (2)'!$B119:$F137,5,TRUE)</f>
        <v>1.95</v>
      </c>
      <c r="J123" s="109">
        <f t="shared" si="15"/>
        <v>4.21783333333333</v>
      </c>
      <c r="K123" s="109">
        <f>E123*T19</f>
        <v>4800</v>
      </c>
    </row>
    <row r="124" ht="17.25" spans="2:11">
      <c r="B124" s="258" t="s">
        <v>166</v>
      </c>
      <c r="C124" s="264" t="s">
        <v>124</v>
      </c>
      <c r="D124" s="107" t="s">
        <v>203</v>
      </c>
      <c r="E124" s="108">
        <f>'①【国内】研究资源成本估算 (v1.0)'!$G$21</f>
        <v>1000</v>
      </c>
      <c r="F124" s="109">
        <f>VLOOKUP($E$124,'【国内】问卷调研-数据源（混合执行）  (2)'!$J119:$N137,2,TRUE)</f>
        <v>0.5</v>
      </c>
      <c r="G124" s="109">
        <f>VLOOKUP($E$124,'【国内】问卷调研-数据源（混合执行）  (2)'!$J119:$N137,3,TRUE)</f>
        <v>0.9264</v>
      </c>
      <c r="H124" s="109">
        <f>VLOOKUP($E$124,'【国内】问卷调研-数据源（混合执行）  (2)'!$J119:$N137,4,TRUE)</f>
        <v>2.81886666666667</v>
      </c>
      <c r="I124" s="109">
        <f>VLOOKUP($E$124,'【国内】问卷调研-数据源（混合执行）  (2)'!$J119:$N137,5,TRUE)</f>
        <v>2.34</v>
      </c>
      <c r="J124" s="109">
        <f t="shared" si="15"/>
        <v>6.58526666666667</v>
      </c>
      <c r="K124" s="109">
        <f t="shared" ref="K124:K129" si="21">E124*T20</f>
        <v>14000</v>
      </c>
    </row>
    <row r="125" ht="17.25" spans="2:11">
      <c r="B125" s="258" t="s">
        <v>166</v>
      </c>
      <c r="C125" s="264" t="s">
        <v>124</v>
      </c>
      <c r="D125" s="107" t="s">
        <v>95</v>
      </c>
      <c r="E125" s="108">
        <f>'①【国内】研究资源成本估算 (v1.0)'!$G$22</f>
        <v>500</v>
      </c>
      <c r="F125" s="109">
        <f>VLOOKUP($E$125,'【国内】问卷调研-数据源（混合执行）  (2)'!$R119:$V137,2,TRUE)</f>
        <v>0.1</v>
      </c>
      <c r="G125" s="109">
        <f>VLOOKUP($E$125,'【国内】问卷调研-数据源（混合执行）  (2)'!$R119:$V137,3,TRUE)</f>
        <v>0.608</v>
      </c>
      <c r="H125" s="109">
        <f>VLOOKUP($E$125,'【国内】问卷调研-数据源（混合执行）  (2)'!$R119:$V137,4,TRUE)</f>
        <v>1.96483333333333</v>
      </c>
      <c r="I125" s="109">
        <f>VLOOKUP($E$125,'【国内】问卷调研-数据源（混合执行）  (2)'!$R119:$V137,5,TRUE)</f>
        <v>2.21</v>
      </c>
      <c r="J125" s="109">
        <f t="shared" si="15"/>
        <v>4.88283333333333</v>
      </c>
      <c r="K125" s="109">
        <f t="shared" si="21"/>
        <v>8000</v>
      </c>
    </row>
    <row r="126" ht="17.25" spans="2:11">
      <c r="B126" s="258" t="s">
        <v>166</v>
      </c>
      <c r="C126" s="264" t="s">
        <v>124</v>
      </c>
      <c r="D126" s="107" t="s">
        <v>96</v>
      </c>
      <c r="E126" s="108">
        <f>'①【国内】研究资源成本估算 (v1.0)'!$G$23</f>
        <v>500</v>
      </c>
      <c r="F126" s="109">
        <f>VLOOKUP($E$126,'【国内】问卷调研-数据源（混合执行）  (2)'!$Z119:$AD137,2,TRUE)</f>
        <v>0.1</v>
      </c>
      <c r="G126" s="109">
        <f>VLOOKUP($E$126,'【国内】问卷调研-数据源（混合执行）  (2)'!$Z119:$AD137,3,TRUE)</f>
        <v>0.688</v>
      </c>
      <c r="H126" s="109">
        <f>VLOOKUP($E$126,'【国内】问卷调研-数据源（混合执行）  (2)'!$Z119:$AD137,4,TRUE)</f>
        <v>2.29733333333333</v>
      </c>
      <c r="I126" s="109">
        <f>VLOOKUP($E$126,'【国内】问卷调研-数据源（混合执行）  (2)'!$Z119:$AD137,5,TRUE)</f>
        <v>2.34</v>
      </c>
      <c r="J126" s="109">
        <f t="shared" si="15"/>
        <v>5.42533333333333</v>
      </c>
      <c r="K126" s="109">
        <f t="shared" si="21"/>
        <v>9000</v>
      </c>
    </row>
    <row r="127" ht="17.25" spans="2:11">
      <c r="B127" s="258" t="s">
        <v>166</v>
      </c>
      <c r="C127" s="264" t="s">
        <v>124</v>
      </c>
      <c r="D127" s="107" t="s">
        <v>207</v>
      </c>
      <c r="E127" s="108">
        <f>'①【国内】研究资源成本估算 (v1.0)'!$G$24</f>
        <v>1000</v>
      </c>
      <c r="F127" s="109">
        <f>VLOOKUP($E$127,'【国内】问卷调研-数据源（混合执行）  (2)'!$AH119:$AL137,2,TRUE)</f>
        <v>0.5</v>
      </c>
      <c r="G127" s="109">
        <f>VLOOKUP($E$127,'【国内】问卷调研-数据源（混合执行）  (2)'!$AH119:$AL137,3,TRUE)</f>
        <v>1.1264</v>
      </c>
      <c r="H127" s="109">
        <f>VLOOKUP($E$127,'【国内】问卷调研-数据源（混合执行）  (2)'!$AH119:$AL137,4,TRUE)</f>
        <v>3.64636666666667</v>
      </c>
      <c r="I127" s="109">
        <f>VLOOKUP($E$127,'【国内】问卷调研-数据源（混合执行）  (2)'!$AH119:$AL137,5,TRUE)</f>
        <v>2.73</v>
      </c>
      <c r="J127" s="109">
        <f t="shared" si="15"/>
        <v>8.00276666666667</v>
      </c>
      <c r="K127" s="109">
        <f t="shared" si="21"/>
        <v>20000</v>
      </c>
    </row>
    <row r="128" ht="17.25" spans="2:11">
      <c r="B128" s="258" t="s">
        <v>166</v>
      </c>
      <c r="C128" s="264" t="s">
        <v>124</v>
      </c>
      <c r="D128" s="107" t="s">
        <v>209</v>
      </c>
      <c r="E128" s="108">
        <f>'①【国内】研究资源成本估算 (v1.0)'!$G$25</f>
        <v>500</v>
      </c>
      <c r="F128" s="109">
        <f>VLOOKUP($E$128,'【国内】问卷调研-数据源（混合执行）  (2)'!$AP119:$AT137,2,TRUE)</f>
        <v>0.1</v>
      </c>
      <c r="G128" s="109">
        <f>VLOOKUP($E$128,'【国内】问卷调研-数据源（混合执行）  (2)'!$AP119:$AT137,3,TRUE)</f>
        <v>0.848</v>
      </c>
      <c r="H128" s="109">
        <f>VLOOKUP($E$128,'【国内】问卷调研-数据源（混合执行）  (2)'!$AP119:$AT137,4,TRUE)</f>
        <v>2.96233333333333</v>
      </c>
      <c r="I128" s="109">
        <f>VLOOKUP($E$128,'【国内】问卷调研-数据源（混合执行）  (2)'!$AP119:$AT137,5,TRUE)</f>
        <v>2.6</v>
      </c>
      <c r="J128" s="109">
        <f t="shared" si="15"/>
        <v>6.51033333333334</v>
      </c>
      <c r="K128" s="109">
        <f t="shared" si="21"/>
        <v>11000</v>
      </c>
    </row>
    <row r="129" spans="2:11">
      <c r="B129" s="258" t="s">
        <v>166</v>
      </c>
      <c r="C129" s="264" t="s">
        <v>124</v>
      </c>
      <c r="D129" s="107" t="s">
        <v>211</v>
      </c>
      <c r="E129" s="108">
        <f>'①【国内】研究资源成本估算 (v1.0)'!$G$26</f>
        <v>2000</v>
      </c>
      <c r="F129" s="109">
        <f>VLOOKUP($E$129,'【国内】问卷调研-数据源（混合执行）  (2)'!$AX119:$BB137,2,TRUE)</f>
        <v>0.6</v>
      </c>
      <c r="G129" s="109">
        <f>VLOOKUP($E$129,'【国内】问卷调研-数据源（混合执行）  (2)'!$AX119:$BB137,3,TRUE)</f>
        <v>2.4672</v>
      </c>
      <c r="H129" s="109">
        <f>VLOOKUP($E$129,'【国内】问卷调研-数据源（混合执行）  (2)'!$AX119:$BB137,4,TRUE)</f>
        <v>3.46693333333333</v>
      </c>
      <c r="I129" s="109">
        <f>VLOOKUP($E$129,'【国内】问卷调研-数据源（混合执行）  (2)'!$AX119:$BB137,5,TRUE)</f>
        <v>3.64</v>
      </c>
      <c r="J129" s="109">
        <f t="shared" si="15"/>
        <v>10.1741333333333</v>
      </c>
      <c r="K129" s="109">
        <f t="shared" si="21"/>
        <v>48000</v>
      </c>
    </row>
  </sheetData>
  <autoFilter xmlns:etc="http://www.wps.cn/officeDocument/2017/etCustomData" ref="A1:K129" etc:filterBottomFollowUsedRange="0">
    <extLst/>
  </autoFilter>
  <mergeCells count="1">
    <mergeCell ref="A2:K2"/>
  </mergeCells>
  <dataValidations count="1">
    <dataValidation allowBlank="1" showInputMessage="1" showErrorMessage="1" sqref="E4:E129"/>
  </dataValidation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45"/>
  <sheetViews>
    <sheetView showGridLines="0" workbookViewId="0">
      <selection activeCell="G36" sqref="G36"/>
    </sheetView>
  </sheetViews>
  <sheetFormatPr defaultColWidth="9" defaultRowHeight="16.5"/>
  <cols>
    <col min="3" max="3" width="15.25" customWidth="1"/>
    <col min="4" max="5" width="10.375" style="1" customWidth="1"/>
    <col min="6" max="7" width="11.375" style="1" customWidth="1"/>
    <col min="8" max="8" width="15.375" customWidth="1"/>
    <col min="9" max="9" width="7.5" customWidth="1"/>
    <col min="10" max="10" width="15.25" customWidth="1"/>
    <col min="11" max="12" width="10.375" customWidth="1"/>
    <col min="13" max="14" width="12" customWidth="1"/>
    <col min="15" max="15" width="15.375" customWidth="1"/>
    <col min="16" max="16" width="12.625"/>
    <col min="18" max="18" width="12.625"/>
  </cols>
  <sheetData>
    <row r="1" customHeight="1"/>
    <row r="2" ht="30" customHeight="1" spans="2:15">
      <c r="C2" s="238" t="s">
        <v>298</v>
      </c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</row>
    <row r="3" customHeight="1" spans="2:15">
      <c r="C3" s="240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</row>
    <row r="4" ht="18.95" customHeight="1" spans="2:15">
      <c r="C4" s="92" t="s">
        <v>214</v>
      </c>
      <c r="D4" s="92" t="s">
        <v>222</v>
      </c>
      <c r="E4" s="92"/>
      <c r="F4" s="92"/>
      <c r="G4" s="92"/>
      <c r="H4" s="126">
        <f>AVERAGE(H8:H11)</f>
        <v>512.676470588235</v>
      </c>
      <c r="I4" s="126"/>
      <c r="J4" s="92" t="s">
        <v>214</v>
      </c>
      <c r="K4" s="92" t="s">
        <v>299</v>
      </c>
      <c r="L4" s="92"/>
      <c r="M4" s="92"/>
      <c r="N4" s="92"/>
      <c r="O4" s="126">
        <f>AVERAGE(O7:O11)</f>
        <v>537.683861236803</v>
      </c>
    </row>
    <row r="5" ht="18.95" customHeight="1" spans="2:15">
      <c r="C5" s="241" t="s">
        <v>300</v>
      </c>
      <c r="D5" s="241" t="s">
        <v>8</v>
      </c>
      <c r="E5" s="241" t="s">
        <v>10</v>
      </c>
      <c r="F5" s="241" t="s">
        <v>301</v>
      </c>
      <c r="G5" s="241" t="s">
        <v>302</v>
      </c>
      <c r="H5" s="82" t="s">
        <v>303</v>
      </c>
      <c r="I5" s="129"/>
      <c r="J5" s="82" t="s">
        <v>300</v>
      </c>
      <c r="K5" s="241" t="s">
        <v>8</v>
      </c>
      <c r="L5" s="241" t="s">
        <v>10</v>
      </c>
      <c r="M5" s="82" t="s">
        <v>301</v>
      </c>
      <c r="N5" s="82" t="s">
        <v>302</v>
      </c>
      <c r="O5" s="82" t="s">
        <v>303</v>
      </c>
    </row>
    <row r="6" ht="18.95" customHeight="1" spans="2:15">
      <c r="B6" s="197">
        <v>0</v>
      </c>
      <c r="C6" s="242">
        <v>0</v>
      </c>
      <c r="D6" s="243">
        <v>0</v>
      </c>
      <c r="E6" s="243">
        <v>0</v>
      </c>
      <c r="F6" s="243">
        <v>300</v>
      </c>
      <c r="G6" s="243">
        <v>400</v>
      </c>
      <c r="H6" s="244">
        <v>0</v>
      </c>
      <c r="I6" s="136"/>
      <c r="J6" s="180">
        <v>0</v>
      </c>
      <c r="K6" s="180">
        <v>0</v>
      </c>
      <c r="L6" s="180">
        <v>0</v>
      </c>
      <c r="M6" s="245">
        <v>800</v>
      </c>
      <c r="N6" s="245">
        <v>1000</v>
      </c>
      <c r="O6" s="244">
        <v>0</v>
      </c>
    </row>
    <row r="7" ht="18.95" customHeight="1" spans="2:15">
      <c r="B7" s="197" t="s">
        <v>304</v>
      </c>
      <c r="C7" s="246">
        <v>1</v>
      </c>
      <c r="D7" s="247">
        <v>0</v>
      </c>
      <c r="E7" s="248">
        <v>0.4</v>
      </c>
      <c r="F7" s="247"/>
      <c r="G7" s="247"/>
      <c r="H7" s="249">
        <f>((D7*5900+E7*1200)/C7)</f>
        <v>480</v>
      </c>
      <c r="I7" s="136"/>
      <c r="J7" s="180">
        <v>1</v>
      </c>
      <c r="K7" s="180">
        <v>0</v>
      </c>
      <c r="L7" s="248">
        <v>0.4</v>
      </c>
      <c r="M7" s="250"/>
      <c r="N7" s="250"/>
      <c r="O7" s="249">
        <f>((K7*5900+L7*1200)/J7)</f>
        <v>480</v>
      </c>
    </row>
    <row r="8" ht="18.95" customHeight="1" spans="2:15">
      <c r="B8" s="197" t="s">
        <v>305</v>
      </c>
      <c r="C8" s="246">
        <v>5</v>
      </c>
      <c r="D8" s="247">
        <v>0.1</v>
      </c>
      <c r="E8" s="247">
        <v>1.7</v>
      </c>
      <c r="F8" s="247"/>
      <c r="G8" s="247"/>
      <c r="H8" s="249">
        <f>((D8*5900+E8*1200)/C8)</f>
        <v>526</v>
      </c>
      <c r="I8" s="136"/>
      <c r="J8" s="180">
        <v>5</v>
      </c>
      <c r="K8" s="247">
        <v>0.1</v>
      </c>
      <c r="L8" s="182">
        <v>1.9</v>
      </c>
      <c r="M8" s="250"/>
      <c r="N8" s="250"/>
      <c r="O8" s="249">
        <f>((K8*5900+L8*1200)/J8)</f>
        <v>574</v>
      </c>
    </row>
    <row r="9" ht="18.95" customHeight="1" spans="2:15">
      <c r="B9" s="197" t="s">
        <v>306</v>
      </c>
      <c r="C9" s="246">
        <v>9</v>
      </c>
      <c r="D9" s="247">
        <v>0.3</v>
      </c>
      <c r="E9" s="247">
        <v>2.5</v>
      </c>
      <c r="F9" s="247"/>
      <c r="G9" s="247"/>
      <c r="H9" s="249">
        <f>((D9*5900+E9*1200)/C9)</f>
        <v>530</v>
      </c>
      <c r="I9" s="136"/>
      <c r="J9" s="180">
        <v>9</v>
      </c>
      <c r="K9" s="247">
        <v>0.3</v>
      </c>
      <c r="L9" s="180">
        <v>2.6</v>
      </c>
      <c r="M9" s="250"/>
      <c r="N9" s="250"/>
      <c r="O9" s="249">
        <f>((K9*5900+L9*1200)/J9)</f>
        <v>543.333333333333</v>
      </c>
    </row>
    <row r="10" ht="18.95" customHeight="1" spans="2:15">
      <c r="B10" s="197" t="s">
        <v>307</v>
      </c>
      <c r="C10" s="246">
        <v>13</v>
      </c>
      <c r="D10" s="247">
        <v>0.6</v>
      </c>
      <c r="E10" s="247">
        <v>2.9</v>
      </c>
      <c r="F10" s="247"/>
      <c r="G10" s="247"/>
      <c r="H10" s="249">
        <f>((D10*5900+E10*1200)/C10)</f>
        <v>540</v>
      </c>
      <c r="I10" s="136"/>
      <c r="J10" s="180">
        <v>13</v>
      </c>
      <c r="K10" s="247">
        <f>D10+0.1</f>
        <v>0.7</v>
      </c>
      <c r="L10" s="182">
        <v>3</v>
      </c>
      <c r="M10" s="250"/>
      <c r="N10" s="250"/>
      <c r="O10" s="249">
        <f>((K10*5900+L10*1200)/J10)</f>
        <v>594.615384615385</v>
      </c>
    </row>
    <row r="11" ht="18.95" customHeight="1" spans="2:15">
      <c r="B11" s="197" t="s">
        <v>308</v>
      </c>
      <c r="C11" s="246">
        <v>17</v>
      </c>
      <c r="D11" s="248">
        <v>0.7</v>
      </c>
      <c r="E11" s="248">
        <v>3</v>
      </c>
      <c r="F11" s="247"/>
      <c r="G11" s="247"/>
      <c r="H11" s="249">
        <f>((D11*5900+E11*1200)/C11)</f>
        <v>454.705882352941</v>
      </c>
      <c r="I11" s="136"/>
      <c r="J11" s="180">
        <v>17</v>
      </c>
      <c r="K11" s="247">
        <v>0.8</v>
      </c>
      <c r="L11" s="180">
        <v>3.1</v>
      </c>
      <c r="M11" s="251"/>
      <c r="N11" s="251"/>
      <c r="O11" s="249">
        <f>((K11*5900+L11*1200)/J11)</f>
        <v>496.470588235294</v>
      </c>
    </row>
    <row r="12" ht="18.95" customHeight="1" spans="2:15">
      <c r="C12" s="252"/>
      <c r="D12" s="143"/>
      <c r="E12" s="143"/>
      <c r="F12" s="143"/>
      <c r="G12" s="139"/>
      <c r="H12" s="136"/>
      <c r="I12" s="129"/>
      <c r="J12" s="240"/>
      <c r="K12" s="145"/>
      <c r="L12" s="145"/>
      <c r="M12" s="145"/>
      <c r="N12" s="146"/>
    </row>
    <row r="13" ht="18.95" customHeight="1" spans="2:15">
      <c r="C13" s="92" t="s">
        <v>214</v>
      </c>
      <c r="D13" s="92" t="s">
        <v>226</v>
      </c>
      <c r="E13" s="92"/>
      <c r="F13" s="92"/>
      <c r="G13" s="92"/>
      <c r="H13" s="126">
        <f>AVERAGE(H16:H20)</f>
        <v>517.882352941176</v>
      </c>
      <c r="I13" s="129"/>
      <c r="J13" s="92" t="s">
        <v>214</v>
      </c>
      <c r="K13" s="92" t="s">
        <v>309</v>
      </c>
      <c r="L13" s="92"/>
      <c r="M13" s="92"/>
      <c r="N13" s="92"/>
      <c r="O13" s="126">
        <f>AVERAGE(O16:O20)</f>
        <v>517.882352941176</v>
      </c>
    </row>
    <row r="14" ht="18.95" customHeight="1" spans="2:15">
      <c r="C14" s="82" t="s">
        <v>300</v>
      </c>
      <c r="D14" s="241" t="s">
        <v>8</v>
      </c>
      <c r="E14" s="241" t="s">
        <v>10</v>
      </c>
      <c r="F14" s="82" t="s">
        <v>301</v>
      </c>
      <c r="G14" s="82" t="s">
        <v>302</v>
      </c>
      <c r="H14" s="129"/>
      <c r="I14" s="129"/>
      <c r="J14" s="82" t="s">
        <v>300</v>
      </c>
      <c r="K14" s="241" t="s">
        <v>8</v>
      </c>
      <c r="L14" s="241" t="s">
        <v>10</v>
      </c>
      <c r="M14" s="82" t="s">
        <v>301</v>
      </c>
      <c r="N14" s="82" t="s">
        <v>302</v>
      </c>
    </row>
    <row r="15" ht="18.95" customHeight="1" spans="2:15">
      <c r="C15" s="180">
        <v>0</v>
      </c>
      <c r="D15" s="243">
        <v>0</v>
      </c>
      <c r="E15" s="243">
        <v>0</v>
      </c>
      <c r="F15" s="245">
        <v>600</v>
      </c>
      <c r="G15" s="245">
        <v>800</v>
      </c>
      <c r="H15">
        <f>D15*7200+E15*1200</f>
        <v>0</v>
      </c>
      <c r="I15" s="129"/>
      <c r="J15" s="180">
        <v>0</v>
      </c>
      <c r="K15" s="180">
        <v>0</v>
      </c>
      <c r="L15" s="180">
        <v>0</v>
      </c>
      <c r="M15" s="245">
        <v>600</v>
      </c>
      <c r="N15" s="245">
        <v>800</v>
      </c>
      <c r="O15">
        <f>K15*7200+L15*1200</f>
        <v>0</v>
      </c>
    </row>
    <row r="16" ht="18.95" customHeight="1" spans="2:15">
      <c r="C16" s="180">
        <v>1</v>
      </c>
      <c r="D16" s="247">
        <v>0</v>
      </c>
      <c r="E16" s="248">
        <v>0.4</v>
      </c>
      <c r="F16" s="250"/>
      <c r="G16" s="250"/>
      <c r="H16" s="249">
        <f>((D16*5900+E16*1200)/C16)</f>
        <v>480</v>
      </c>
      <c r="I16" s="129"/>
      <c r="J16" s="180">
        <v>1</v>
      </c>
      <c r="K16" s="180">
        <v>0</v>
      </c>
      <c r="L16" s="248">
        <v>0.4</v>
      </c>
      <c r="M16" s="250"/>
      <c r="N16" s="250"/>
      <c r="O16" s="249">
        <f>((K16*5900+L16*1200)/J16)</f>
        <v>480</v>
      </c>
    </row>
    <row r="17" ht="18.95" customHeight="1" spans="3:16">
      <c r="C17" s="180">
        <v>5</v>
      </c>
      <c r="D17" s="247">
        <v>0.1</v>
      </c>
      <c r="E17" s="248">
        <v>1.8</v>
      </c>
      <c r="F17" s="250"/>
      <c r="G17" s="250"/>
      <c r="H17" s="249">
        <f>((D17*5900+E17*1200)/C17)</f>
        <v>550</v>
      </c>
      <c r="I17" s="129"/>
      <c r="J17" s="180">
        <v>5</v>
      </c>
      <c r="K17" s="247">
        <v>0.1</v>
      </c>
      <c r="L17" s="180">
        <v>1.8</v>
      </c>
      <c r="M17" s="250"/>
      <c r="N17" s="250"/>
      <c r="O17" s="249">
        <f>((K17*5900+L17*1200)/J17)</f>
        <v>550</v>
      </c>
    </row>
    <row r="18" ht="18.95" customHeight="1" spans="3:16">
      <c r="C18" s="180">
        <v>9</v>
      </c>
      <c r="D18" s="247">
        <v>0.3</v>
      </c>
      <c r="E18" s="247">
        <v>2.5</v>
      </c>
      <c r="F18" s="250"/>
      <c r="G18" s="250"/>
      <c r="H18" s="249">
        <f>((D18*5900+E18*1200)/C18)</f>
        <v>530</v>
      </c>
      <c r="I18" s="129"/>
      <c r="J18" s="180">
        <v>9</v>
      </c>
      <c r="K18" s="247">
        <v>0.3</v>
      </c>
      <c r="L18" s="180">
        <v>2.5</v>
      </c>
      <c r="M18" s="250"/>
      <c r="N18" s="250"/>
      <c r="O18" s="249">
        <f>((K18*5900+L18*1200)/J18)</f>
        <v>530</v>
      </c>
    </row>
    <row r="19" ht="18.95" customHeight="1" spans="3:16">
      <c r="C19" s="180">
        <v>13</v>
      </c>
      <c r="D19" s="247">
        <v>0.6</v>
      </c>
      <c r="E19" s="247">
        <v>2.9</v>
      </c>
      <c r="F19" s="250"/>
      <c r="G19" s="250"/>
      <c r="H19" s="249">
        <f>((D19*5900+E19*1200)/C19)</f>
        <v>540</v>
      </c>
      <c r="I19" s="129"/>
      <c r="J19" s="180">
        <v>13</v>
      </c>
      <c r="K19" s="247">
        <v>0.6</v>
      </c>
      <c r="L19" s="180">
        <v>2.9</v>
      </c>
      <c r="M19" s="250"/>
      <c r="N19" s="250"/>
      <c r="O19" s="249">
        <f>((K19*5900+L19*1200)/J19)</f>
        <v>540</v>
      </c>
    </row>
    <row r="20" ht="18.95" customHeight="1" spans="3:16">
      <c r="C20" s="180">
        <v>17</v>
      </c>
      <c r="D20" s="248">
        <v>0.8</v>
      </c>
      <c r="E20" s="248">
        <v>3</v>
      </c>
      <c r="F20" s="251"/>
      <c r="G20" s="251"/>
      <c r="H20" s="249">
        <f>((D20*5900+E20*1200)/C20)</f>
        <v>489.411764705882</v>
      </c>
      <c r="I20" s="129"/>
      <c r="J20" s="180">
        <v>17</v>
      </c>
      <c r="K20" s="248">
        <v>0.8</v>
      </c>
      <c r="L20" s="248">
        <v>3</v>
      </c>
      <c r="M20" s="251"/>
      <c r="N20" s="251"/>
      <c r="O20" s="249">
        <f>((K20*5900+L20*1200)/J20)</f>
        <v>489.411764705882</v>
      </c>
    </row>
    <row r="21" ht="18.95" customHeight="1" spans="3:16">
      <c r="C21" s="240"/>
      <c r="D21" s="145"/>
      <c r="E21" s="145"/>
      <c r="F21" s="145"/>
      <c r="G21" s="146"/>
      <c r="H21" s="136"/>
      <c r="I21" s="129"/>
      <c r="J21" s="253"/>
      <c r="K21" s="254"/>
      <c r="L21" s="254"/>
      <c r="M21" s="254"/>
      <c r="N21" s="255"/>
    </row>
    <row r="22" ht="18.95" customHeight="1" spans="3:16">
      <c r="C22" s="92" t="s">
        <v>214</v>
      </c>
      <c r="D22" s="92" t="s">
        <v>310</v>
      </c>
      <c r="E22" s="92"/>
      <c r="F22" s="92"/>
      <c r="G22" s="92"/>
      <c r="H22" s="126">
        <f>AVERAGE(H25:H29)</f>
        <v>517.882352941176</v>
      </c>
      <c r="I22" s="129"/>
      <c r="J22" s="256"/>
      <c r="K22" s="2"/>
      <c r="L22" s="2"/>
      <c r="M22" s="2"/>
      <c r="N22" s="136"/>
    </row>
    <row r="23" ht="18.95" customHeight="1" spans="3:16">
      <c r="C23" s="82" t="s">
        <v>300</v>
      </c>
      <c r="D23" s="241" t="s">
        <v>8</v>
      </c>
      <c r="E23" s="241" t="s">
        <v>10</v>
      </c>
      <c r="F23" s="82" t="s">
        <v>301</v>
      </c>
      <c r="G23" s="82" t="s">
        <v>302</v>
      </c>
      <c r="H23" s="129"/>
      <c r="I23" s="129"/>
      <c r="J23" s="256"/>
      <c r="K23" s="2"/>
      <c r="L23" s="2"/>
      <c r="M23" s="2"/>
      <c r="N23" s="136"/>
      <c r="P23">
        <f>AVERAGE(H13,O4,O13,H22)</f>
        <v>522.832730015083</v>
      </c>
    </row>
    <row r="24" ht="18.95" customHeight="1" spans="3:16">
      <c r="C24" s="180">
        <v>0</v>
      </c>
      <c r="D24" s="180">
        <v>0</v>
      </c>
      <c r="E24" s="180">
        <v>0</v>
      </c>
      <c r="F24" s="245">
        <v>300</v>
      </c>
      <c r="G24" s="245">
        <v>400</v>
      </c>
      <c r="H24">
        <f>D24*7200+E24*1200</f>
        <v>0</v>
      </c>
      <c r="I24" s="129"/>
      <c r="J24" s="256"/>
      <c r="K24" s="2"/>
      <c r="L24" s="2"/>
      <c r="M24" s="2"/>
      <c r="N24" s="136"/>
    </row>
    <row r="25" ht="18.95" customHeight="1" spans="3:16">
      <c r="C25" s="180">
        <v>1</v>
      </c>
      <c r="D25" s="180">
        <v>0</v>
      </c>
      <c r="E25" s="248">
        <v>0.4</v>
      </c>
      <c r="F25" s="250"/>
      <c r="G25" s="250"/>
      <c r="H25" s="249">
        <f>((D25*5900+E25*1200)/C25)</f>
        <v>480</v>
      </c>
      <c r="I25" s="129"/>
      <c r="J25" s="256"/>
      <c r="K25" s="2"/>
      <c r="L25" s="2"/>
      <c r="M25" s="2"/>
      <c r="N25" s="136"/>
    </row>
    <row r="26" ht="18.95" customHeight="1" spans="3:16">
      <c r="C26" s="180">
        <v>5</v>
      </c>
      <c r="D26" s="247">
        <v>0.1</v>
      </c>
      <c r="E26" s="248">
        <v>1.8</v>
      </c>
      <c r="F26" s="250"/>
      <c r="G26" s="250"/>
      <c r="H26" s="249">
        <f>((D26*5900+E26*1200)/C26)</f>
        <v>550</v>
      </c>
      <c r="I26" s="129"/>
      <c r="J26" s="256"/>
      <c r="K26" s="2"/>
      <c r="L26" s="2"/>
      <c r="M26" s="2"/>
      <c r="N26" s="136"/>
    </row>
    <row r="27" ht="18.95" customHeight="1" spans="3:16">
      <c r="C27" s="180">
        <v>9</v>
      </c>
      <c r="D27" s="247">
        <v>0.3</v>
      </c>
      <c r="E27" s="247">
        <v>2.5</v>
      </c>
      <c r="F27" s="250"/>
      <c r="G27" s="250"/>
      <c r="H27" s="249">
        <f>((D27*5900+E27*1200)/C27)</f>
        <v>530</v>
      </c>
      <c r="I27" s="129"/>
      <c r="J27" s="256"/>
      <c r="K27" s="2"/>
      <c r="L27" s="2"/>
      <c r="M27" s="2"/>
      <c r="N27" s="136"/>
    </row>
    <row r="28" ht="18.95" customHeight="1" spans="3:16">
      <c r="C28" s="180">
        <v>13</v>
      </c>
      <c r="D28" s="247">
        <v>0.6</v>
      </c>
      <c r="E28" s="247">
        <v>2.9</v>
      </c>
      <c r="F28" s="250"/>
      <c r="G28" s="250"/>
      <c r="H28" s="249">
        <f>((D28*5900+E28*1200)/C28)</f>
        <v>540</v>
      </c>
      <c r="I28" s="129"/>
      <c r="J28" s="256"/>
      <c r="K28" s="2"/>
      <c r="L28" s="2"/>
      <c r="M28" s="2"/>
      <c r="N28" s="136"/>
    </row>
    <row r="29" ht="18.95" customHeight="1" spans="3:16">
      <c r="C29" s="180">
        <v>17</v>
      </c>
      <c r="D29" s="248">
        <v>0.8</v>
      </c>
      <c r="E29" s="248">
        <v>3</v>
      </c>
      <c r="F29" s="251"/>
      <c r="G29" s="251"/>
      <c r="H29" s="249">
        <f>((D29*5900+E29*1200)/C29)</f>
        <v>489.411764705882</v>
      </c>
      <c r="I29" s="147"/>
      <c r="J29" s="252"/>
      <c r="K29" s="143"/>
      <c r="L29" s="143"/>
      <c r="M29" s="143"/>
      <c r="N29" s="139"/>
    </row>
    <row r="30" ht="18.95" customHeight="1"/>
    <row r="31" ht="18.95" customHeight="1"/>
    <row r="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customFormat="1" ht="18.95" customHeight="1"/>
    <row r="40" customFormat="1" ht="18.95" customHeight="1"/>
    <row r="41" customFormat="1" ht="18.95" customHeight="1"/>
    <row r="42" customFormat="1" ht="18.95" customHeight="1"/>
    <row r="43" customFormat="1" ht="18.95" customHeight="1"/>
    <row r="44" customFormat="1" ht="18.95" customHeight="1"/>
    <row r="45" customFormat="1" ht="18.95" customHeight="1"/>
  </sheetData>
  <mergeCells count="22">
    <mergeCell ref="C2:N2"/>
    <mergeCell ref="C3:N3"/>
    <mergeCell ref="D4:G4"/>
    <mergeCell ref="K4:N4"/>
    <mergeCell ref="C12:G12"/>
    <mergeCell ref="J12:N12"/>
    <mergeCell ref="D13:G13"/>
    <mergeCell ref="K13:N13"/>
    <mergeCell ref="C21:G21"/>
    <mergeCell ref="D22:G22"/>
    <mergeCell ref="F6:F11"/>
    <mergeCell ref="F15:F20"/>
    <mergeCell ref="F24:F29"/>
    <mergeCell ref="G6:G11"/>
    <mergeCell ref="G15:G20"/>
    <mergeCell ref="G24:G29"/>
    <mergeCell ref="I4:I29"/>
    <mergeCell ref="M6:M11"/>
    <mergeCell ref="M15:M20"/>
    <mergeCell ref="N6:N11"/>
    <mergeCell ref="N15:N20"/>
    <mergeCell ref="J21:N29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showGridLines="0" topLeftCell="B2" workbookViewId="0">
      <selection activeCell="G36" sqref="G36"/>
    </sheetView>
  </sheetViews>
  <sheetFormatPr defaultColWidth="9" defaultRowHeight="16.5"/>
  <cols>
    <col min="1" max="1" width="13.5" style="1" customWidth="1"/>
    <col min="2" max="2" width="14" style="1" customWidth="1"/>
    <col min="3" max="3" width="22.875" style="1" customWidth="1"/>
    <col min="4" max="4" width="16.25" style="1" customWidth="1"/>
    <col min="5" max="5" width="13" style="1" customWidth="1"/>
    <col min="6" max="6" width="16.25" style="1" customWidth="1"/>
    <col min="7" max="8" width="13.25" style="1" customWidth="1"/>
    <col min="9" max="9" width="13.25" style="1" hidden="1" customWidth="1"/>
    <col min="10" max="14" width="13.25" style="1" customWidth="1"/>
    <col min="15" max="15" width="14.125" style="1" customWidth="1"/>
    <col min="16" max="18" width="10.75" style="99" customWidth="1"/>
    <col min="19" max="19" width="12.25" style="99" hidden="1" customWidth="1"/>
    <col min="20" max="20" width="12.25" style="99" customWidth="1"/>
    <col min="21" max="21" width="12.625" style="1"/>
    <col min="22" max="16384" width="9" style="1"/>
  </cols>
  <sheetData>
    <row r="1" ht="33" customHeight="1" spans="1:20">
      <c r="A1" s="3" t="s">
        <v>142</v>
      </c>
      <c r="B1" s="3"/>
    </row>
    <row r="2" ht="26.1" customHeight="1" spans="1:20">
      <c r="A2" s="200" t="s">
        <v>311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ht="26.1" customHeight="1" spans="1:20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ht="126.95" customHeight="1" spans="1:20">
      <c r="A4" s="202" t="s">
        <v>144</v>
      </c>
      <c r="B4" s="39" t="s">
        <v>312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ht="33.95" customHeight="1" spans="1:20">
      <c r="A5" s="84" t="s">
        <v>148</v>
      </c>
      <c r="B5" s="203" t="s">
        <v>313</v>
      </c>
      <c r="C5" s="203" t="s">
        <v>314</v>
      </c>
      <c r="D5" s="204" t="s">
        <v>152</v>
      </c>
      <c r="E5" s="204"/>
      <c r="F5" s="204" t="s">
        <v>315</v>
      </c>
      <c r="G5" s="203"/>
      <c r="H5" s="203" t="s">
        <v>316</v>
      </c>
      <c r="I5" s="203" t="s">
        <v>220</v>
      </c>
      <c r="J5" s="205" t="s">
        <v>8</v>
      </c>
      <c r="K5" s="205" t="s">
        <v>9</v>
      </c>
      <c r="L5" s="205" t="s">
        <v>103</v>
      </c>
      <c r="M5" s="104" t="s">
        <v>317</v>
      </c>
      <c r="N5" s="205" t="s">
        <v>8</v>
      </c>
      <c r="O5" s="205" t="s">
        <v>9</v>
      </c>
      <c r="P5" s="205" t="s">
        <v>103</v>
      </c>
      <c r="Q5" s="206" t="s">
        <v>318</v>
      </c>
      <c r="R5" s="206" t="s">
        <v>319</v>
      </c>
      <c r="S5" s="206" t="s">
        <v>320</v>
      </c>
      <c r="T5" s="206" t="s">
        <v>320</v>
      </c>
    </row>
    <row r="6" ht="38.1" customHeight="1" spans="1:20">
      <c r="A6" s="54" t="s">
        <v>265</v>
      </c>
      <c r="B6" s="207" t="s">
        <v>321</v>
      </c>
      <c r="C6" s="208" t="s">
        <v>322</v>
      </c>
      <c r="D6" s="209" t="s">
        <v>323</v>
      </c>
      <c r="E6" s="210"/>
      <c r="F6" s="209" t="s">
        <v>324</v>
      </c>
      <c r="G6" s="211"/>
      <c r="H6" s="211"/>
      <c r="I6" s="212"/>
      <c r="J6" s="213">
        <f t="shared" ref="J6:J11" si="0">N6*I6</f>
        <v>0</v>
      </c>
      <c r="K6" s="213">
        <f t="shared" ref="K6:K11" si="1">O6*I6</f>
        <v>0</v>
      </c>
      <c r="L6" s="213">
        <f t="shared" ref="L6:L11" si="2">P6*I6</f>
        <v>0</v>
      </c>
      <c r="M6" s="213">
        <f t="shared" ref="M6:M11" si="3">SUM(J6:L6)</f>
        <v>0</v>
      </c>
      <c r="N6" s="213">
        <f>VLOOKUP($G$6,'【海外】用户招募-数据源'!$B$7:$E$21,2,TRUE)</f>
        <v>0</v>
      </c>
      <c r="O6" s="213">
        <f>VLOOKUP($G$6,'【海外】用户招募-数据源'!$B$7:$E$21,3,TRUE)</f>
        <v>0</v>
      </c>
      <c r="P6" s="213">
        <f>VLOOKUP($G$6,'【海外】用户招募-数据源'!$B$7:$E$21,4,TRUE)</f>
        <v>0</v>
      </c>
      <c r="Q6" s="213">
        <f>(IF(E6&gt;2,700+INT((E6-2)/0.5)*175,IF(AND(E6&gt;0,E6&lt;=2),700,0)))*G6</f>
        <v>0</v>
      </c>
      <c r="R6" s="213">
        <f>G6*250</f>
        <v>0</v>
      </c>
      <c r="S6" s="213" t="e">
        <f>(J6*5900+K6*3400+L6*500)/H6</f>
        <v>#DIV/0!</v>
      </c>
      <c r="T6" s="213"/>
    </row>
    <row r="7" ht="38.1" customHeight="1" spans="1:20">
      <c r="A7" s="54" t="s">
        <v>266</v>
      </c>
      <c r="B7" s="214"/>
      <c r="C7" s="215" t="s">
        <v>325</v>
      </c>
      <c r="D7" s="209"/>
      <c r="E7" s="216"/>
      <c r="F7" s="209"/>
      <c r="G7" s="217"/>
      <c r="H7" s="211"/>
      <c r="I7" s="212"/>
      <c r="J7" s="213">
        <f t="shared" si="0"/>
        <v>0</v>
      </c>
      <c r="K7" s="213">
        <f t="shared" si="1"/>
        <v>0</v>
      </c>
      <c r="L7" s="213">
        <f t="shared" si="2"/>
        <v>0</v>
      </c>
      <c r="M7" s="213">
        <f t="shared" si="3"/>
        <v>0</v>
      </c>
      <c r="N7" s="213">
        <f>VLOOKUP($G$7,'【海外】用户招募-数据源'!$B$28:$E$42,2,TRUE)</f>
        <v>0</v>
      </c>
      <c r="O7" s="213">
        <f>VLOOKUP($G$7,'【海外】用户招募-数据源'!$B$28:$E$42,3,TRUE)</f>
        <v>0</v>
      </c>
      <c r="P7" s="213">
        <f>VLOOKUP($G$7,'【海外】用户招募-数据源'!$B$28:$E$42,4,TRUE)</f>
        <v>0</v>
      </c>
      <c r="Q7" s="213">
        <f>(IF(E7&gt;2,440+INT((E7-2)/0.5)*105,IF(AND(E7&gt;0,E7&lt;=2),440,0)))*G7</f>
        <v>0</v>
      </c>
      <c r="R7" s="213">
        <f t="shared" ref="R7:R11" si="4">G7*250</f>
        <v>0</v>
      </c>
      <c r="S7" s="213"/>
      <c r="T7" s="213"/>
    </row>
    <row r="8" ht="38.1" customHeight="1" spans="1:20">
      <c r="A8" s="54" t="s">
        <v>297</v>
      </c>
      <c r="B8" s="214" t="s">
        <v>88</v>
      </c>
      <c r="C8" s="208" t="s">
        <v>322</v>
      </c>
      <c r="D8" s="209"/>
      <c r="E8" s="218">
        <v>2</v>
      </c>
      <c r="F8" s="209"/>
      <c r="G8" s="219">
        <v>14</v>
      </c>
      <c r="H8" s="219" t="s">
        <v>326</v>
      </c>
      <c r="I8" s="212">
        <f>IF(H8="常规-简单",0.88,IF(H8="常规-中等",1,IF(H8="常规-困难",1.1,IF(H8="常规-端内",0.6,""))))</f>
        <v>1</v>
      </c>
      <c r="J8" s="213">
        <f t="shared" si="0"/>
        <v>0.3</v>
      </c>
      <c r="K8" s="213">
        <f t="shared" si="1"/>
        <v>4.47941176470588</v>
      </c>
      <c r="L8" s="213">
        <f t="shared" si="2"/>
        <v>5</v>
      </c>
      <c r="M8" s="213">
        <f t="shared" si="3"/>
        <v>9.77941176470588</v>
      </c>
      <c r="N8" s="213">
        <f>VLOOKUP($G$8,'【海外】用户招募-数据源'!$G$6:$J$21,2,TRUE)</f>
        <v>0.3</v>
      </c>
      <c r="O8" s="213">
        <f>VLOOKUP($G$8,'【海外】用户招募-数据源'!$G$6:$J$21,3,TRUE)</f>
        <v>4.47941176470588</v>
      </c>
      <c r="P8" s="213">
        <f>VLOOKUP($G$8,'【海外】用户招募-数据源'!$G$6:$J$21,4,TRUE)</f>
        <v>5</v>
      </c>
      <c r="Q8" s="213">
        <f>(IF(E8&gt;2,400+INT((E8-2)/0.5)*100,IF(AND(E8&gt;0,E8&lt;=2),400,0)))*G8</f>
        <v>5600</v>
      </c>
      <c r="R8" s="213">
        <f t="shared" si="4"/>
        <v>3500</v>
      </c>
      <c r="S8" s="220">
        <f>(J8*5900+K8*3400+L8*500)/G8</f>
        <v>1392.85714285714</v>
      </c>
      <c r="T8" s="221">
        <f>S8</f>
        <v>1392.85714285714</v>
      </c>
    </row>
    <row r="9" ht="38.1" customHeight="1" spans="1:20">
      <c r="A9" s="54" t="s">
        <v>275</v>
      </c>
      <c r="B9" s="214"/>
      <c r="C9" s="215" t="s">
        <v>325</v>
      </c>
      <c r="D9" s="209"/>
      <c r="E9" s="108">
        <v>2</v>
      </c>
      <c r="F9" s="209"/>
      <c r="G9" s="54">
        <v>10</v>
      </c>
      <c r="H9" s="219" t="s">
        <v>327</v>
      </c>
      <c r="I9" s="212">
        <f>IF(H9="常规-简单",0.88,IF(H9="常规-中等",1,IF(H9="常规-困难",1.1,IF(H9="常规-端内",0.6,""))))</f>
        <v>0.88</v>
      </c>
      <c r="J9" s="213">
        <f t="shared" si="0"/>
        <v>0.088</v>
      </c>
      <c r="K9" s="213">
        <f t="shared" si="1"/>
        <v>3.05670588235294</v>
      </c>
      <c r="L9" s="213">
        <f t="shared" si="2"/>
        <v>3.52</v>
      </c>
      <c r="M9" s="213">
        <f t="shared" si="3"/>
        <v>6.66470588235295</v>
      </c>
      <c r="N9" s="213">
        <f>VLOOKUP($G$9,'【海外】用户招募-数据源'!$G$27:$J$42,2,TRUE)</f>
        <v>0.1</v>
      </c>
      <c r="O9" s="213">
        <f>VLOOKUP($G$9,'【海外】用户招募-数据源'!$G$27:$J$42,3,TRUE)</f>
        <v>3.47352941176471</v>
      </c>
      <c r="P9" s="213">
        <f>VLOOKUP($G$9,'【海外】用户招募-数据源'!$G$27:$J$42,4,TRUE)</f>
        <v>4</v>
      </c>
      <c r="Q9" s="213">
        <f>(IF(E9&gt;2,300+INT((E9-2)/0.5)*75,IF(AND(E9&gt;0,E9&lt;=2),300,0)))*G9</f>
        <v>3000</v>
      </c>
      <c r="R9" s="213">
        <f t="shared" si="4"/>
        <v>2500</v>
      </c>
      <c r="S9" s="220">
        <f>(J9*5900+K9*3400+L9*500)/G9</f>
        <v>1267.2</v>
      </c>
      <c r="T9" s="221">
        <f>S9</f>
        <v>1267.2</v>
      </c>
    </row>
    <row r="10" ht="38.1" customHeight="1" spans="1:20">
      <c r="A10" s="54" t="s">
        <v>277</v>
      </c>
      <c r="B10" s="214" t="s">
        <v>328</v>
      </c>
      <c r="C10" s="208" t="s">
        <v>322</v>
      </c>
      <c r="D10" s="209"/>
      <c r="E10" s="210"/>
      <c r="F10" s="209"/>
      <c r="G10" s="211"/>
      <c r="H10" s="211"/>
      <c r="I10" s="212"/>
      <c r="J10" s="213">
        <f t="shared" si="0"/>
        <v>0</v>
      </c>
      <c r="K10" s="213">
        <f t="shared" si="1"/>
        <v>0</v>
      </c>
      <c r="L10" s="213">
        <f t="shared" si="2"/>
        <v>0</v>
      </c>
      <c r="M10" s="213">
        <f t="shared" si="3"/>
        <v>0</v>
      </c>
      <c r="N10" s="213">
        <f>VLOOKUP($G$10,'【海外】用户招募-数据源'!$L$6:$O$21,2,TRUE)</f>
        <v>0</v>
      </c>
      <c r="O10" s="213">
        <f>VLOOKUP($G$10,'【海外】用户招募-数据源'!$L$6:$O$21,3,TRUE)</f>
        <v>0</v>
      </c>
      <c r="P10" s="213">
        <f>VLOOKUP($G$10,'【海外】用户招募-数据源'!$L$6:$O$21,4,TRUE)</f>
        <v>0</v>
      </c>
      <c r="Q10" s="213">
        <f>(IF(E10&gt;2,400+INT((E10-2)/0.5)*100,IF(AND(E10&gt;0,E10&lt;=2),400,0)))*G10</f>
        <v>0</v>
      </c>
      <c r="R10" s="213">
        <f t="shared" si="4"/>
        <v>0</v>
      </c>
      <c r="S10" s="213"/>
      <c r="T10" s="213"/>
    </row>
    <row r="11" ht="38.1" customHeight="1" spans="1:20">
      <c r="A11" s="54" t="s">
        <v>278</v>
      </c>
      <c r="B11" s="222"/>
      <c r="C11" s="215" t="s">
        <v>325</v>
      </c>
      <c r="D11" s="209"/>
      <c r="E11" s="216"/>
      <c r="F11" s="209"/>
      <c r="G11" s="217"/>
      <c r="H11" s="211"/>
      <c r="I11" s="212"/>
      <c r="J11" s="213">
        <f t="shared" si="0"/>
        <v>0</v>
      </c>
      <c r="K11" s="213">
        <f t="shared" si="1"/>
        <v>0</v>
      </c>
      <c r="L11" s="213">
        <f t="shared" si="2"/>
        <v>0</v>
      </c>
      <c r="M11" s="213">
        <f t="shared" si="3"/>
        <v>0</v>
      </c>
      <c r="N11" s="213">
        <f>VLOOKUP($G$11,'【海外】用户招募-数据源'!$L$27:$O$42,2,TRUE)</f>
        <v>0</v>
      </c>
      <c r="O11" s="213">
        <f>VLOOKUP($G$11,'【海外】用户招募-数据源'!$L$27:$O$42,3,TRUE)</f>
        <v>0</v>
      </c>
      <c r="P11" s="213">
        <f>VLOOKUP($G$11,'【海外】用户招募-数据源'!$L$27:$O$42,4,TRUE)</f>
        <v>0</v>
      </c>
      <c r="Q11" s="213">
        <f>(IF(E11&gt;2,300+INT((E11-2)/0.5)*75,IF(AND(E11&gt;0,E11&lt;=2),300,0)))*G11</f>
        <v>0</v>
      </c>
      <c r="R11" s="213">
        <f t="shared" si="4"/>
        <v>0</v>
      </c>
      <c r="S11" s="213"/>
      <c r="T11" s="213"/>
    </row>
    <row r="12" ht="86.1" customHeight="1" spans="1:20">
      <c r="A12" s="223" t="s">
        <v>189</v>
      </c>
      <c r="B12" s="39" t="s">
        <v>329</v>
      </c>
      <c r="C12" s="39"/>
      <c r="D12" s="39"/>
      <c r="E12" s="39"/>
      <c r="F12" s="39"/>
      <c r="G12" s="39"/>
      <c r="H12" s="39"/>
      <c r="I12" s="39"/>
      <c r="J12" s="224"/>
      <c r="K12" s="224"/>
      <c r="L12" s="224"/>
      <c r="M12" s="224"/>
      <c r="N12" s="225"/>
      <c r="O12" s="224"/>
      <c r="P12" s="224"/>
      <c r="Q12" s="224"/>
      <c r="R12" s="224"/>
      <c r="S12" s="224"/>
      <c r="T12" s="224"/>
    </row>
    <row r="13" ht="33.95" customHeight="1" spans="1:20">
      <c r="A13" s="84" t="s">
        <v>148</v>
      </c>
      <c r="B13" s="226" t="s">
        <v>313</v>
      </c>
      <c r="C13" s="203" t="s">
        <v>314</v>
      </c>
      <c r="D13" s="204" t="s">
        <v>330</v>
      </c>
      <c r="E13" s="204"/>
      <c r="F13" s="204" t="s">
        <v>315</v>
      </c>
      <c r="G13" s="203"/>
      <c r="H13" s="227" t="s">
        <v>8</v>
      </c>
      <c r="J13" s="227" t="s">
        <v>9</v>
      </c>
      <c r="K13" s="227" t="s">
        <v>103</v>
      </c>
      <c r="L13" s="228" t="s">
        <v>317</v>
      </c>
      <c r="M13" s="229" t="s">
        <v>331</v>
      </c>
      <c r="N13" s="230" t="s">
        <v>332</v>
      </c>
      <c r="S13" s="206" t="s">
        <v>320</v>
      </c>
      <c r="T13" s="231"/>
    </row>
    <row r="14" ht="38.1" customHeight="1" spans="1:20">
      <c r="A14" s="54" t="s">
        <v>279</v>
      </c>
      <c r="B14" s="51" t="s">
        <v>321</v>
      </c>
      <c r="C14" s="232" t="s">
        <v>333</v>
      </c>
      <c r="D14" s="233" t="s">
        <v>334</v>
      </c>
      <c r="E14" s="234" t="s">
        <v>335</v>
      </c>
      <c r="F14" s="233" t="s">
        <v>336</v>
      </c>
      <c r="G14" s="54">
        <v>200</v>
      </c>
      <c r="H14" s="109">
        <f>IF($E$14="20题及以内",'【海外】问卷投放成本估算（完整版）'!E4,IF($E$14="21-30题",'【海外】问卷投放成本估算（完整版）'!E5,IF($E$14="31-40题",'【海外】问卷投放成本估算（完整版）'!E6,IF($E$14="41-50题",'【海外】问卷投放成本估算（完整版）'!E7,IF($E$14="51-60题",'【海外】问卷投放成本估算（完整版）'!E8,IF($E$14="61-70题",'【海外】问卷投放成本估算（完整版）'!E9,IF($E$14="71-80题",'【海外】问卷投放成本估算（完整版）'!E10)))))))</f>
        <v>0</v>
      </c>
      <c r="J14" s="109">
        <f>IF($E$14="20题及以内",'【海外】问卷投放成本估算（完整版）'!F4,IF($E$14="21-30题",'【海外】问卷投放成本估算（完整版）'!F5,IF($E$14="31-40题",'【海外】问卷投放成本估算（完整版）'!F6,IF($E$14="41-50题",'【海外】问卷投放成本估算（完整版）'!F7,IF($E$14="51-60题",'【海外】问卷投放成本估算（完整版）'!F8,IF($E$14="61-70题",'【海外】问卷投放成本估算（完整版）'!F9,IF($E$14="71-80题",'【海外】问卷投放成本估算（完整版）'!F10)))))))</f>
        <v>0.62208</v>
      </c>
      <c r="K14" s="109">
        <f>IF($E$14="20题及以内",'【海外】问卷投放成本估算（完整版）'!G4,IF($E$14="21-30题",'【海外】问卷投放成本估算（完整版）'!G5,IF($E$14="31-40题",'【海外】问卷投放成本估算（完整版）'!G6,IF($E$14="41-50题",'【海外】问卷投放成本估算（完整版）'!G7,IF($E$14="51-60题",'【海外】问卷投放成本估算（完整版）'!G8,IF($E$14="61-70题",'【海外】问卷投放成本估算（完整版）'!G9,IF($E$14="71-80题",'【海外】问卷投放成本估算（完整版）'!G10)))))))</f>
        <v>0</v>
      </c>
      <c r="L14" s="109">
        <f t="shared" ref="L14:L19" si="5">H14+J14+K14</f>
        <v>0.62208</v>
      </c>
      <c r="M14" s="212">
        <f>IF($E$14="20题及以内",'【海外】问卷投放成本估算（完整版）'!I4,IF($E$14="21-30题",'【海外】问卷投放成本估算（完整版）'!I5,IF($E$14="31-40题",'【海外】问卷投放成本估算（完整版）'!I6,IF($E$14="41-50题",'【海外】问卷投放成本估算（完整版）'!I7,IF($E$14="51-60题",'【海外】问卷投放成本估算（完整版）'!I8,IF($E$14="61-70题",'【海外】问卷投放成本估算（完整版）'!I9,IF($E$14="71-80题",'【海外】问卷投放成本估算（完整版）'!I10)))))))</f>
        <v>4800</v>
      </c>
      <c r="N14" s="213">
        <f t="shared" ref="N14:N19" si="6">S14</f>
        <v>10.57536</v>
      </c>
      <c r="S14" s="1">
        <f t="shared" ref="S14:S19" si="7">(H14*5900+J14*3400+K14*1200)/G14</f>
        <v>10.57536</v>
      </c>
      <c r="T14" s="231"/>
    </row>
    <row r="15" ht="38.1" customHeight="1" spans="1:20">
      <c r="A15" s="54" t="s">
        <v>280</v>
      </c>
      <c r="B15" s="51"/>
      <c r="C15" s="235" t="s">
        <v>337</v>
      </c>
      <c r="D15" s="209"/>
      <c r="E15" s="234" t="s">
        <v>338</v>
      </c>
      <c r="F15" s="209"/>
      <c r="G15" s="54">
        <v>500</v>
      </c>
      <c r="H15" s="109">
        <f>IF($E$15="20题及以内",'【海外】问卷投放成本估算（完整版）'!E11,IF($E$15="21-30题",'【海外】问卷投放成本估算（完整版）'!E12,IF($E$15="31-40题",'【海外】问卷投放成本估算（完整版）'!E13,IF($E$15="41-50题",'【海外】问卷投放成本估算（完整版）'!E14,IF($E$15="51-60题",'【海外】问卷投放成本估算（完整版）'!E15,IF($E$15="61-70题",'【海外】问卷投放成本估算（完整版）'!E16,IF($E$15="71-80题",'【海外】问卷投放成本估算（完整版）'!E17)))))))</f>
        <v>0.1</v>
      </c>
      <c r="J15" s="109">
        <f>IF($E$15="20题及以内",'【海外】问卷投放成本估算（完整版）'!F11,IF($E$15="21-30题",'【海外】问卷投放成本估算（完整版）'!F12,IF($E$15="31-40题",'【海外】问卷投放成本估算（完整版）'!F13,IF($E$15="41-50题",'【海外】问卷投放成本估算（完整版）'!F14,IF($E$15="51-60题",'【海外】问卷投放成本估算（完整版）'!F15,IF($E$15="61-70题",'【海外】问卷投放成本估算（完整版）'!F16,IF($E$15="71-80题",'【海外】问卷投放成本估算（完整版）'!F17)))))))</f>
        <v>1.96730062848</v>
      </c>
      <c r="K15" s="109">
        <f>IF($E$15="20题及以内",'【海外】问卷投放成本估算（完整版）'!G11,IF($E$15="21-30题",'【海外】问卷投放成本估算（完整版）'!G12,IF($E$15="31-40题",'【海外】问卷投放成本估算（完整版）'!G13,IF($E$15="41-50题",'【海外】问卷投放成本估算（完整版）'!G14,IF($E$15="51-60题",'【海外】问卷投放成本估算（完整版）'!G15,IF($E$15="61-70题",'【海外】问卷投放成本估算（完整版）'!G16,IF($E$15="71-80题",'【海外】问卷投放成本估算（完整版）'!G17)))))))</f>
        <v>0</v>
      </c>
      <c r="L15" s="109">
        <f t="shared" si="5"/>
        <v>2.06730062848</v>
      </c>
      <c r="M15" s="212">
        <f>IF($E$15="20题及以内",'【海外】问卷投放成本估算（完整版）'!I112,IF($E$15="21-30题",'【海外】问卷投放成本估算（完整版）'!I12,IF($E$15="31-40题",'【海外】问卷投放成本估算（完整版）'!I13,IF($E$15="41-50题",'【海外】问卷投放成本估算（完整版）'!I14,IF($E$15="51-60题",'【海外】问卷投放成本估算（完整版）'!I15,IF($E$15="61-70题",'【海外】问卷投放成本估算（完整版）'!I16,IF($E$15="71-80题",'【海外】问卷投放成本估算（完整版）'!I17)))))))</f>
        <v>28000</v>
      </c>
      <c r="N15" s="213">
        <f t="shared" si="6"/>
        <v>14.557644273664</v>
      </c>
      <c r="S15" s="1">
        <f t="shared" si="7"/>
        <v>14.557644273664</v>
      </c>
      <c r="T15" s="231"/>
    </row>
    <row r="16" ht="38.1" customHeight="1" spans="1:20">
      <c r="A16" s="54" t="s">
        <v>281</v>
      </c>
      <c r="B16" s="51" t="s">
        <v>88</v>
      </c>
      <c r="C16" s="232" t="s">
        <v>333</v>
      </c>
      <c r="D16" s="209"/>
      <c r="E16" s="234" t="s">
        <v>335</v>
      </c>
      <c r="F16" s="209"/>
      <c r="G16" s="54">
        <v>1000</v>
      </c>
      <c r="H16" s="109">
        <f>IF($E$16="20题及以内",'【海外】问卷投放成本估算（完整版）'!E18,IF($E$16="21-30题",'【海外】问卷投放成本估算（完整版）'!E19,IF($E$16="31-40题",'【海外】问卷投放成本估算（完整版）'!E20,IF($E$16="41-50题",'【海外】问卷投放成本估算（完整版）'!E21,IF($E$16="51-60题",'【海外】问卷投放成本估算（完整版）'!E22,IF($E$16="61-70题",'【海外】问卷投放成本估算（完整版）'!E23,IF($E$16="71-80题",'【海外】问卷投放成本估算（完整版）'!E24)))))))</f>
        <v>0.2</v>
      </c>
      <c r="J16" s="109">
        <f>IF($E$16="20题及以内",'【海外】问卷投放成本估算（完整版）'!F18,IF($E$16="21-30题",'【海外】问卷投放成本估算（完整版）'!F19,IF($E$16="31-40题",'【海外】问卷投放成本估算（完整版）'!F20,IF($E$16="41-50题",'【海外】问卷投放成本估算（完整版）'!F21,IF($E$16="51-60题",'【海外】问卷投放成本估算（完整版）'!F22,IF($E$16="61-70题",'【海外】问卷投放成本估算（完整版）'!F23,IF($E$16="71-80题",'【海外】问卷投放成本估算（完整版）'!F24)))))))</f>
        <v>2.1</v>
      </c>
      <c r="K16" s="109">
        <f>IF($E$16="20题及以内",'【海外】问卷投放成本估算（完整版）'!G18,IF($E$16="21-30题",'【海外】问卷投放成本估算（完整版）'!G19,IF($E$16="31-40题",'【海外】问卷投放成本估算（完整版）'!G20,IF($E$16="41-50题",'【海外】问卷投放成本估算（完整版）'!G21,IF($E$16="51-60题",'【海外】问卷投放成本估算（完整版）'!G22,IF($E$16="61-70题",'【海外】问卷投放成本估算（完整版）'!G23,IF($E$16="71-80题",'【海外】问卷投放成本估算（完整版）'!G24)))))))</f>
        <v>0</v>
      </c>
      <c r="L16" s="109">
        <f t="shared" si="5"/>
        <v>2.3</v>
      </c>
      <c r="M16" s="212">
        <f>IF($E$16="20题及以内",'【海外】问卷投放成本估算（完整版）'!I18,IF($E$16="21-30题",'【海外】问卷投放成本估算（完整版）'!I19,IF($E$16="31-40题",'【海外】问卷投放成本估算（完整版）'!I20,IF($E$16="41-50题",'【海外】问卷投放成本估算（完整版）'!I21,IF($E$16="51-60题",'【海外】问卷投放成本估算（完整版）'!I22,IF($E$16="61-70题",'【海外】问卷投放成本估算（完整版）'!I23,IF($E$16="71-80题",'【海外】问卷投放成本估算（完整版）'!I24)))))))</f>
        <v>16000</v>
      </c>
      <c r="N16" s="213">
        <f t="shared" si="6"/>
        <v>8.32</v>
      </c>
      <c r="S16" s="1">
        <f t="shared" si="7"/>
        <v>8.32</v>
      </c>
      <c r="T16" s="231"/>
    </row>
    <row r="17" ht="38.1" customHeight="1" spans="1:20">
      <c r="A17" s="54" t="s">
        <v>282</v>
      </c>
      <c r="B17" s="51"/>
      <c r="C17" s="235" t="s">
        <v>337</v>
      </c>
      <c r="D17" s="209"/>
      <c r="E17" s="234" t="s">
        <v>199</v>
      </c>
      <c r="F17" s="209"/>
      <c r="G17" s="54">
        <v>500</v>
      </c>
      <c r="H17" s="109">
        <f>IF($E$17="20题及以内",'【海外】问卷投放成本估算（完整版）'!E25,IF($E$17="21-30题",'【海外】问卷投放成本估算（完整版）'!E26,IF($E$17="31-40题",'【海外】问卷投放成本估算（完整版）'!E27,IF($E$17="41-50题",'【海外】问卷投放成本估算（完整版）'!E28,IF($E$17="51-60题",'【海外】问卷投放成本估算（完整版）'!E29,IF($E$17="61-70题",'【海外】问卷投放成本估算（完整版）'!E30,IF($E$17="71-80题",'【海外】问卷投放成本估算（完整版）'!E31)))))))</f>
        <v>0.1</v>
      </c>
      <c r="J17" s="109">
        <f>IF($E$17="20题及以内",'【海外】问卷投放成本估算（完整版）'!F25,IF($E$17="21-30题",'【海外】问卷投放成本估算（完整版）'!F26,IF($E$17="31-40题",'【海外】问卷投放成本估算（完整版）'!F27,IF($E$17="41-50题",'【海外】问卷投放成本估算（完整版）'!F28,IF($E$17="51-60题",'【海外】问卷投放成本估算（完整版）'!F29,IF($E$17="61-70题",'【海外】问卷投放成本估算（完整版）'!F30,IF($E$17="71-80题",'【海外】问卷投放成本估算（完整版）'!F31)))))))</f>
        <v>1.2096</v>
      </c>
      <c r="K17" s="109">
        <f>IF($E$17="20题及以内",'【海外】问卷投放成本估算（完整版）'!G25,IF($E$17="21-30题",'【海外】问卷投放成本估算（完整版）'!G26,IF($E$17="31-40题",'【海外】问卷投放成本估算（完整版）'!G27,IF($E$17="41-50题",'【海外】问卷投放成本估算（完整版）'!G28,IF($E$17="51-60题",'【海外】问卷投放成本估算（完整版）'!G29,IF($E$17="61-70题",'【海外】问卷投放成本估算（完整版）'!G30,IF($E$17="71-80题",'【海外】问卷投放成本估算（完整版）'!G31)))))))</f>
        <v>0</v>
      </c>
      <c r="L17" s="109">
        <f t="shared" si="5"/>
        <v>1.3096</v>
      </c>
      <c r="M17" s="212">
        <f>IF($E$17="20题及以内",'【海外】问卷投放成本估算（完整版）'!I25,IF($E$17="21-30题",'【海外】问卷投放成本估算（完整版）'!I26,IF($E$17="31-40题",'【海外】问卷投放成本估算（完整版）'!I27,IF($E$17="41-50题",'【海外】问卷投放成本估算（完整版）'!I28,IF($E$17="51-60题",'【海外】问卷投放成本估算（完整版）'!I29,IF($E$17="61-70题",'【海外】问卷投放成本估算（完整版）'!I30,IF($E$17="71-80题",'【海外】问卷投放成本估算（完整版）'!I31)))))))</f>
        <v>9000</v>
      </c>
      <c r="N17" s="213">
        <f t="shared" si="6"/>
        <v>9.40528</v>
      </c>
      <c r="S17" s="1">
        <f t="shared" si="7"/>
        <v>9.40528</v>
      </c>
      <c r="T17" s="231"/>
    </row>
    <row r="18" ht="38.1" customHeight="1" spans="1:20">
      <c r="A18" s="54" t="s">
        <v>283</v>
      </c>
      <c r="B18" s="51" t="s">
        <v>339</v>
      </c>
      <c r="C18" s="232" t="s">
        <v>333</v>
      </c>
      <c r="D18" s="209"/>
      <c r="E18" s="234" t="s">
        <v>199</v>
      </c>
      <c r="F18" s="209"/>
      <c r="G18" s="54">
        <v>500</v>
      </c>
      <c r="H18" s="109">
        <f>IF($E$18="20题及以内",'【海外】问卷投放成本估算（完整版）'!E32,IF($E$18="21-30题",'【海外】问卷投放成本估算（完整版）'!E33,IF($E$18="31-40题",'【海外】问卷投放成本估算（完整版）'!E34,IF($E$18="41-50题",'【海外】问卷投放成本估算（完整版）'!E35,IF($E$18="51-60题",'【海外】问卷投放成本估算（完整版）'!E36,IF($E$18="61-70题",'【海外】问卷投放成本估算（完整版）'!E37,IF($E$18="71-80题",'【海外】问卷投放成本估算（完整版）'!E38)))))))</f>
        <v>0.2</v>
      </c>
      <c r="J18" s="109">
        <f>IF($E$18="20题及以内",'【海外】问卷投放成本估算（完整版）'!F32,IF($E$18="21-30题",'【海外】问卷投放成本估算（完整版）'!F33,IF($E$18="31-40题",'【海外】问卷投放成本估算（完整版）'!F34,IF($E$18="41-50题",'【海外】问卷投放成本估算（完整版）'!F35,IF($E$18="51-60题",'【海外】问卷投放成本估算（完整版）'!F36,IF($E$18="61-70题",'【海外】问卷投放成本估算（完整版）'!F37,IF($E$18="71-80题",'【海外】问卷投放成本估算（完整版）'!F38)))))))</f>
        <v>0.7</v>
      </c>
      <c r="K18" s="109">
        <f>IF($E$18="20题及以内",'【海外】问卷投放成本估算（完整版）'!G32,IF($E$18="21-30题",'【海外】问卷投放成本估算（完整版）'!G33,IF($E$18="31-40题",'【海外】问卷投放成本估算（完整版）'!G34,IF($E$18="41-50题",'【海外】问卷投放成本估算（完整版）'!G35,IF($E$18="51-60题",'【海外】问卷投放成本估算（完整版）'!G36,IF($E$18="61-70题",'【海外】问卷投放成本估算（完整版）'!G37,IF($E$18="71-80题",'【海外】问卷投放成本估算（完整版）'!G38)))))))</f>
        <v>0</v>
      </c>
      <c r="L18" s="109">
        <f t="shared" si="5"/>
        <v>0.9</v>
      </c>
      <c r="M18" s="212">
        <f>IF($E$18="20题及以内",'【海外】问卷投放成本估算（完整版）'!I32,IF($E$18="21-30题",'【海外】问卷投放成本估算（完整版）'!I33,IF($E$18="31-40题",'【海外】问卷投放成本估算（完整版）'!I34,IF($E$18="41-50题",'【海外】问卷投放成本估算（完整版）'!I35,IF($E$18="51-60题",'【海外】问卷投放成本估算（完整版）'!I36,IF($E$18="61-70题",'【海外】问卷投放成本估算（完整版）'!I37,IF($E$18="71-80题",'【海外】问卷投放成本估算（完整版）'!I38)))))))</f>
        <v>4000</v>
      </c>
      <c r="N18" s="213">
        <f t="shared" si="6"/>
        <v>7.12</v>
      </c>
      <c r="S18" s="1">
        <f t="shared" si="7"/>
        <v>7.12</v>
      </c>
      <c r="T18" s="231"/>
    </row>
    <row r="19" ht="38.1" customHeight="1" spans="1:20">
      <c r="A19" s="54" t="s">
        <v>284</v>
      </c>
      <c r="B19" s="51"/>
      <c r="C19" s="235" t="s">
        <v>337</v>
      </c>
      <c r="D19" s="236"/>
      <c r="E19" s="234" t="s">
        <v>199</v>
      </c>
      <c r="F19" s="236"/>
      <c r="G19" s="54">
        <v>500</v>
      </c>
      <c r="H19" s="109">
        <f>IF($E$19="20题及以内",'【海外】问卷投放成本估算（完整版）'!E39,IF($E$19="21-30题",'【海外】问卷投放成本估算（完整版）'!E40,IF($E$19="31-40题",'【海外】问卷投放成本估算（完整版）'!E41,IF($E$19="41-50题",'【海外】问卷投放成本估算（完整版）'!E42,IF($E$19="51-60题",'【海外】问卷投放成本估算（完整版）'!E43,IF($E$19="61-70题",'【海外】问卷投放成本估算（完整版）'!E44,IF($E$19="71-80题",'【海外】问卷投放成本估算（完整版）'!E45)))))))</f>
        <v>0.3</v>
      </c>
      <c r="J19" s="109">
        <f>IF($E$19="20题及以内",'【海外】问卷投放成本估算（完整版）'!F39,IF($E$19="21-30题",'【海外】问卷投放成本估算（完整版）'!F40,IF($E$19="31-40题",'【海外】问卷投放成本估算（完整版）'!F41,IF($E$19="41-50题",'【海外】问卷投放成本估算（完整版）'!F42,IF($E$19="51-60题",'【海外】问卷投放成本估算（完整版）'!F43,IF($E$19="61-70题",'【海外】问卷投放成本估算（完整版）'!F44,IF($E$19="71-80题",'【海外】问卷投放成本估算（完整版）'!F45)))))))</f>
        <v>1.1</v>
      </c>
      <c r="K19" s="109">
        <f>IF($E$19="20题及以内",'【海外】问卷投放成本估算（完整版）'!G39,IF($E$19="21-30题",'【海外】问卷投放成本估算（完整版）'!G40,IF($E$19="31-40题",'【海外】问卷投放成本估算（完整版）'!G41,IF($E$19="41-50题",'【海外】问卷投放成本估算（完整版）'!G42,IF($E$19="51-60题",'【海外】问卷投放成本估算（完整版）'!G43,IF($E$19="61-70题",'【海外】问卷投放成本估算（完整版）'!G44,IF($E$19="71-80题",'【海外】问卷投放成本估算（完整版）'!G45)))))))</f>
        <v>0</v>
      </c>
      <c r="L19" s="109">
        <f t="shared" si="5"/>
        <v>1.4</v>
      </c>
      <c r="M19" s="212">
        <f>IF($E$19="20题及以内",'【海外】问卷投放成本估算（完整版）'!I39,IF($E$19="21-30题",'【海外】问卷投放成本估算（完整版）'!I40,IF($E$19="31-40题",'【海外】问卷投放成本估算（完整版）'!I41,IF($E$19="41-50题",'【海外】问卷投放成本估算（完整版）'!I42,IF($E$19="51-60题",'【海外】问卷投放成本估算（完整版）'!I43,IF($E$19="61-70题",'【海外】问卷投放成本估算（完整版）'!I44,IF($E$19="71-80题",'【海外】问卷投放成本估算（完整版）'!I45)))))))</f>
        <v>10000</v>
      </c>
      <c r="N19" s="213">
        <f t="shared" si="6"/>
        <v>11.02</v>
      </c>
      <c r="S19" s="1">
        <f t="shared" si="7"/>
        <v>11.02</v>
      </c>
      <c r="T19" s="237"/>
    </row>
  </sheetData>
  <protectedRanges>
    <protectedRange sqref="G6:G11" name="海外测试样本量"/>
    <protectedRange sqref="E6:E11" name="海外测试时长"/>
    <protectedRange sqref="G14:G19" name="问卷样本量"/>
    <protectedRange sqref="E14:E19" name="问卷题目量"/>
  </protectedRanges>
  <autoFilter xmlns:etc="http://www.wps.cn/officeDocument/2017/etCustomData" ref="A5:T19" etc:filterBottomFollowUsedRange="0">
    <extLst/>
  </autoFilter>
  <mergeCells count="19">
    <mergeCell ref="A1:B1"/>
    <mergeCell ref="B4:T4"/>
    <mergeCell ref="D5:E5"/>
    <mergeCell ref="F5:G5"/>
    <mergeCell ref="B12:T12"/>
    <mergeCell ref="D13:E13"/>
    <mergeCell ref="F13:G13"/>
    <mergeCell ref="B6:B7"/>
    <mergeCell ref="B8:B9"/>
    <mergeCell ref="B10:B11"/>
    <mergeCell ref="B14:B15"/>
    <mergeCell ref="B16:B17"/>
    <mergeCell ref="B18:B19"/>
    <mergeCell ref="D6:D11"/>
    <mergeCell ref="D14:D19"/>
    <mergeCell ref="F6:F11"/>
    <mergeCell ref="F14:F19"/>
    <mergeCell ref="T13:T19"/>
    <mergeCell ref="A2:T3"/>
  </mergeCells>
  <dataValidations count="4">
    <dataValidation allowBlank="1" showInputMessage="1" showErrorMessage="1" sqref="E6:F6 E8:F8 E10:F10"/>
    <dataValidation type="list" allowBlank="1" showInputMessage="1" showErrorMessage="1" sqref="E14:E19">
      <formula1>"20题及以内,21-30题,31-40题,41-50题,51-60题,61-70题,71-80题"</formula1>
    </dataValidation>
    <dataValidation type="list" allowBlank="1" showInputMessage="1" showErrorMessage="1" sqref="H6:H7 H10:H11">
      <formula1>"常规-简单,常规-中等,常规-困难"</formula1>
    </dataValidation>
    <dataValidation type="list" allowBlank="1" showInputMessage="1" showErrorMessage="1" sqref="H8:H9">
      <formula1>"常规-简单,常规-中等,常规-困难,常规-端内"</formula1>
    </dataValidation>
  </dataValidations>
  <hyperlinks>
    <hyperlink ref="A1:B1" location="'【注】使用说明&amp;目录'!A1" display="点击返回【使用说明&amp;目录】"/>
  </hyperlinks>
  <pageMargins left="0.75" right="0.75" top="1" bottom="1" header="0.5" footer="0.5"/>
  <pageSetup paperSize="9" orientation="portrait"/>
  <headerFooter/>
  <ignoredErrors>
    <ignoredError sqref="Q9:Q10" formula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zoomScale="80" zoomScaleNormal="80" workbookViewId="0">
      <selection activeCell="G36" sqref="G36"/>
    </sheetView>
  </sheetViews>
  <sheetFormatPr defaultColWidth="9" defaultRowHeight="13.5"/>
  <cols>
    <col min="3" max="5" width="13.75" customWidth="1"/>
    <col min="6" max="6" width="12.625"/>
    <col min="8" max="10" width="16.5" customWidth="1"/>
    <col min="11" max="11" width="21" customWidth="1"/>
    <col min="13" max="16" width="16.5" customWidth="1"/>
  </cols>
  <sheetData>
    <row r="1" ht="24" customHeight="1"/>
    <row r="2" ht="16.5" spans="1:16">
      <c r="B2" s="92" t="s">
        <v>214</v>
      </c>
      <c r="C2" s="184" t="s">
        <v>321</v>
      </c>
      <c r="D2" s="184"/>
      <c r="E2" s="184"/>
      <c r="G2" s="92" t="s">
        <v>214</v>
      </c>
      <c r="H2" s="184" t="s">
        <v>88</v>
      </c>
      <c r="I2" s="184"/>
      <c r="J2" s="184"/>
      <c r="L2" s="92" t="s">
        <v>214</v>
      </c>
      <c r="M2" s="185" t="s">
        <v>328</v>
      </c>
      <c r="N2" s="186"/>
      <c r="O2" s="186"/>
      <c r="P2" s="187"/>
    </row>
    <row r="3" ht="16.5" spans="1:16">
      <c r="B3" s="92" t="s">
        <v>340</v>
      </c>
      <c r="C3" s="92" t="s">
        <v>341</v>
      </c>
      <c r="D3" s="92"/>
      <c r="E3" s="92"/>
      <c r="F3" t="s">
        <v>342</v>
      </c>
      <c r="G3" s="92" t="s">
        <v>340</v>
      </c>
      <c r="H3" s="92" t="s">
        <v>341</v>
      </c>
      <c r="I3" s="92"/>
      <c r="J3" s="92"/>
      <c r="K3" t="s">
        <v>342</v>
      </c>
      <c r="L3" s="92" t="s">
        <v>340</v>
      </c>
      <c r="M3" s="188" t="s">
        <v>341</v>
      </c>
      <c r="N3" s="189"/>
      <c r="O3" s="189"/>
      <c r="P3" s="190"/>
    </row>
    <row r="4" ht="16.5" spans="1:16">
      <c r="B4" s="92" t="s">
        <v>343</v>
      </c>
      <c r="C4" s="18" t="s">
        <v>344</v>
      </c>
      <c r="D4" s="18"/>
      <c r="E4" s="18"/>
      <c r="F4">
        <f>F5/2</f>
        <v>1417.8263239399</v>
      </c>
      <c r="G4" s="92" t="s">
        <v>343</v>
      </c>
      <c r="H4" s="18" t="s">
        <v>345</v>
      </c>
      <c r="I4" s="18"/>
      <c r="J4" s="18"/>
      <c r="K4">
        <f>K5/2</f>
        <v>692.857142857143</v>
      </c>
      <c r="L4" s="92" t="s">
        <v>343</v>
      </c>
      <c r="M4" s="191" t="s">
        <v>345</v>
      </c>
      <c r="N4" s="192"/>
      <c r="O4" s="192"/>
      <c r="P4" s="193"/>
    </row>
    <row r="5" ht="16.5" spans="1:16">
      <c r="B5" s="92" t="s">
        <v>346</v>
      </c>
      <c r="C5" s="18" t="s">
        <v>347</v>
      </c>
      <c r="D5" s="18"/>
      <c r="E5" s="18"/>
      <c r="F5">
        <f>AVERAGE(F8:F21)</f>
        <v>2835.65264787979</v>
      </c>
      <c r="G5" s="92" t="s">
        <v>346</v>
      </c>
      <c r="H5" s="18" t="s">
        <v>347</v>
      </c>
      <c r="I5" s="18"/>
      <c r="J5" s="18"/>
      <c r="K5">
        <f>AVERAGE(K8:K21)</f>
        <v>1385.71428571429</v>
      </c>
      <c r="L5" s="92" t="s">
        <v>346</v>
      </c>
      <c r="M5" s="191" t="s">
        <v>347</v>
      </c>
      <c r="N5" s="192"/>
      <c r="O5" s="192"/>
      <c r="P5" s="193"/>
    </row>
    <row r="6" ht="16.5" spans="1:16">
      <c r="B6" s="82" t="s">
        <v>348</v>
      </c>
      <c r="C6" s="82" t="s">
        <v>102</v>
      </c>
      <c r="D6" s="82" t="s">
        <v>9</v>
      </c>
      <c r="E6" s="82" t="s">
        <v>103</v>
      </c>
      <c r="F6" t="s">
        <v>349</v>
      </c>
      <c r="G6" s="82" t="s">
        <v>348</v>
      </c>
      <c r="H6" s="82" t="s">
        <v>8</v>
      </c>
      <c r="I6" s="82" t="s">
        <v>9</v>
      </c>
      <c r="J6" s="82" t="s">
        <v>103</v>
      </c>
      <c r="K6" t="s">
        <v>349</v>
      </c>
      <c r="L6" s="82" t="s">
        <v>348</v>
      </c>
      <c r="M6" s="194" t="s">
        <v>8</v>
      </c>
      <c r="N6" s="194" t="s">
        <v>9</v>
      </c>
      <c r="O6" s="194" t="s">
        <v>350</v>
      </c>
      <c r="P6" s="194" t="s">
        <v>351</v>
      </c>
    </row>
    <row r="7" ht="16.5" spans="1:16">
      <c r="A7" s="180">
        <v>0</v>
      </c>
      <c r="B7" s="180">
        <v>0</v>
      </c>
      <c r="C7" s="180">
        <v>0</v>
      </c>
      <c r="D7" s="180">
        <v>0</v>
      </c>
      <c r="E7" s="180">
        <v>0</v>
      </c>
      <c r="F7" t="e">
        <f>(C7*5900+D7*3600+E7*300)/B7</f>
        <v>#DIV/0!</v>
      </c>
      <c r="G7" s="180">
        <v>0</v>
      </c>
      <c r="H7" s="180">
        <v>0</v>
      </c>
      <c r="I7" s="180">
        <v>0</v>
      </c>
      <c r="J7" s="180">
        <v>0</v>
      </c>
      <c r="K7" t="e">
        <f>(H7*7200+I7*3200+J7*300+G7*400)/G7</f>
        <v>#DIV/0!</v>
      </c>
      <c r="L7" s="180">
        <v>0</v>
      </c>
      <c r="M7" s="180">
        <v>0</v>
      </c>
      <c r="N7" s="180">
        <v>0</v>
      </c>
      <c r="O7" s="180">
        <v>0</v>
      </c>
      <c r="P7" s="194"/>
    </row>
    <row r="8" ht="16.5" spans="1:16">
      <c r="A8" s="180" t="s">
        <v>352</v>
      </c>
      <c r="B8" s="180">
        <v>1</v>
      </c>
      <c r="C8" s="180">
        <v>1</v>
      </c>
      <c r="D8" s="180">
        <v>2</v>
      </c>
      <c r="E8" s="180">
        <v>2.5</v>
      </c>
      <c r="F8" s="195">
        <f>(C8*5900+D8*3400+E8*300)/B8</f>
        <v>13450</v>
      </c>
      <c r="G8" s="180">
        <v>1</v>
      </c>
      <c r="H8" s="180">
        <v>0</v>
      </c>
      <c r="I8" s="182">
        <f>(K8*G8-H8*5900-J8*500)/3400</f>
        <v>0.235294117647059</v>
      </c>
      <c r="J8" s="180">
        <v>2</v>
      </c>
      <c r="K8">
        <v>1800</v>
      </c>
      <c r="L8" s="180">
        <v>1</v>
      </c>
      <c r="M8" s="180">
        <v>0.2</v>
      </c>
      <c r="N8" s="196">
        <v>2.8</v>
      </c>
      <c r="O8" s="196">
        <v>1</v>
      </c>
      <c r="P8" s="196">
        <v>1000</v>
      </c>
    </row>
    <row r="9" ht="16.5" spans="1:16">
      <c r="A9" s="180" t="s">
        <v>353</v>
      </c>
      <c r="B9" s="180">
        <v>6</v>
      </c>
      <c r="C9" s="180">
        <v>1.5</v>
      </c>
      <c r="D9" s="180">
        <v>3</v>
      </c>
      <c r="E9" s="180">
        <v>4</v>
      </c>
      <c r="F9" s="195">
        <f t="shared" ref="F9:F21" si="0">(C9*5900+D9*3400+E9*300)/B9</f>
        <v>3375</v>
      </c>
      <c r="G9" s="180">
        <v>6</v>
      </c>
      <c r="H9" s="180">
        <v>0.1</v>
      </c>
      <c r="I9" s="182">
        <f>(K9*G9-H9*5900-J9*500)/3400</f>
        <v>2.35588235294118</v>
      </c>
      <c r="J9" s="180">
        <v>2</v>
      </c>
      <c r="K9">
        <v>1600</v>
      </c>
      <c r="L9" s="180">
        <v>6</v>
      </c>
      <c r="M9" s="180">
        <v>0.2</v>
      </c>
      <c r="N9" s="196">
        <v>3.3</v>
      </c>
      <c r="O9" s="196">
        <v>1</v>
      </c>
      <c r="P9" s="196">
        <v>1600</v>
      </c>
    </row>
    <row r="10" ht="16.5" spans="1:16">
      <c r="A10" s="180" t="s">
        <v>354</v>
      </c>
      <c r="B10" s="180">
        <v>9</v>
      </c>
      <c r="C10" s="180">
        <v>2</v>
      </c>
      <c r="D10" s="180">
        <v>4</v>
      </c>
      <c r="E10" s="180">
        <v>6</v>
      </c>
      <c r="F10" s="195">
        <f t="shared" si="0"/>
        <v>3022.22222222222</v>
      </c>
      <c r="G10" s="180">
        <v>9</v>
      </c>
      <c r="H10" s="180">
        <v>0.1</v>
      </c>
      <c r="I10" s="182">
        <f>(K10*G10-H10*5900-J10*500)/3400</f>
        <v>3.47352941176471</v>
      </c>
      <c r="J10" s="180">
        <v>4</v>
      </c>
      <c r="K10">
        <v>1600</v>
      </c>
      <c r="L10" s="180">
        <v>9</v>
      </c>
      <c r="M10" s="180">
        <v>0.3</v>
      </c>
      <c r="N10" s="196">
        <f t="shared" ref="N10:N15" si="1">N9+0.5</f>
        <v>3.8</v>
      </c>
      <c r="O10" s="196">
        <v>1.5</v>
      </c>
      <c r="P10" s="196">
        <v>2400</v>
      </c>
    </row>
    <row r="11" ht="16.5" spans="1:16">
      <c r="A11" s="180" t="s">
        <v>355</v>
      </c>
      <c r="B11" s="180">
        <v>13</v>
      </c>
      <c r="C11" s="180">
        <v>2.5</v>
      </c>
      <c r="D11" s="180">
        <v>4.5</v>
      </c>
      <c r="E11" s="180">
        <v>7.5</v>
      </c>
      <c r="F11" s="195">
        <f t="shared" si="0"/>
        <v>2484.61538461538</v>
      </c>
      <c r="G11" s="180">
        <v>13</v>
      </c>
      <c r="H11" s="180">
        <v>0.3</v>
      </c>
      <c r="I11" s="182">
        <f>(K11*G11-H11*5900-J11*500)/3400</f>
        <v>4.47941176470588</v>
      </c>
      <c r="J11" s="182">
        <v>5</v>
      </c>
      <c r="K11">
        <v>1500</v>
      </c>
      <c r="L11" s="180">
        <v>13</v>
      </c>
      <c r="M11" s="180">
        <v>0.3</v>
      </c>
      <c r="N11" s="196">
        <v>4.5</v>
      </c>
      <c r="O11" s="196">
        <v>1.5</v>
      </c>
      <c r="P11" s="196">
        <v>3000</v>
      </c>
    </row>
    <row r="12" ht="16.5" spans="1:16">
      <c r="A12" s="180" t="s">
        <v>356</v>
      </c>
      <c r="B12" s="180">
        <v>16</v>
      </c>
      <c r="C12" s="180">
        <v>3</v>
      </c>
      <c r="D12" s="180">
        <v>5</v>
      </c>
      <c r="E12" s="180">
        <v>9</v>
      </c>
      <c r="F12" s="195">
        <f t="shared" si="0"/>
        <v>2337.5</v>
      </c>
      <c r="G12" s="180">
        <v>16</v>
      </c>
      <c r="H12" s="180">
        <v>0.5</v>
      </c>
      <c r="I12" s="182">
        <f>(K12*G12-H12*5900-J12*500)/3400</f>
        <v>4.92647058823529</v>
      </c>
      <c r="J12" s="182">
        <v>7</v>
      </c>
      <c r="K12">
        <v>1450</v>
      </c>
      <c r="L12" s="180">
        <v>16</v>
      </c>
      <c r="M12" s="180">
        <v>0.4</v>
      </c>
      <c r="N12" s="196">
        <f t="shared" si="1"/>
        <v>5</v>
      </c>
      <c r="O12" s="196">
        <v>2</v>
      </c>
      <c r="P12" s="196">
        <v>3600</v>
      </c>
    </row>
    <row r="13" ht="16.5" spans="1:16">
      <c r="A13" s="180" t="s">
        <v>357</v>
      </c>
      <c r="B13" s="180">
        <v>19</v>
      </c>
      <c r="C13" s="180">
        <v>3</v>
      </c>
      <c r="D13" s="180">
        <v>5.5</v>
      </c>
      <c r="E13" s="180">
        <v>11</v>
      </c>
      <c r="F13" s="195">
        <f t="shared" si="0"/>
        <v>2089.47368421053</v>
      </c>
      <c r="G13" s="180">
        <v>19</v>
      </c>
      <c r="H13" s="182">
        <v>0.6</v>
      </c>
      <c r="I13" s="182">
        <f t="shared" ref="I13:I21" si="2">(K13*G13-H13*5900-J13*500)/3400</f>
        <v>5.88529411764706</v>
      </c>
      <c r="J13" s="182">
        <v>8</v>
      </c>
      <c r="K13">
        <v>1450</v>
      </c>
      <c r="L13" s="180">
        <v>19</v>
      </c>
      <c r="M13" s="180">
        <v>0.4</v>
      </c>
      <c r="N13" s="196">
        <f t="shared" si="1"/>
        <v>5.5</v>
      </c>
      <c r="O13" s="196">
        <v>2</v>
      </c>
      <c r="P13" s="196">
        <v>4400</v>
      </c>
    </row>
    <row r="14" ht="16.5" spans="1:16">
      <c r="A14" s="180" t="s">
        <v>358</v>
      </c>
      <c r="B14" s="180">
        <v>23</v>
      </c>
      <c r="C14" s="180">
        <v>3.4</v>
      </c>
      <c r="D14" s="180">
        <v>6</v>
      </c>
      <c r="E14" s="180">
        <v>12.5</v>
      </c>
      <c r="F14" s="195">
        <f t="shared" si="0"/>
        <v>1922.17391304348</v>
      </c>
      <c r="G14" s="180">
        <v>23</v>
      </c>
      <c r="H14" s="180">
        <v>0.7</v>
      </c>
      <c r="I14" s="182">
        <f t="shared" si="2"/>
        <v>6.37352941176471</v>
      </c>
      <c r="J14" s="180">
        <v>8.2</v>
      </c>
      <c r="K14">
        <v>1300</v>
      </c>
      <c r="L14" s="180">
        <v>23</v>
      </c>
      <c r="M14" s="180">
        <v>0.5</v>
      </c>
      <c r="N14" s="196">
        <f t="shared" si="1"/>
        <v>6</v>
      </c>
      <c r="O14" s="196">
        <v>2.5</v>
      </c>
      <c r="P14" s="196">
        <v>5000</v>
      </c>
    </row>
    <row r="15" ht="16.5" spans="1:16">
      <c r="A15" s="180" t="s">
        <v>359</v>
      </c>
      <c r="B15" s="180">
        <v>26</v>
      </c>
      <c r="C15" s="180">
        <v>3.4</v>
      </c>
      <c r="D15" s="180">
        <v>6.5</v>
      </c>
      <c r="E15" s="180">
        <v>14</v>
      </c>
      <c r="F15" s="195">
        <f t="shared" si="0"/>
        <v>1783.07692307692</v>
      </c>
      <c r="G15" s="180">
        <v>26</v>
      </c>
      <c r="H15" s="180">
        <v>0.8</v>
      </c>
      <c r="I15" s="182">
        <f t="shared" si="2"/>
        <v>7.37647058823529</v>
      </c>
      <c r="J15" s="180">
        <v>8</v>
      </c>
      <c r="K15">
        <v>1300</v>
      </c>
      <c r="L15" s="180">
        <v>26</v>
      </c>
      <c r="M15" s="180">
        <v>0.5</v>
      </c>
      <c r="N15" s="196">
        <f t="shared" si="1"/>
        <v>6.5</v>
      </c>
      <c r="O15" s="196">
        <v>2.5</v>
      </c>
      <c r="P15" s="196">
        <v>5600</v>
      </c>
    </row>
    <row r="16" ht="16.5" spans="1:16">
      <c r="A16" s="180" t="s">
        <v>360</v>
      </c>
      <c r="B16" s="180">
        <v>29</v>
      </c>
      <c r="C16" s="180">
        <v>3.7</v>
      </c>
      <c r="D16" s="180">
        <v>7</v>
      </c>
      <c r="E16" s="180">
        <v>16</v>
      </c>
      <c r="F16" s="195">
        <f t="shared" si="0"/>
        <v>1738.96551724138</v>
      </c>
      <c r="G16" s="180">
        <v>29</v>
      </c>
      <c r="H16" s="180">
        <v>0.9</v>
      </c>
      <c r="I16" s="182">
        <f t="shared" si="2"/>
        <v>8.27647058823529</v>
      </c>
      <c r="J16" s="180">
        <v>8.5</v>
      </c>
      <c r="K16">
        <v>1300</v>
      </c>
      <c r="L16" s="180">
        <v>29</v>
      </c>
      <c r="M16" s="180">
        <v>0.6</v>
      </c>
      <c r="N16" s="196">
        <f t="shared" ref="N16:N18" si="3">N15+0.6</f>
        <v>7.1</v>
      </c>
      <c r="O16" s="196">
        <v>3</v>
      </c>
      <c r="P16" s="196">
        <v>6400</v>
      </c>
    </row>
    <row r="17" ht="16.5" spans="1:16">
      <c r="A17" s="180" t="s">
        <v>361</v>
      </c>
      <c r="B17" s="180">
        <v>33</v>
      </c>
      <c r="C17" s="180">
        <v>3.7</v>
      </c>
      <c r="D17" s="180">
        <v>7.5</v>
      </c>
      <c r="E17" s="180">
        <v>17.5</v>
      </c>
      <c r="F17" s="195">
        <f t="shared" si="0"/>
        <v>1593.33333333333</v>
      </c>
      <c r="G17" s="180">
        <v>33</v>
      </c>
      <c r="H17" s="182">
        <v>1</v>
      </c>
      <c r="I17" s="182">
        <f t="shared" si="2"/>
        <v>9.55882352941176</v>
      </c>
      <c r="J17" s="180">
        <v>9</v>
      </c>
      <c r="K17">
        <v>1300</v>
      </c>
      <c r="L17" s="180">
        <v>33</v>
      </c>
      <c r="M17" s="180">
        <v>0.6</v>
      </c>
      <c r="N17" s="196">
        <f t="shared" si="3"/>
        <v>7.7</v>
      </c>
      <c r="O17" s="196">
        <v>3</v>
      </c>
      <c r="P17" s="196">
        <v>7000</v>
      </c>
    </row>
    <row r="18" ht="12.95" customHeight="1" spans="1:16">
      <c r="A18" s="180" t="s">
        <v>362</v>
      </c>
      <c r="B18" s="180">
        <v>36</v>
      </c>
      <c r="C18" s="180">
        <v>4</v>
      </c>
      <c r="D18" s="180">
        <v>8</v>
      </c>
      <c r="E18" s="180">
        <v>19</v>
      </c>
      <c r="F18" s="195">
        <f t="shared" si="0"/>
        <v>1569.44444444444</v>
      </c>
      <c r="G18" s="180">
        <v>36</v>
      </c>
      <c r="H18" s="182">
        <v>1</v>
      </c>
      <c r="I18" s="182">
        <f t="shared" si="2"/>
        <v>10.6323529411765</v>
      </c>
      <c r="J18" s="182">
        <v>9.5</v>
      </c>
      <c r="K18">
        <v>1300</v>
      </c>
      <c r="L18" s="180">
        <v>36</v>
      </c>
      <c r="M18" s="180">
        <v>0.7</v>
      </c>
      <c r="N18" s="196">
        <f t="shared" si="3"/>
        <v>8.3</v>
      </c>
      <c r="O18" s="196">
        <v>3.5</v>
      </c>
      <c r="P18" s="196">
        <v>7600</v>
      </c>
    </row>
    <row r="19" ht="16.5" spans="1:16">
      <c r="A19" s="180" t="s">
        <v>363</v>
      </c>
      <c r="B19" s="180">
        <v>39</v>
      </c>
      <c r="C19" s="180">
        <v>4</v>
      </c>
      <c r="D19" s="180">
        <v>8.5</v>
      </c>
      <c r="E19" s="180">
        <v>20</v>
      </c>
      <c r="F19" s="195">
        <f t="shared" si="0"/>
        <v>1500</v>
      </c>
      <c r="G19" s="180">
        <v>39</v>
      </c>
      <c r="H19" s="182">
        <v>1.1</v>
      </c>
      <c r="I19" s="182">
        <f t="shared" si="2"/>
        <v>10.3852941176471</v>
      </c>
      <c r="J19" s="180">
        <v>10</v>
      </c>
      <c r="K19">
        <v>1200</v>
      </c>
      <c r="L19" s="180">
        <v>39</v>
      </c>
      <c r="M19" s="180">
        <v>0.7</v>
      </c>
      <c r="N19" s="196">
        <f t="shared" ref="N19:N21" si="4">N18+0.8</f>
        <v>9.1</v>
      </c>
      <c r="O19" s="196">
        <v>3.5</v>
      </c>
      <c r="P19" s="196">
        <v>8400</v>
      </c>
    </row>
    <row r="20" ht="16.5" spans="1:16">
      <c r="A20" s="180" t="s">
        <v>364</v>
      </c>
      <c r="B20" s="180">
        <v>43</v>
      </c>
      <c r="C20" s="180">
        <v>4.2</v>
      </c>
      <c r="D20" s="180">
        <v>9</v>
      </c>
      <c r="E20" s="180">
        <v>21</v>
      </c>
      <c r="F20" s="195">
        <f t="shared" si="0"/>
        <v>1434.41860465116</v>
      </c>
      <c r="G20" s="180">
        <v>43</v>
      </c>
      <c r="H20" s="182">
        <v>1.2</v>
      </c>
      <c r="I20" s="182">
        <f t="shared" si="2"/>
        <v>11.6235294117647</v>
      </c>
      <c r="J20" s="180">
        <v>10</v>
      </c>
      <c r="K20">
        <v>1200</v>
      </c>
      <c r="L20" s="180">
        <v>43</v>
      </c>
      <c r="M20" s="180">
        <v>0.8</v>
      </c>
      <c r="N20" s="196">
        <f t="shared" si="4"/>
        <v>9.9</v>
      </c>
      <c r="O20" s="196">
        <v>4</v>
      </c>
      <c r="P20" s="196">
        <v>9000</v>
      </c>
    </row>
    <row r="21" ht="16.5" spans="1:16">
      <c r="A21" s="180" t="s">
        <v>365</v>
      </c>
      <c r="B21" s="180">
        <v>46</v>
      </c>
      <c r="C21" s="180">
        <v>4.5</v>
      </c>
      <c r="D21" s="180">
        <v>9</v>
      </c>
      <c r="E21" s="180">
        <v>24</v>
      </c>
      <c r="F21" s="195">
        <f t="shared" si="0"/>
        <v>1398.91304347826</v>
      </c>
      <c r="G21" s="180">
        <v>46</v>
      </c>
      <c r="H21" s="180">
        <v>1.3</v>
      </c>
      <c r="I21" s="182">
        <f t="shared" si="2"/>
        <v>10.8617647058824</v>
      </c>
      <c r="J21" s="180">
        <v>12</v>
      </c>
      <c r="K21">
        <v>1100</v>
      </c>
      <c r="L21" s="180">
        <v>46</v>
      </c>
      <c r="M21" s="180">
        <v>0.8</v>
      </c>
      <c r="N21" s="196">
        <f t="shared" si="4"/>
        <v>10.7</v>
      </c>
      <c r="O21" s="196">
        <v>4</v>
      </c>
      <c r="P21" s="196">
        <v>9600</v>
      </c>
    </row>
    <row r="22" ht="16.5" spans="1:16">
      <c r="A22" s="1"/>
      <c r="B22" s="180"/>
      <c r="C22" s="180"/>
      <c r="D22" s="180"/>
      <c r="E22" s="180"/>
      <c r="G22" s="180"/>
      <c r="H22" s="180"/>
      <c r="I22" s="180"/>
      <c r="J22" s="180"/>
      <c r="L22" s="180"/>
      <c r="M22" s="197"/>
      <c r="N22" s="198"/>
      <c r="O22" s="198"/>
      <c r="P22" s="199"/>
    </row>
    <row r="23" ht="16.5" spans="1:16">
      <c r="B23" s="92" t="s">
        <v>214</v>
      </c>
      <c r="C23" s="184" t="s">
        <v>321</v>
      </c>
      <c r="D23" s="184"/>
      <c r="E23" s="184"/>
      <c r="G23" s="92" t="s">
        <v>214</v>
      </c>
      <c r="H23" s="184" t="s">
        <v>88</v>
      </c>
      <c r="I23" s="184"/>
      <c r="J23" s="184"/>
      <c r="L23" s="92" t="s">
        <v>214</v>
      </c>
      <c r="M23" s="185" t="s">
        <v>328</v>
      </c>
      <c r="N23" s="186"/>
      <c r="O23" s="186"/>
      <c r="P23" s="187"/>
    </row>
    <row r="24" ht="16.5" spans="1:16">
      <c r="B24" s="92" t="s">
        <v>340</v>
      </c>
      <c r="C24" s="92" t="s">
        <v>366</v>
      </c>
      <c r="D24" s="92"/>
      <c r="E24" s="92"/>
      <c r="G24" s="92" t="s">
        <v>340</v>
      </c>
      <c r="H24" s="92" t="s">
        <v>366</v>
      </c>
      <c r="I24" s="92"/>
      <c r="J24" s="92"/>
      <c r="L24" s="92" t="s">
        <v>340</v>
      </c>
      <c r="M24" s="188" t="s">
        <v>366</v>
      </c>
      <c r="N24" s="189"/>
      <c r="O24" s="189"/>
      <c r="P24" s="190"/>
    </row>
    <row r="25" ht="16.5" spans="1:16">
      <c r="B25" s="92" t="s">
        <v>343</v>
      </c>
      <c r="C25" s="18" t="s">
        <v>367</v>
      </c>
      <c r="D25" s="18"/>
      <c r="E25" s="18"/>
      <c r="G25" s="92" t="s">
        <v>343</v>
      </c>
      <c r="H25" s="18" t="s">
        <v>368</v>
      </c>
      <c r="I25" s="18"/>
      <c r="J25" s="18"/>
      <c r="K25">
        <f>K26/2</f>
        <v>676.923076923077</v>
      </c>
      <c r="L25" s="92" t="s">
        <v>343</v>
      </c>
      <c r="M25" s="191" t="s">
        <v>368</v>
      </c>
      <c r="N25" s="192"/>
      <c r="O25" s="192"/>
      <c r="P25" s="193"/>
    </row>
    <row r="26" ht="16.5" spans="1:16">
      <c r="B26" s="92" t="s">
        <v>346</v>
      </c>
      <c r="C26" s="18" t="s">
        <v>369</v>
      </c>
      <c r="D26" s="18"/>
      <c r="E26" s="18"/>
      <c r="G26" s="92" t="s">
        <v>346</v>
      </c>
      <c r="H26" s="18" t="s">
        <v>370</v>
      </c>
      <c r="I26" s="18"/>
      <c r="J26" s="18"/>
      <c r="K26">
        <f>AVERAGE(K30:K42)</f>
        <v>1353.84615384615</v>
      </c>
      <c r="L26" s="92" t="s">
        <v>346</v>
      </c>
      <c r="M26" s="191" t="s">
        <v>370</v>
      </c>
      <c r="N26" s="192"/>
      <c r="O26" s="192"/>
      <c r="P26" s="193"/>
    </row>
    <row r="27" ht="16.5" spans="1:16">
      <c r="B27" s="82" t="s">
        <v>348</v>
      </c>
      <c r="C27" s="82" t="s">
        <v>102</v>
      </c>
      <c r="D27" s="82" t="s">
        <v>9</v>
      </c>
      <c r="E27" s="82" t="s">
        <v>103</v>
      </c>
      <c r="G27" s="82" t="s">
        <v>348</v>
      </c>
      <c r="H27" s="82" t="s">
        <v>8</v>
      </c>
      <c r="I27" s="82" t="s">
        <v>9</v>
      </c>
      <c r="J27" s="82" t="s">
        <v>103</v>
      </c>
      <c r="K27" t="s">
        <v>371</v>
      </c>
      <c r="L27" s="82" t="s">
        <v>348</v>
      </c>
      <c r="M27" s="194" t="s">
        <v>102</v>
      </c>
      <c r="N27" s="194" t="s">
        <v>9</v>
      </c>
      <c r="O27" s="194" t="s">
        <v>350</v>
      </c>
      <c r="P27" s="194" t="s">
        <v>351</v>
      </c>
    </row>
    <row r="28" ht="16.5" spans="1:16">
      <c r="A28" s="180">
        <v>0</v>
      </c>
      <c r="B28" s="180">
        <v>0</v>
      </c>
      <c r="C28" s="180">
        <v>0</v>
      </c>
      <c r="D28" s="180">
        <v>0</v>
      </c>
      <c r="E28" s="180">
        <v>0</v>
      </c>
      <c r="G28" s="180">
        <v>0</v>
      </c>
      <c r="H28" s="180">
        <v>0</v>
      </c>
      <c r="I28" s="180">
        <v>0</v>
      </c>
      <c r="J28" s="180">
        <v>0</v>
      </c>
      <c r="K28" t="e">
        <f>(H28*7200+I28*3200+J28*300+G28*400)/G28</f>
        <v>#DIV/0!</v>
      </c>
      <c r="L28" s="180">
        <v>0</v>
      </c>
      <c r="M28" s="180">
        <v>0</v>
      </c>
      <c r="N28" s="180">
        <v>0</v>
      </c>
      <c r="O28" s="180">
        <v>0</v>
      </c>
      <c r="P28" s="180">
        <v>0</v>
      </c>
    </row>
    <row r="29" ht="16.5" spans="1:16">
      <c r="A29" s="180" t="s">
        <v>352</v>
      </c>
      <c r="B29" s="180">
        <v>1</v>
      </c>
      <c r="C29" s="180">
        <v>1</v>
      </c>
      <c r="D29" s="180">
        <v>2</v>
      </c>
      <c r="E29" s="180">
        <v>2.5</v>
      </c>
      <c r="G29" s="180">
        <v>1</v>
      </c>
      <c r="H29" s="180">
        <v>0</v>
      </c>
      <c r="I29" s="182">
        <f t="shared" ref="I29:I42" si="5">(K29*G29-H29*5900-J29*500)/3400</f>
        <v>0.235294117647059</v>
      </c>
      <c r="J29" s="180">
        <v>2</v>
      </c>
      <c r="K29">
        <v>1800</v>
      </c>
      <c r="L29" s="180">
        <v>1</v>
      </c>
      <c r="M29" s="180">
        <v>0.2</v>
      </c>
      <c r="N29" s="196">
        <v>2.3</v>
      </c>
      <c r="O29" s="196">
        <v>1</v>
      </c>
      <c r="P29" s="196">
        <v>750</v>
      </c>
    </row>
    <row r="30" ht="16.5" spans="1:16">
      <c r="A30" s="180" t="s">
        <v>353</v>
      </c>
      <c r="B30" s="180">
        <v>6</v>
      </c>
      <c r="C30" s="180">
        <v>1.5</v>
      </c>
      <c r="D30" s="180">
        <v>3</v>
      </c>
      <c r="E30" s="180">
        <v>4</v>
      </c>
      <c r="G30" s="180">
        <v>6</v>
      </c>
      <c r="H30" s="180">
        <v>0.1</v>
      </c>
      <c r="I30" s="182">
        <f t="shared" si="5"/>
        <v>2.35588235294118</v>
      </c>
      <c r="J30" s="180">
        <v>2</v>
      </c>
      <c r="K30">
        <v>1600</v>
      </c>
      <c r="L30" s="180">
        <v>6</v>
      </c>
      <c r="M30" s="180">
        <v>0.2</v>
      </c>
      <c r="N30" s="196">
        <v>3.3</v>
      </c>
      <c r="O30" s="196">
        <v>1</v>
      </c>
      <c r="P30" s="196">
        <v>1200</v>
      </c>
    </row>
    <row r="31" ht="16.5" spans="1:16">
      <c r="A31" s="180" t="s">
        <v>354</v>
      </c>
      <c r="B31" s="180">
        <v>9</v>
      </c>
      <c r="C31" s="180">
        <v>2</v>
      </c>
      <c r="D31" s="180">
        <v>4</v>
      </c>
      <c r="E31" s="180">
        <v>6</v>
      </c>
      <c r="G31" s="180">
        <v>9</v>
      </c>
      <c r="H31" s="180">
        <v>0.1</v>
      </c>
      <c r="I31" s="182">
        <f t="shared" si="5"/>
        <v>3.47352941176471</v>
      </c>
      <c r="J31" s="180">
        <v>4</v>
      </c>
      <c r="K31">
        <v>1600</v>
      </c>
      <c r="L31" s="180">
        <v>9</v>
      </c>
      <c r="M31" s="180">
        <v>0.3</v>
      </c>
      <c r="N31" s="196">
        <f t="shared" ref="N31:N36" si="6">N30+0.5</f>
        <v>3.8</v>
      </c>
      <c r="O31" s="196">
        <v>1.5</v>
      </c>
      <c r="P31" s="196">
        <v>1800</v>
      </c>
    </row>
    <row r="32" ht="16.5" spans="1:16">
      <c r="A32" s="180" t="s">
        <v>355</v>
      </c>
      <c r="B32" s="180">
        <v>13</v>
      </c>
      <c r="C32" s="180">
        <v>2.5</v>
      </c>
      <c r="D32" s="180">
        <v>4.5</v>
      </c>
      <c r="E32" s="180">
        <v>7.5</v>
      </c>
      <c r="G32" s="180">
        <v>13</v>
      </c>
      <c r="H32" s="180">
        <v>0.3</v>
      </c>
      <c r="I32" s="182">
        <f t="shared" si="5"/>
        <v>4.47941176470588</v>
      </c>
      <c r="J32" s="182">
        <v>5</v>
      </c>
      <c r="K32">
        <v>1500</v>
      </c>
      <c r="L32" s="180">
        <v>13</v>
      </c>
      <c r="M32" s="180">
        <v>0.3</v>
      </c>
      <c r="N32" s="196">
        <f t="shared" si="6"/>
        <v>4.3</v>
      </c>
      <c r="O32" s="196">
        <v>1.5</v>
      </c>
      <c r="P32" s="196">
        <v>2250</v>
      </c>
    </row>
    <row r="33" ht="16.5" spans="1:16">
      <c r="A33" s="180" t="s">
        <v>356</v>
      </c>
      <c r="B33" s="180">
        <v>16</v>
      </c>
      <c r="C33" s="180">
        <v>3</v>
      </c>
      <c r="D33" s="180">
        <v>5</v>
      </c>
      <c r="E33" s="180">
        <v>9</v>
      </c>
      <c r="G33" s="180">
        <v>16</v>
      </c>
      <c r="H33" s="180">
        <v>0.5</v>
      </c>
      <c r="I33" s="182">
        <f t="shared" si="5"/>
        <v>4.92647058823529</v>
      </c>
      <c r="J33" s="182">
        <v>7</v>
      </c>
      <c r="K33">
        <v>1450</v>
      </c>
      <c r="L33" s="180">
        <v>16</v>
      </c>
      <c r="M33" s="180">
        <v>0.4</v>
      </c>
      <c r="N33" s="196">
        <f t="shared" si="6"/>
        <v>4.8</v>
      </c>
      <c r="O33" s="196">
        <v>2</v>
      </c>
      <c r="P33" s="196">
        <v>2700</v>
      </c>
    </row>
    <row r="34" ht="16.5" spans="1:16">
      <c r="A34" s="180" t="s">
        <v>357</v>
      </c>
      <c r="B34" s="180">
        <v>19</v>
      </c>
      <c r="C34" s="180">
        <v>3</v>
      </c>
      <c r="D34" s="180">
        <v>5.5</v>
      </c>
      <c r="E34" s="180">
        <v>11</v>
      </c>
      <c r="G34" s="180">
        <v>19</v>
      </c>
      <c r="H34" s="182">
        <v>0.6</v>
      </c>
      <c r="I34" s="182">
        <f t="shared" si="5"/>
        <v>5.88529411764706</v>
      </c>
      <c r="J34" s="182">
        <v>8</v>
      </c>
      <c r="K34">
        <v>1450</v>
      </c>
      <c r="L34" s="180">
        <v>19</v>
      </c>
      <c r="M34" s="180">
        <v>0.4</v>
      </c>
      <c r="N34" s="196">
        <f t="shared" si="6"/>
        <v>5.3</v>
      </c>
      <c r="O34" s="196">
        <v>2</v>
      </c>
      <c r="P34" s="196">
        <v>3300</v>
      </c>
    </row>
    <row r="35" ht="16.5" spans="1:16">
      <c r="A35" s="180" t="s">
        <v>358</v>
      </c>
      <c r="B35" s="180">
        <v>23</v>
      </c>
      <c r="C35" s="180">
        <v>3.4</v>
      </c>
      <c r="D35" s="180">
        <v>6</v>
      </c>
      <c r="E35" s="180">
        <v>12.5</v>
      </c>
      <c r="G35" s="180">
        <v>23</v>
      </c>
      <c r="H35" s="180">
        <v>0.7</v>
      </c>
      <c r="I35" s="182">
        <f t="shared" si="5"/>
        <v>6.37352941176471</v>
      </c>
      <c r="J35" s="180">
        <v>8.2</v>
      </c>
      <c r="K35">
        <v>1300</v>
      </c>
      <c r="L35" s="180">
        <v>23</v>
      </c>
      <c r="M35" s="180">
        <v>0.5</v>
      </c>
      <c r="N35" s="196">
        <f t="shared" si="6"/>
        <v>5.8</v>
      </c>
      <c r="O35" s="196">
        <v>2.5</v>
      </c>
      <c r="P35" s="196">
        <v>3750</v>
      </c>
    </row>
    <row r="36" ht="16.5" spans="1:16">
      <c r="A36" s="180" t="s">
        <v>359</v>
      </c>
      <c r="B36" s="180">
        <v>26</v>
      </c>
      <c r="C36" s="180">
        <v>3.4</v>
      </c>
      <c r="D36" s="180">
        <v>6.5</v>
      </c>
      <c r="E36" s="180">
        <v>14</v>
      </c>
      <c r="G36" s="180">
        <v>26</v>
      </c>
      <c r="H36" s="180">
        <v>0.8</v>
      </c>
      <c r="I36" s="182">
        <f t="shared" si="5"/>
        <v>7.37647058823529</v>
      </c>
      <c r="J36" s="180">
        <v>8</v>
      </c>
      <c r="K36">
        <v>1300</v>
      </c>
      <c r="L36" s="180">
        <v>26</v>
      </c>
      <c r="M36" s="180">
        <v>0.5</v>
      </c>
      <c r="N36" s="196">
        <f t="shared" si="6"/>
        <v>6.3</v>
      </c>
      <c r="O36" s="196">
        <v>2.5</v>
      </c>
      <c r="P36" s="196">
        <v>4200</v>
      </c>
    </row>
    <row r="37" ht="16.5" spans="1:16">
      <c r="A37" s="180" t="s">
        <v>360</v>
      </c>
      <c r="B37" s="180">
        <v>29</v>
      </c>
      <c r="C37" s="180">
        <v>3.7</v>
      </c>
      <c r="D37" s="180">
        <v>7</v>
      </c>
      <c r="E37" s="180">
        <v>16</v>
      </c>
      <c r="G37" s="180">
        <v>29</v>
      </c>
      <c r="H37" s="180">
        <v>0.9</v>
      </c>
      <c r="I37" s="182">
        <f t="shared" si="5"/>
        <v>8.27647058823529</v>
      </c>
      <c r="J37" s="180">
        <v>8.5</v>
      </c>
      <c r="K37">
        <v>1300</v>
      </c>
      <c r="L37" s="180">
        <v>29</v>
      </c>
      <c r="M37" s="180">
        <v>0.6</v>
      </c>
      <c r="N37" s="196">
        <f t="shared" ref="N37:N39" si="7">N36+0.6</f>
        <v>6.9</v>
      </c>
      <c r="O37" s="196">
        <v>3</v>
      </c>
      <c r="P37" s="196">
        <v>4800</v>
      </c>
    </row>
    <row r="38" ht="16.5" spans="1:16">
      <c r="A38" s="180" t="s">
        <v>361</v>
      </c>
      <c r="B38" s="180">
        <v>33</v>
      </c>
      <c r="C38" s="180">
        <v>3.7</v>
      </c>
      <c r="D38" s="180">
        <v>7.5</v>
      </c>
      <c r="E38" s="180">
        <v>17.5</v>
      </c>
      <c r="G38" s="180">
        <v>33</v>
      </c>
      <c r="H38" s="182">
        <v>1</v>
      </c>
      <c r="I38" s="182">
        <f t="shared" si="5"/>
        <v>9.55882352941176</v>
      </c>
      <c r="J38" s="180">
        <v>9</v>
      </c>
      <c r="K38">
        <v>1300</v>
      </c>
      <c r="L38" s="180">
        <v>33</v>
      </c>
      <c r="M38" s="180">
        <v>0.6</v>
      </c>
      <c r="N38" s="196">
        <f t="shared" si="7"/>
        <v>7.5</v>
      </c>
      <c r="O38" s="196">
        <v>3</v>
      </c>
      <c r="P38" s="196">
        <v>5250</v>
      </c>
    </row>
    <row r="39" ht="16.5" spans="1:16">
      <c r="A39" s="180" t="s">
        <v>362</v>
      </c>
      <c r="B39" s="180">
        <v>36</v>
      </c>
      <c r="C39" s="180">
        <v>4</v>
      </c>
      <c r="D39" s="180">
        <v>8</v>
      </c>
      <c r="E39" s="180">
        <v>19</v>
      </c>
      <c r="G39" s="180">
        <v>36</v>
      </c>
      <c r="H39" s="182">
        <v>1</v>
      </c>
      <c r="I39" s="182">
        <f t="shared" si="5"/>
        <v>10.6323529411765</v>
      </c>
      <c r="J39" s="182">
        <v>9.5</v>
      </c>
      <c r="K39">
        <v>1300</v>
      </c>
      <c r="L39" s="180">
        <v>36</v>
      </c>
      <c r="M39" s="180">
        <v>0.7</v>
      </c>
      <c r="N39" s="196">
        <f t="shared" si="7"/>
        <v>8.1</v>
      </c>
      <c r="O39" s="196">
        <v>3.5</v>
      </c>
      <c r="P39" s="196">
        <v>5700</v>
      </c>
    </row>
    <row r="40" ht="16.5" spans="1:16">
      <c r="A40" s="180" t="s">
        <v>363</v>
      </c>
      <c r="B40" s="180">
        <v>39</v>
      </c>
      <c r="C40" s="180">
        <v>4</v>
      </c>
      <c r="D40" s="180">
        <v>8.5</v>
      </c>
      <c r="E40" s="180">
        <v>20</v>
      </c>
      <c r="G40" s="180">
        <v>39</v>
      </c>
      <c r="H40" s="182">
        <v>1.1</v>
      </c>
      <c r="I40" s="182">
        <f t="shared" si="5"/>
        <v>10.3852941176471</v>
      </c>
      <c r="J40" s="180">
        <v>10</v>
      </c>
      <c r="K40">
        <v>1200</v>
      </c>
      <c r="L40" s="180">
        <v>39</v>
      </c>
      <c r="M40" s="180">
        <v>0.7</v>
      </c>
      <c r="N40" s="196">
        <f t="shared" ref="N40:N42" si="8">N39+0.8</f>
        <v>8.9</v>
      </c>
      <c r="O40" s="196">
        <v>3.5</v>
      </c>
      <c r="P40" s="196">
        <v>6300</v>
      </c>
    </row>
    <row r="41" ht="16.5" spans="1:16">
      <c r="A41" s="180" t="s">
        <v>364</v>
      </c>
      <c r="B41" s="180">
        <v>43</v>
      </c>
      <c r="C41" s="180">
        <v>4.2</v>
      </c>
      <c r="D41" s="180">
        <v>9</v>
      </c>
      <c r="E41" s="180">
        <v>21</v>
      </c>
      <c r="G41" s="180">
        <v>43</v>
      </c>
      <c r="H41" s="182">
        <v>1.2</v>
      </c>
      <c r="I41" s="182">
        <f t="shared" si="5"/>
        <v>11.6235294117647</v>
      </c>
      <c r="J41" s="180">
        <v>10</v>
      </c>
      <c r="K41">
        <v>1200</v>
      </c>
      <c r="L41" s="180">
        <v>43</v>
      </c>
      <c r="M41" s="180">
        <v>0.8</v>
      </c>
      <c r="N41" s="196">
        <f t="shared" si="8"/>
        <v>9.7</v>
      </c>
      <c r="O41" s="196">
        <v>4</v>
      </c>
      <c r="P41" s="196">
        <v>6750</v>
      </c>
    </row>
    <row r="42" ht="16.5" spans="1:16">
      <c r="A42" s="180" t="s">
        <v>365</v>
      </c>
      <c r="B42" s="180">
        <v>46</v>
      </c>
      <c r="C42" s="180">
        <v>4.5</v>
      </c>
      <c r="D42" s="180">
        <v>9</v>
      </c>
      <c r="E42" s="180">
        <v>24</v>
      </c>
      <c r="G42" s="180">
        <v>46</v>
      </c>
      <c r="H42" s="180">
        <v>1.3</v>
      </c>
      <c r="I42" s="182">
        <f t="shared" si="5"/>
        <v>10.8617647058824</v>
      </c>
      <c r="J42" s="180">
        <v>12</v>
      </c>
      <c r="K42">
        <v>1100</v>
      </c>
      <c r="L42" s="180">
        <v>46</v>
      </c>
      <c r="M42" s="180">
        <v>0.8</v>
      </c>
      <c r="N42" s="196">
        <f t="shared" si="8"/>
        <v>10.5</v>
      </c>
      <c r="O42" s="196">
        <v>4</v>
      </c>
      <c r="P42" s="196">
        <v>7200</v>
      </c>
    </row>
  </sheetData>
  <mergeCells count="24">
    <mergeCell ref="C2:E2"/>
    <mergeCell ref="H2:J2"/>
    <mergeCell ref="M2:P2"/>
    <mergeCell ref="C3:E3"/>
    <mergeCell ref="H3:J3"/>
    <mergeCell ref="M3:P3"/>
    <mergeCell ref="C4:E4"/>
    <mergeCell ref="H4:J4"/>
    <mergeCell ref="M4:P4"/>
    <mergeCell ref="C5:E5"/>
    <mergeCell ref="H5:J5"/>
    <mergeCell ref="M5:P5"/>
    <mergeCell ref="C23:E23"/>
    <mergeCell ref="H23:J23"/>
    <mergeCell ref="M23:P23"/>
    <mergeCell ref="C24:E24"/>
    <mergeCell ref="H24:J24"/>
    <mergeCell ref="M24:P24"/>
    <mergeCell ref="C25:E25"/>
    <mergeCell ref="H25:J25"/>
    <mergeCell ref="M25:P25"/>
    <mergeCell ref="C26:E26"/>
    <mergeCell ref="H26:J26"/>
    <mergeCell ref="M26:P26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5"/>
  <sheetViews>
    <sheetView topLeftCell="AA1" workbookViewId="0">
      <selection activeCell="G36" sqref="G36"/>
    </sheetView>
  </sheetViews>
  <sheetFormatPr defaultColWidth="9" defaultRowHeight="16.5"/>
  <cols>
    <col min="1" max="5" width="7.375" style="121" customWidth="1"/>
    <col min="6" max="6" width="17.125" style="121" customWidth="1"/>
    <col min="7" max="7" width="5.875" style="121" customWidth="1"/>
    <col min="8" max="9" width="10.75" style="150" customWidth="1"/>
    <col min="10" max="10" width="9.5" style="150" customWidth="1"/>
    <col min="11" max="11" width="4.125" style="150" customWidth="1"/>
    <col min="12" max="13" width="7.375" style="121" customWidth="1"/>
    <col min="14" max="14" width="7" style="121" customWidth="1"/>
    <col min="15" max="15" width="7.375" style="122" customWidth="1"/>
    <col min="16" max="16" width="7.375" style="121" customWidth="1"/>
    <col min="17" max="17" width="16" style="121" customWidth="1"/>
    <col min="18" max="19" width="9.875" style="121" customWidth="1"/>
    <col min="20" max="20" width="10.375" style="150" customWidth="1"/>
    <col min="21" max="21" width="4.125" style="150" customWidth="1"/>
    <col min="22" max="24" width="7.375" style="121" customWidth="1"/>
    <col min="25" max="25" width="7.375" style="122" customWidth="1"/>
    <col min="26" max="26" width="7.375" style="121" customWidth="1"/>
    <col min="27" max="27" width="15.75" style="121" customWidth="1"/>
    <col min="28" max="28" width="9.875" style="121" customWidth="1"/>
    <col min="29" max="29" width="10.875" style="150" customWidth="1"/>
    <col min="30" max="30" width="12.75" style="150" customWidth="1"/>
    <col min="31" max="31" width="4.125" style="150" customWidth="1"/>
    <col min="32" max="34" width="7.375" style="121" customWidth="1"/>
    <col min="35" max="35" width="7.375" style="122" customWidth="1"/>
    <col min="36" max="36" width="7.375" style="121" customWidth="1"/>
    <col min="37" max="37" width="15.75" style="121" customWidth="1"/>
    <col min="38" max="38" width="9.875" style="121" customWidth="1"/>
    <col min="39" max="39" width="10.75" style="150" customWidth="1"/>
    <col min="40" max="40" width="15.125" style="150" customWidth="1"/>
    <col min="41" max="41" width="4.125" style="150" customWidth="1"/>
    <col min="42" max="44" width="7.375" style="121" customWidth="1"/>
    <col min="45" max="45" width="7.375" style="122" customWidth="1"/>
    <col min="46" max="46" width="7.375" style="121" customWidth="1"/>
    <col min="47" max="47" width="15.25" style="121" customWidth="1"/>
    <col min="48" max="48" width="9.875" style="121" customWidth="1"/>
    <col min="49" max="49" width="10.75" style="150" customWidth="1"/>
    <col min="50" max="50" width="9.875" style="122" customWidth="1"/>
  </cols>
  <sheetData>
    <row r="1" ht="48" customHeight="1" spans="1:50">
      <c r="A1" s="151" t="s">
        <v>372</v>
      </c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3"/>
      <c r="P1" s="152"/>
      <c r="Q1" s="152"/>
      <c r="R1" s="152"/>
      <c r="S1" s="152"/>
      <c r="AB1" s="152"/>
      <c r="AL1" s="152"/>
      <c r="AV1" s="152"/>
      <c r="AX1" s="153"/>
    </row>
    <row r="2" ht="18" customHeight="1" spans="1:50">
      <c r="A2" s="84" t="s">
        <v>1</v>
      </c>
      <c r="B2" s="84"/>
      <c r="C2" s="84"/>
      <c r="D2" s="84"/>
      <c r="E2" s="84"/>
      <c r="F2" s="84" t="s">
        <v>373</v>
      </c>
      <c r="G2" s="84" t="s">
        <v>374</v>
      </c>
      <c r="H2" s="154" t="s">
        <v>375</v>
      </c>
      <c r="I2" s="154" t="s">
        <v>376</v>
      </c>
      <c r="J2" s="155" t="s">
        <v>377</v>
      </c>
      <c r="K2" s="155"/>
      <c r="L2" s="84" t="s">
        <v>3</v>
      </c>
      <c r="M2" s="84"/>
      <c r="N2" s="84"/>
      <c r="O2" s="156"/>
      <c r="P2" s="84"/>
      <c r="Q2" s="84" t="s">
        <v>373</v>
      </c>
      <c r="R2" s="84" t="s">
        <v>374</v>
      </c>
      <c r="S2" s="84" t="s">
        <v>375</v>
      </c>
      <c r="T2" s="155" t="s">
        <v>377</v>
      </c>
      <c r="U2" s="155"/>
      <c r="V2" s="84" t="s">
        <v>4</v>
      </c>
      <c r="W2" s="84"/>
      <c r="X2" s="84"/>
      <c r="Y2" s="156"/>
      <c r="Z2" s="84"/>
      <c r="AA2" s="84" t="s">
        <v>373</v>
      </c>
      <c r="AB2" s="84" t="s">
        <v>374</v>
      </c>
      <c r="AC2" s="154" t="s">
        <v>375</v>
      </c>
      <c r="AD2" s="155" t="s">
        <v>377</v>
      </c>
      <c r="AE2" s="155"/>
      <c r="AF2" s="84" t="s">
        <v>5</v>
      </c>
      <c r="AG2" s="84"/>
      <c r="AH2" s="84"/>
      <c r="AI2" s="156"/>
      <c r="AJ2" s="84"/>
      <c r="AK2" s="84" t="s">
        <v>373</v>
      </c>
      <c r="AL2" s="84" t="s">
        <v>374</v>
      </c>
      <c r="AM2" s="154" t="s">
        <v>375</v>
      </c>
      <c r="AN2" s="155" t="s">
        <v>377</v>
      </c>
      <c r="AO2" s="155"/>
      <c r="AP2" s="84" t="s">
        <v>123</v>
      </c>
      <c r="AQ2" s="84"/>
      <c r="AR2" s="84"/>
      <c r="AS2" s="156"/>
      <c r="AT2" s="84"/>
      <c r="AU2" s="84" t="s">
        <v>373</v>
      </c>
      <c r="AV2" s="84" t="s">
        <v>374</v>
      </c>
      <c r="AW2" s="154" t="s">
        <v>375</v>
      </c>
      <c r="AX2" s="156" t="s">
        <v>376</v>
      </c>
    </row>
    <row r="3" spans="1:50">
      <c r="A3" s="121" t="s">
        <v>7</v>
      </c>
      <c r="B3" s="121" t="s">
        <v>8</v>
      </c>
      <c r="C3" s="121" t="s">
        <v>102</v>
      </c>
      <c r="D3" s="122" t="s">
        <v>9</v>
      </c>
      <c r="E3" s="121" t="s">
        <v>11</v>
      </c>
      <c r="F3" s="122">
        <f>AVERAGE(F5:F54)</f>
        <v>386.527436577729</v>
      </c>
      <c r="H3" s="150">
        <f>AVERAGE(H4:H54)</f>
        <v>228.752893163485</v>
      </c>
      <c r="K3" s="155"/>
      <c r="L3" s="121" t="s">
        <v>7</v>
      </c>
      <c r="M3" s="121" t="s">
        <v>8</v>
      </c>
      <c r="N3" s="121" t="s">
        <v>102</v>
      </c>
      <c r="O3" s="122" t="s">
        <v>9</v>
      </c>
      <c r="P3" s="121" t="s">
        <v>11</v>
      </c>
      <c r="Q3" s="122">
        <f>AVERAGE(Q5:Q54)</f>
        <v>437.180217807682</v>
      </c>
      <c r="S3" s="150">
        <f>AVERAGE(S4:S54)</f>
        <v>291.973121649748</v>
      </c>
      <c r="T3" s="155"/>
      <c r="U3" s="155"/>
      <c r="V3" s="121" t="s">
        <v>7</v>
      </c>
      <c r="W3" s="121" t="s">
        <v>8</v>
      </c>
      <c r="X3" s="121" t="s">
        <v>102</v>
      </c>
      <c r="Y3" s="122" t="s">
        <v>9</v>
      </c>
      <c r="Z3" s="121" t="s">
        <v>11</v>
      </c>
      <c r="AA3" s="122">
        <f>AVERAGE(AA5:AA54)</f>
        <v>553.869088616422</v>
      </c>
      <c r="AC3" s="150">
        <f>AVERAGE(AC5:AC54)</f>
        <v>298.596515046357</v>
      </c>
      <c r="AD3" s="150">
        <v>800</v>
      </c>
      <c r="AE3" s="155"/>
      <c r="AF3" s="121" t="s">
        <v>7</v>
      </c>
      <c r="AG3" s="121" t="s">
        <v>8</v>
      </c>
      <c r="AH3" s="121" t="s">
        <v>102</v>
      </c>
      <c r="AI3" s="122" t="s">
        <v>9</v>
      </c>
      <c r="AJ3" s="121" t="s">
        <v>11</v>
      </c>
      <c r="AK3" s="122">
        <f>AVERAGE(AK5:AK54)</f>
        <v>635.094789309947</v>
      </c>
      <c r="AM3" s="150">
        <f>AVERAGE(AM4:AM54)</f>
        <v>249.981483181519</v>
      </c>
      <c r="AN3" s="150">
        <v>720</v>
      </c>
      <c r="AO3" s="155"/>
      <c r="AP3" s="121" t="s">
        <v>7</v>
      </c>
      <c r="AQ3" s="121" t="s">
        <v>8</v>
      </c>
      <c r="AR3" s="121" t="s">
        <v>102</v>
      </c>
      <c r="AS3" s="122" t="s">
        <v>9</v>
      </c>
      <c r="AT3" s="121" t="s">
        <v>11</v>
      </c>
      <c r="AU3" s="122">
        <f>AVERAGE(AU5:AU54)</f>
        <v>680.026025517107</v>
      </c>
      <c r="AV3" s="150">
        <f t="shared" ref="AV3:AX3" si="0">AVERAGE(AV4:AV54)</f>
        <v>250</v>
      </c>
      <c r="AW3" s="150">
        <f t="shared" si="0"/>
        <v>254.339982780316</v>
      </c>
      <c r="AX3" s="150">
        <f t="shared" si="0"/>
        <v>9.42678243592257</v>
      </c>
    </row>
    <row r="4" spans="1:50">
      <c r="A4" s="121">
        <v>0</v>
      </c>
      <c r="B4" s="121">
        <f t="shared" ref="B4:B8" si="1">C4/2</f>
        <v>0</v>
      </c>
      <c r="C4" s="121">
        <v>0</v>
      </c>
      <c r="D4" s="121">
        <f>0</f>
        <v>0</v>
      </c>
      <c r="E4" s="121">
        <v>0</v>
      </c>
      <c r="F4" s="122">
        <f>B4*5900+D4*3600+E4*300</f>
        <v>0</v>
      </c>
      <c r="G4" s="121">
        <v>250</v>
      </c>
      <c r="H4" s="150">
        <v>200</v>
      </c>
      <c r="I4" s="150">
        <f t="shared" ref="I4:I54" si="2">H4-G4</f>
        <v>-50</v>
      </c>
      <c r="J4" s="159">
        <v>690</v>
      </c>
      <c r="K4" s="155"/>
      <c r="L4" s="121">
        <v>0</v>
      </c>
      <c r="M4" s="121">
        <f t="shared" ref="M4:M8" si="3">N4/2</f>
        <v>0</v>
      </c>
      <c r="N4" s="121">
        <f>0/2</f>
        <v>0</v>
      </c>
      <c r="O4" s="122">
        <v>0</v>
      </c>
      <c r="P4" s="121">
        <v>0</v>
      </c>
      <c r="Q4" s="122">
        <f>M4*7200+O4*3100+P4*300</f>
        <v>0</v>
      </c>
      <c r="R4" s="121">
        <v>250</v>
      </c>
      <c r="S4" s="150">
        <v>250</v>
      </c>
      <c r="T4" s="159">
        <v>690</v>
      </c>
      <c r="U4" s="155"/>
      <c r="V4" s="121">
        <v>0</v>
      </c>
      <c r="W4" s="121">
        <f t="shared" ref="W4:W9" si="4">X4/2</f>
        <v>0</v>
      </c>
      <c r="X4" s="121">
        <v>0</v>
      </c>
      <c r="Y4" s="122">
        <v>0</v>
      </c>
      <c r="Z4" s="121">
        <v>0</v>
      </c>
      <c r="AA4" s="122">
        <f>W4*7200+Y4*3100+Z4*300</f>
        <v>0</v>
      </c>
      <c r="AB4" s="121">
        <v>0</v>
      </c>
      <c r="AC4" s="150">
        <v>0</v>
      </c>
      <c r="AD4" s="150">
        <v>700</v>
      </c>
      <c r="AE4" s="155"/>
      <c r="AF4" s="121">
        <v>0</v>
      </c>
      <c r="AG4" s="121">
        <f t="shared" ref="AG4:AG9" si="5">AH4/2</f>
        <v>0</v>
      </c>
      <c r="AH4" s="122">
        <f>X4*1.3</f>
        <v>0</v>
      </c>
      <c r="AI4" s="122">
        <f>Y4*1.12</f>
        <v>0</v>
      </c>
      <c r="AJ4" s="121">
        <v>0</v>
      </c>
      <c r="AK4" s="122">
        <f>AG4*5900+AI4*3600+AJ4*300</f>
        <v>0</v>
      </c>
      <c r="AL4" s="121">
        <v>250</v>
      </c>
      <c r="AM4" s="150">
        <v>0</v>
      </c>
      <c r="AN4" s="150">
        <v>720</v>
      </c>
      <c r="AO4" s="155"/>
      <c r="AP4" s="121">
        <v>0</v>
      </c>
      <c r="AQ4" s="121">
        <f t="shared" ref="AQ4:AQ9" si="6">AR4/2</f>
        <v>0</v>
      </c>
      <c r="AR4" s="121">
        <v>0</v>
      </c>
      <c r="AS4" s="122">
        <f>Y4*1.25</f>
        <v>0</v>
      </c>
      <c r="AT4" s="121">
        <v>0</v>
      </c>
      <c r="AU4" s="122">
        <f>AQ4*7200+AS4*3100+AT4*300</f>
        <v>0</v>
      </c>
      <c r="AV4" s="121">
        <v>250</v>
      </c>
      <c r="AW4" s="150">
        <v>0</v>
      </c>
    </row>
    <row r="5" spans="1:50">
      <c r="A5" s="121">
        <v>1</v>
      </c>
      <c r="B5" s="121">
        <f t="shared" si="1"/>
        <v>0</v>
      </c>
      <c r="C5" s="121">
        <v>0</v>
      </c>
      <c r="D5" s="121">
        <f>0</f>
        <v>0</v>
      </c>
      <c r="E5" s="121">
        <v>0.3</v>
      </c>
      <c r="F5" s="122">
        <f>(B5*5900+D5*3400+E5*300)/A5</f>
        <v>90</v>
      </c>
      <c r="G5" s="121">
        <v>200</v>
      </c>
      <c r="H5" s="150">
        <f>(F5+G5*A5)/A5</f>
        <v>290</v>
      </c>
      <c r="I5" s="150">
        <f t="shared" si="2"/>
        <v>90</v>
      </c>
      <c r="J5" s="159">
        <v>690</v>
      </c>
      <c r="K5" s="155"/>
      <c r="L5" s="121">
        <v>1</v>
      </c>
      <c r="M5" s="121">
        <f t="shared" si="3"/>
        <v>0</v>
      </c>
      <c r="N5" s="121">
        <v>0</v>
      </c>
      <c r="O5" s="122">
        <v>0.1</v>
      </c>
      <c r="P5" s="121">
        <v>0.3</v>
      </c>
      <c r="Q5" s="122">
        <f>(M5*5900+O5*3400+P5*300)/L5</f>
        <v>430</v>
      </c>
      <c r="R5" s="121">
        <v>250</v>
      </c>
      <c r="S5" s="150">
        <f t="shared" ref="S5:S54" si="7">(Q5+R5*L5)/L5</f>
        <v>680</v>
      </c>
      <c r="T5" s="159">
        <v>690</v>
      </c>
      <c r="U5" s="155"/>
      <c r="V5" s="121">
        <v>1</v>
      </c>
      <c r="W5" s="121">
        <f t="shared" si="4"/>
        <v>0</v>
      </c>
      <c r="X5" s="121">
        <v>0</v>
      </c>
      <c r="Y5" s="122">
        <v>0.1</v>
      </c>
      <c r="Z5" s="121">
        <v>0.4</v>
      </c>
      <c r="AA5" s="122">
        <f>(W5*5900+Y5*3400+Z5*300)/V5</f>
        <v>460</v>
      </c>
      <c r="AB5" s="121">
        <v>250</v>
      </c>
      <c r="AC5" s="150">
        <f t="shared" ref="AC5:AC54" si="8">(AA5+AB5*V5)/V5</f>
        <v>710</v>
      </c>
      <c r="AD5" s="150">
        <v>700</v>
      </c>
      <c r="AE5" s="155"/>
      <c r="AF5" s="121">
        <v>1</v>
      </c>
      <c r="AG5" s="121">
        <f t="shared" si="5"/>
        <v>0</v>
      </c>
      <c r="AH5" s="122">
        <f t="shared" ref="AH5:AH36" si="9">X5*1.3</f>
        <v>0</v>
      </c>
      <c r="AI5" s="122">
        <f>Y5*1.12</f>
        <v>0.112</v>
      </c>
      <c r="AJ5" s="121">
        <v>0.4</v>
      </c>
      <c r="AK5" s="122">
        <f>(AG5*5900+AI5*3400+AJ5*300)/AF5</f>
        <v>500.8</v>
      </c>
      <c r="AL5" s="121">
        <v>250</v>
      </c>
      <c r="AM5" s="150">
        <f t="shared" ref="AM5:AM54" si="10">(AK5+200*AF5)/AF5</f>
        <v>700.8</v>
      </c>
      <c r="AN5" s="150">
        <v>720</v>
      </c>
      <c r="AO5" s="155"/>
      <c r="AP5" s="121">
        <v>1</v>
      </c>
      <c r="AQ5" s="121">
        <f t="shared" si="6"/>
        <v>0</v>
      </c>
      <c r="AR5" s="121">
        <v>0</v>
      </c>
      <c r="AS5" s="122">
        <f t="shared" ref="AS5:AS36" si="11">Y5*1.25</f>
        <v>0.125</v>
      </c>
      <c r="AT5" s="121">
        <v>0.4</v>
      </c>
      <c r="AU5" s="122">
        <f>(AQ5*5900+AS5*3400+AT5*300)/AP5</f>
        <v>545</v>
      </c>
      <c r="AV5" s="121">
        <v>250</v>
      </c>
      <c r="AW5" s="150">
        <f t="shared" ref="AW5:AW54" si="12">(AU5+200*AP5)/AP5</f>
        <v>745</v>
      </c>
      <c r="AX5" s="122">
        <f t="shared" ref="AX5:AX54" si="13">AW5-AV5</f>
        <v>495</v>
      </c>
    </row>
    <row r="6" s="148" customFormat="1" spans="1:50">
      <c r="A6" s="121">
        <v>2</v>
      </c>
      <c r="B6" s="121">
        <f t="shared" si="1"/>
        <v>0</v>
      </c>
      <c r="C6" s="121">
        <v>0</v>
      </c>
      <c r="D6" s="121">
        <v>0.2</v>
      </c>
      <c r="E6" s="121">
        <v>0.3</v>
      </c>
      <c r="F6" s="122">
        <f>(B6*5900+D6*3400+E6*300)/A6</f>
        <v>385</v>
      </c>
      <c r="G6" s="121">
        <v>200</v>
      </c>
      <c r="H6" s="150">
        <f t="shared" ref="H6:H54" si="14">(F6+G6*A6)/A6</f>
        <v>392.5</v>
      </c>
      <c r="I6" s="150">
        <f t="shared" si="2"/>
        <v>192.5</v>
      </c>
      <c r="J6" s="159">
        <v>690</v>
      </c>
      <c r="K6" s="155"/>
      <c r="L6" s="121">
        <v>2</v>
      </c>
      <c r="M6" s="121">
        <f t="shared" si="3"/>
        <v>0</v>
      </c>
      <c r="N6" s="121">
        <v>0</v>
      </c>
      <c r="O6" s="122">
        <v>0.3</v>
      </c>
      <c r="P6" s="121">
        <v>0.4</v>
      </c>
      <c r="Q6" s="122">
        <f>(M6*5900+O6*3400+P6*300)/L6</f>
        <v>570</v>
      </c>
      <c r="R6" s="121">
        <v>250</v>
      </c>
      <c r="S6" s="150">
        <f t="shared" si="7"/>
        <v>535</v>
      </c>
      <c r="T6" s="159">
        <v>690</v>
      </c>
      <c r="U6" s="155"/>
      <c r="V6" s="121">
        <v>2</v>
      </c>
      <c r="W6" s="121">
        <f t="shared" si="4"/>
        <v>0</v>
      </c>
      <c r="X6" s="121">
        <v>0</v>
      </c>
      <c r="Y6" s="122">
        <v>0.3</v>
      </c>
      <c r="Z6" s="121">
        <v>0.5</v>
      </c>
      <c r="AA6" s="122">
        <f>(W6*5900+Y6*3400+Z6*300)/V6</f>
        <v>585</v>
      </c>
      <c r="AB6" s="121">
        <v>250</v>
      </c>
      <c r="AC6" s="150">
        <f t="shared" si="8"/>
        <v>542.5</v>
      </c>
      <c r="AD6" s="150">
        <v>700</v>
      </c>
      <c r="AE6" s="155"/>
      <c r="AF6" s="121">
        <v>2</v>
      </c>
      <c r="AG6" s="121">
        <f t="shared" si="5"/>
        <v>0</v>
      </c>
      <c r="AH6" s="122">
        <f t="shared" si="9"/>
        <v>0</v>
      </c>
      <c r="AI6" s="122">
        <f>Y6*1.12</f>
        <v>0.336</v>
      </c>
      <c r="AJ6" s="121">
        <v>0.5</v>
      </c>
      <c r="AK6" s="122">
        <f>(AG6*5900+AI6*3400+AJ6*300)/AF6</f>
        <v>646.2</v>
      </c>
      <c r="AL6" s="121">
        <v>250</v>
      </c>
      <c r="AM6" s="150">
        <f t="shared" si="10"/>
        <v>523.1</v>
      </c>
      <c r="AN6" s="150">
        <v>720</v>
      </c>
      <c r="AO6" s="155"/>
      <c r="AP6" s="121">
        <v>2</v>
      </c>
      <c r="AQ6" s="121">
        <f t="shared" si="6"/>
        <v>0</v>
      </c>
      <c r="AR6" s="121">
        <v>0</v>
      </c>
      <c r="AS6" s="122">
        <f t="shared" si="11"/>
        <v>0.375</v>
      </c>
      <c r="AT6" s="121">
        <v>0.5</v>
      </c>
      <c r="AU6" s="122">
        <f>(AQ6*5900+AS6*3400+AT6*300)/AP6</f>
        <v>712.5</v>
      </c>
      <c r="AV6" s="121">
        <v>250</v>
      </c>
      <c r="AW6" s="150">
        <f t="shared" si="12"/>
        <v>556.25</v>
      </c>
      <c r="AX6" s="122">
        <f t="shared" si="13"/>
        <v>306.25</v>
      </c>
    </row>
    <row r="7" spans="1:50">
      <c r="A7" s="121">
        <v>3</v>
      </c>
      <c r="B7" s="121">
        <f t="shared" si="1"/>
        <v>0</v>
      </c>
      <c r="C7" s="121">
        <v>0</v>
      </c>
      <c r="D7" s="121">
        <v>0.2</v>
      </c>
      <c r="E7" s="121">
        <v>0.5</v>
      </c>
      <c r="F7" s="122">
        <f t="shared" ref="F7:F54" si="15">(B7*5900+D7*3400+E7*300)/A7</f>
        <v>276.666666666667</v>
      </c>
      <c r="G7" s="121">
        <v>200</v>
      </c>
      <c r="H7" s="150">
        <f t="shared" si="14"/>
        <v>292.222222222222</v>
      </c>
      <c r="I7" s="150">
        <f t="shared" si="2"/>
        <v>92.2222222222222</v>
      </c>
      <c r="J7" s="159">
        <v>690</v>
      </c>
      <c r="K7" s="155"/>
      <c r="L7" s="121">
        <v>3</v>
      </c>
      <c r="M7" s="121">
        <f t="shared" si="3"/>
        <v>0</v>
      </c>
      <c r="N7" s="121">
        <v>0</v>
      </c>
      <c r="O7" s="122">
        <v>0.4</v>
      </c>
      <c r="P7" s="121">
        <v>0.6</v>
      </c>
      <c r="Q7" s="122">
        <f t="shared" ref="Q7:Q54" si="16">(M7*5900+O7*3400+P7*300)/L7</f>
        <v>513.333333333333</v>
      </c>
      <c r="R7" s="121">
        <v>250</v>
      </c>
      <c r="S7" s="150">
        <f t="shared" si="7"/>
        <v>421.111111111111</v>
      </c>
      <c r="T7" s="159">
        <v>690</v>
      </c>
      <c r="U7" s="155"/>
      <c r="V7" s="121">
        <v>3</v>
      </c>
      <c r="W7" s="121">
        <f t="shared" si="4"/>
        <v>0</v>
      </c>
      <c r="X7" s="121">
        <v>0</v>
      </c>
      <c r="Y7" s="122">
        <v>0.4</v>
      </c>
      <c r="Z7" s="121">
        <v>0.6</v>
      </c>
      <c r="AA7" s="122">
        <f t="shared" ref="AA7:AA54" si="17">(W7*5900+Y7*3400+Z7*300)/V7</f>
        <v>513.333333333333</v>
      </c>
      <c r="AB7" s="121">
        <v>250</v>
      </c>
      <c r="AC7" s="150">
        <f t="shared" si="8"/>
        <v>421.111111111111</v>
      </c>
      <c r="AD7" s="150">
        <v>700</v>
      </c>
      <c r="AE7" s="155"/>
      <c r="AF7" s="121">
        <v>3</v>
      </c>
      <c r="AG7" s="121">
        <f t="shared" si="5"/>
        <v>0</v>
      </c>
      <c r="AH7" s="122">
        <f t="shared" si="9"/>
        <v>0</v>
      </c>
      <c r="AI7" s="122">
        <v>0.5</v>
      </c>
      <c r="AJ7" s="121">
        <v>0.7</v>
      </c>
      <c r="AK7" s="122">
        <f t="shared" ref="AK7:AK54" si="18">(AG7*5900+AI7*3400+AJ7*300)/AF7</f>
        <v>636.666666666667</v>
      </c>
      <c r="AL7" s="121">
        <v>250</v>
      </c>
      <c r="AM7" s="150">
        <f t="shared" si="10"/>
        <v>412.222222222222</v>
      </c>
      <c r="AN7" s="150">
        <v>720</v>
      </c>
      <c r="AO7" s="155"/>
      <c r="AP7" s="121">
        <v>3</v>
      </c>
      <c r="AQ7" s="121">
        <f t="shared" si="6"/>
        <v>0</v>
      </c>
      <c r="AR7" s="121">
        <v>0</v>
      </c>
      <c r="AS7" s="122">
        <f t="shared" si="11"/>
        <v>0.5</v>
      </c>
      <c r="AT7" s="121">
        <v>0.8</v>
      </c>
      <c r="AU7" s="122">
        <f t="shared" ref="AU7:AU54" si="19">(AQ7*5900+AS7*3400+AT7*300)/AP7</f>
        <v>646.666666666667</v>
      </c>
      <c r="AV7" s="121">
        <v>250</v>
      </c>
      <c r="AW7" s="150">
        <f t="shared" si="12"/>
        <v>415.555555555555</v>
      </c>
      <c r="AX7" s="122">
        <f t="shared" si="13"/>
        <v>165.555555555555</v>
      </c>
    </row>
    <row r="8" spans="1:50">
      <c r="A8" s="121">
        <v>4</v>
      </c>
      <c r="B8" s="121">
        <f t="shared" si="1"/>
        <v>0</v>
      </c>
      <c r="C8" s="121">
        <v>0</v>
      </c>
      <c r="D8" s="121">
        <f>0.3+0.2</f>
        <v>0.5</v>
      </c>
      <c r="E8" s="121">
        <v>0.5</v>
      </c>
      <c r="F8" s="122">
        <f t="shared" si="15"/>
        <v>462.5</v>
      </c>
      <c r="G8" s="121">
        <v>200</v>
      </c>
      <c r="H8" s="150">
        <f t="shared" si="14"/>
        <v>315.625</v>
      </c>
      <c r="I8" s="150">
        <f t="shared" si="2"/>
        <v>115.625</v>
      </c>
      <c r="J8" s="159">
        <v>690</v>
      </c>
      <c r="K8" s="155"/>
      <c r="L8" s="121">
        <v>4</v>
      </c>
      <c r="M8" s="121">
        <f t="shared" si="3"/>
        <v>0</v>
      </c>
      <c r="N8" s="121">
        <v>0</v>
      </c>
      <c r="O8" s="122">
        <f t="shared" ref="O8" si="20">D8*1.1</f>
        <v>0.55</v>
      </c>
      <c r="P8" s="121">
        <v>0.8</v>
      </c>
      <c r="Q8" s="122">
        <f t="shared" si="16"/>
        <v>527.5</v>
      </c>
      <c r="R8" s="121">
        <v>250</v>
      </c>
      <c r="S8" s="150">
        <f t="shared" si="7"/>
        <v>381.875</v>
      </c>
      <c r="T8" s="159">
        <v>690</v>
      </c>
      <c r="U8" s="155"/>
      <c r="V8" s="121">
        <v>4</v>
      </c>
      <c r="W8" s="121">
        <f t="shared" si="4"/>
        <v>0</v>
      </c>
      <c r="X8" s="121">
        <v>0</v>
      </c>
      <c r="Y8" s="122">
        <v>0.6</v>
      </c>
      <c r="Z8" s="121">
        <v>0.9</v>
      </c>
      <c r="AA8" s="122">
        <f t="shared" si="17"/>
        <v>577.5</v>
      </c>
      <c r="AB8" s="121">
        <v>250</v>
      </c>
      <c r="AC8" s="150">
        <f t="shared" si="8"/>
        <v>394.375</v>
      </c>
      <c r="AD8" s="150">
        <v>700</v>
      </c>
      <c r="AE8" s="155"/>
      <c r="AF8" s="121">
        <v>4</v>
      </c>
      <c r="AG8" s="121">
        <f t="shared" si="5"/>
        <v>0</v>
      </c>
      <c r="AH8" s="122">
        <f t="shared" si="9"/>
        <v>0</v>
      </c>
      <c r="AI8" s="122">
        <f t="shared" ref="AI8:AI13" si="21">Y8*1.12</f>
        <v>0.672</v>
      </c>
      <c r="AJ8" s="122">
        <v>1</v>
      </c>
      <c r="AK8" s="122">
        <f t="shared" si="18"/>
        <v>646.2</v>
      </c>
      <c r="AL8" s="121">
        <v>250</v>
      </c>
      <c r="AM8" s="150">
        <f t="shared" si="10"/>
        <v>361.55</v>
      </c>
      <c r="AN8" s="150">
        <v>720</v>
      </c>
      <c r="AO8" s="155"/>
      <c r="AP8" s="121">
        <v>4</v>
      </c>
      <c r="AQ8" s="121">
        <f t="shared" si="6"/>
        <v>0</v>
      </c>
      <c r="AR8" s="121">
        <v>0</v>
      </c>
      <c r="AS8" s="122">
        <f t="shared" si="11"/>
        <v>0.75</v>
      </c>
      <c r="AT8" s="121">
        <v>1</v>
      </c>
      <c r="AU8" s="122">
        <f t="shared" si="19"/>
        <v>712.5</v>
      </c>
      <c r="AV8" s="121">
        <v>250</v>
      </c>
      <c r="AW8" s="150">
        <f t="shared" si="12"/>
        <v>378.125</v>
      </c>
      <c r="AX8" s="122">
        <f t="shared" si="13"/>
        <v>128.125</v>
      </c>
    </row>
    <row r="9" spans="1:50">
      <c r="A9" s="121">
        <v>5</v>
      </c>
      <c r="B9" s="121">
        <v>0</v>
      </c>
      <c r="C9" s="121">
        <v>0.2</v>
      </c>
      <c r="D9" s="121">
        <v>0.5</v>
      </c>
      <c r="E9" s="121">
        <v>0.7</v>
      </c>
      <c r="F9" s="122">
        <f t="shared" si="15"/>
        <v>382</v>
      </c>
      <c r="G9" s="121">
        <v>200</v>
      </c>
      <c r="H9" s="150">
        <f t="shared" si="14"/>
        <v>276.4</v>
      </c>
      <c r="I9" s="150">
        <f t="shared" si="2"/>
        <v>76.4</v>
      </c>
      <c r="J9" s="159">
        <v>690</v>
      </c>
      <c r="K9" s="155"/>
      <c r="L9" s="121">
        <v>5</v>
      </c>
      <c r="M9" s="121">
        <v>0</v>
      </c>
      <c r="N9" s="121">
        <v>0.2</v>
      </c>
      <c r="O9" s="122">
        <v>0.8</v>
      </c>
      <c r="P9" s="121">
        <v>1.1</v>
      </c>
      <c r="Q9" s="122">
        <f t="shared" si="16"/>
        <v>610</v>
      </c>
      <c r="R9" s="121">
        <v>250</v>
      </c>
      <c r="S9" s="150">
        <f t="shared" si="7"/>
        <v>372</v>
      </c>
      <c r="T9" s="159">
        <v>690</v>
      </c>
      <c r="U9" s="155"/>
      <c r="V9" s="121">
        <v>5</v>
      </c>
      <c r="W9" s="121">
        <f t="shared" si="4"/>
        <v>0</v>
      </c>
      <c r="X9" s="121">
        <v>0</v>
      </c>
      <c r="Y9" s="122">
        <v>0.8</v>
      </c>
      <c r="Z9" s="122">
        <v>1.1</v>
      </c>
      <c r="AA9" s="122">
        <f t="shared" si="17"/>
        <v>610</v>
      </c>
      <c r="AB9" s="121">
        <v>250</v>
      </c>
      <c r="AC9" s="150">
        <f t="shared" si="8"/>
        <v>372</v>
      </c>
      <c r="AD9" s="150">
        <v>700</v>
      </c>
      <c r="AE9" s="155"/>
      <c r="AF9" s="121">
        <v>5</v>
      </c>
      <c r="AG9" s="121">
        <f t="shared" si="5"/>
        <v>0</v>
      </c>
      <c r="AH9" s="122">
        <f t="shared" si="9"/>
        <v>0</v>
      </c>
      <c r="AI9" s="122">
        <f t="shared" si="21"/>
        <v>0.896</v>
      </c>
      <c r="AJ9" s="121">
        <v>1.2</v>
      </c>
      <c r="AK9" s="122">
        <f t="shared" si="18"/>
        <v>681.28</v>
      </c>
      <c r="AL9" s="121">
        <v>250</v>
      </c>
      <c r="AM9" s="150">
        <f t="shared" si="10"/>
        <v>336.256</v>
      </c>
      <c r="AN9" s="150">
        <v>720</v>
      </c>
      <c r="AO9" s="155"/>
      <c r="AP9" s="121">
        <v>5</v>
      </c>
      <c r="AQ9" s="121">
        <f t="shared" si="6"/>
        <v>0</v>
      </c>
      <c r="AR9" s="121">
        <v>0</v>
      </c>
      <c r="AS9" s="122">
        <f t="shared" si="11"/>
        <v>1</v>
      </c>
      <c r="AT9" s="121">
        <v>1.3</v>
      </c>
      <c r="AU9" s="122">
        <f t="shared" si="19"/>
        <v>758</v>
      </c>
      <c r="AV9" s="121">
        <v>250</v>
      </c>
      <c r="AW9" s="150">
        <f t="shared" si="12"/>
        <v>351.6</v>
      </c>
      <c r="AX9" s="122">
        <f t="shared" si="13"/>
        <v>101.6</v>
      </c>
    </row>
    <row r="10" s="148" customFormat="1" spans="1:50">
      <c r="A10" s="121">
        <v>6</v>
      </c>
      <c r="B10" s="121">
        <v>0</v>
      </c>
      <c r="C10" s="121">
        <v>0.2</v>
      </c>
      <c r="D10" s="121">
        <v>0.8</v>
      </c>
      <c r="E10" s="121">
        <v>1</v>
      </c>
      <c r="F10" s="122">
        <f t="shared" si="15"/>
        <v>503.333333333333</v>
      </c>
      <c r="G10" s="121">
        <v>200</v>
      </c>
      <c r="H10" s="150">
        <f t="shared" si="14"/>
        <v>283.888888888889</v>
      </c>
      <c r="I10" s="150">
        <f t="shared" si="2"/>
        <v>83.8888888888889</v>
      </c>
      <c r="J10" s="159">
        <v>690</v>
      </c>
      <c r="K10" s="155"/>
      <c r="L10" s="121">
        <v>6</v>
      </c>
      <c r="M10" s="121">
        <v>0</v>
      </c>
      <c r="N10" s="121">
        <v>0.2</v>
      </c>
      <c r="O10" s="122">
        <f t="shared" ref="O10:O54" si="22">D10+0.1</f>
        <v>0.9</v>
      </c>
      <c r="P10" s="121">
        <v>1.4</v>
      </c>
      <c r="Q10" s="122">
        <f t="shared" si="16"/>
        <v>580</v>
      </c>
      <c r="R10" s="121">
        <v>250</v>
      </c>
      <c r="S10" s="150">
        <f t="shared" si="7"/>
        <v>346.666666666667</v>
      </c>
      <c r="T10" s="159">
        <v>690</v>
      </c>
      <c r="U10" s="155"/>
      <c r="V10" s="121">
        <v>6</v>
      </c>
      <c r="W10" s="121">
        <v>0</v>
      </c>
      <c r="X10" s="121">
        <v>0</v>
      </c>
      <c r="Y10" s="122">
        <v>0.9</v>
      </c>
      <c r="Z10" s="122">
        <v>1.2</v>
      </c>
      <c r="AA10" s="122">
        <f t="shared" si="17"/>
        <v>570</v>
      </c>
      <c r="AB10" s="121">
        <v>250</v>
      </c>
      <c r="AC10" s="150">
        <f t="shared" si="8"/>
        <v>345</v>
      </c>
      <c r="AD10" s="150">
        <v>700</v>
      </c>
      <c r="AE10" s="155"/>
      <c r="AF10" s="121">
        <v>6</v>
      </c>
      <c r="AG10" s="121">
        <v>0</v>
      </c>
      <c r="AH10" s="122">
        <f t="shared" si="9"/>
        <v>0</v>
      </c>
      <c r="AI10" s="122">
        <f t="shared" si="21"/>
        <v>1.008</v>
      </c>
      <c r="AJ10" s="121">
        <f t="shared" ref="AJ10:AJ18" si="23">Z10+0.2</f>
        <v>1.4</v>
      </c>
      <c r="AK10" s="122">
        <f t="shared" si="18"/>
        <v>641.2</v>
      </c>
      <c r="AL10" s="121">
        <v>250</v>
      </c>
      <c r="AM10" s="150">
        <f t="shared" si="10"/>
        <v>306.866666666667</v>
      </c>
      <c r="AN10" s="150">
        <v>720</v>
      </c>
      <c r="AO10" s="155"/>
      <c r="AP10" s="121">
        <v>6</v>
      </c>
      <c r="AQ10" s="121">
        <v>0</v>
      </c>
      <c r="AR10" s="121">
        <v>0</v>
      </c>
      <c r="AS10" s="122">
        <f t="shared" si="11"/>
        <v>1.125</v>
      </c>
      <c r="AT10" s="121">
        <f>AJ10</f>
        <v>1.4</v>
      </c>
      <c r="AU10" s="122">
        <f t="shared" si="19"/>
        <v>707.5</v>
      </c>
      <c r="AV10" s="121">
        <v>250</v>
      </c>
      <c r="AW10" s="150">
        <f t="shared" si="12"/>
        <v>317.916666666667</v>
      </c>
      <c r="AX10" s="122">
        <f t="shared" si="13"/>
        <v>67.9166666666667</v>
      </c>
    </row>
    <row r="11" spans="1:50">
      <c r="A11" s="121">
        <v>7</v>
      </c>
      <c r="B11" s="122">
        <v>0</v>
      </c>
      <c r="C11" s="121">
        <v>0.2</v>
      </c>
      <c r="D11" s="121">
        <v>0.9</v>
      </c>
      <c r="E11" s="121">
        <v>1</v>
      </c>
      <c r="F11" s="122">
        <f t="shared" si="15"/>
        <v>480</v>
      </c>
      <c r="G11" s="121">
        <v>200</v>
      </c>
      <c r="H11" s="150">
        <f t="shared" si="14"/>
        <v>268.571428571429</v>
      </c>
      <c r="I11" s="150">
        <f t="shared" si="2"/>
        <v>68.5714285714286</v>
      </c>
      <c r="J11" s="159">
        <v>690</v>
      </c>
      <c r="K11" s="155"/>
      <c r="L11" s="121">
        <v>7</v>
      </c>
      <c r="M11" s="122">
        <v>0</v>
      </c>
      <c r="N11" s="121">
        <v>0.2</v>
      </c>
      <c r="O11" s="122">
        <f t="shared" si="22"/>
        <v>1</v>
      </c>
      <c r="P11" s="121">
        <v>1.5</v>
      </c>
      <c r="Q11" s="122">
        <f t="shared" si="16"/>
        <v>550</v>
      </c>
      <c r="R11" s="121">
        <v>250</v>
      </c>
      <c r="S11" s="150">
        <f t="shared" si="7"/>
        <v>328.571428571429</v>
      </c>
      <c r="T11" s="159">
        <v>690</v>
      </c>
      <c r="U11" s="155"/>
      <c r="V11" s="121">
        <v>7</v>
      </c>
      <c r="W11" s="122">
        <v>0</v>
      </c>
      <c r="X11" s="121">
        <f>0.3</f>
        <v>0.3</v>
      </c>
      <c r="Y11" s="122">
        <v>1.1</v>
      </c>
      <c r="Z11" s="121">
        <v>1.5</v>
      </c>
      <c r="AA11" s="122">
        <f t="shared" si="17"/>
        <v>598.571428571429</v>
      </c>
      <c r="AB11" s="121">
        <v>250</v>
      </c>
      <c r="AC11" s="150">
        <f t="shared" si="8"/>
        <v>335.510204081633</v>
      </c>
      <c r="AD11" s="150">
        <v>700</v>
      </c>
      <c r="AE11" s="155"/>
      <c r="AF11" s="121">
        <v>7</v>
      </c>
      <c r="AG11" s="122">
        <v>0</v>
      </c>
      <c r="AH11" s="122">
        <f t="shared" si="9"/>
        <v>0.39</v>
      </c>
      <c r="AI11" s="122">
        <f t="shared" si="21"/>
        <v>1.232</v>
      </c>
      <c r="AJ11" s="121">
        <v>1.2</v>
      </c>
      <c r="AK11" s="122">
        <f t="shared" si="18"/>
        <v>649.828571428572</v>
      </c>
      <c r="AL11" s="121">
        <v>250</v>
      </c>
      <c r="AM11" s="150">
        <f t="shared" si="10"/>
        <v>292.832653061225</v>
      </c>
      <c r="AN11" s="150">
        <v>720</v>
      </c>
      <c r="AO11" s="155"/>
      <c r="AP11" s="121">
        <v>7</v>
      </c>
      <c r="AQ11" s="122">
        <v>0</v>
      </c>
      <c r="AR11" s="121">
        <v>0.3</v>
      </c>
      <c r="AS11" s="122">
        <f t="shared" si="11"/>
        <v>1.375</v>
      </c>
      <c r="AT11" s="121">
        <f t="shared" ref="AT11:AT52" si="24">AJ11</f>
        <v>1.2</v>
      </c>
      <c r="AU11" s="122">
        <f t="shared" si="19"/>
        <v>719.285714285714</v>
      </c>
      <c r="AV11" s="121">
        <v>250</v>
      </c>
      <c r="AW11" s="150">
        <f t="shared" si="12"/>
        <v>302.755102040816</v>
      </c>
      <c r="AX11" s="122">
        <f t="shared" si="13"/>
        <v>52.7551020408163</v>
      </c>
    </row>
    <row r="12" spans="1:50">
      <c r="A12" s="121">
        <v>8</v>
      </c>
      <c r="B12" s="122">
        <v>0</v>
      </c>
      <c r="C12" s="121">
        <v>0.2</v>
      </c>
      <c r="D12" s="122">
        <v>0.9</v>
      </c>
      <c r="E12" s="121">
        <v>1</v>
      </c>
      <c r="F12" s="122">
        <f t="shared" si="15"/>
        <v>420</v>
      </c>
      <c r="G12" s="121">
        <v>200</v>
      </c>
      <c r="H12" s="150">
        <f t="shared" si="14"/>
        <v>252.5</v>
      </c>
      <c r="I12" s="150">
        <f t="shared" si="2"/>
        <v>52.5</v>
      </c>
      <c r="J12" s="159">
        <v>690</v>
      </c>
      <c r="K12" s="155"/>
      <c r="L12" s="121">
        <v>8</v>
      </c>
      <c r="M12" s="122">
        <v>0</v>
      </c>
      <c r="N12" s="121">
        <v>0.2</v>
      </c>
      <c r="O12" s="122">
        <v>1.1</v>
      </c>
      <c r="P12" s="121">
        <v>1.5</v>
      </c>
      <c r="Q12" s="122">
        <f t="shared" si="16"/>
        <v>523.75</v>
      </c>
      <c r="R12" s="121">
        <v>250</v>
      </c>
      <c r="S12" s="150">
        <f t="shared" si="7"/>
        <v>315.46875</v>
      </c>
      <c r="T12" s="159">
        <v>690</v>
      </c>
      <c r="U12" s="155"/>
      <c r="V12" s="121">
        <v>8</v>
      </c>
      <c r="W12" s="122">
        <v>0</v>
      </c>
      <c r="X12" s="121">
        <v>0.3</v>
      </c>
      <c r="Y12" s="122">
        <v>1.3</v>
      </c>
      <c r="Z12" s="121">
        <v>1.5</v>
      </c>
      <c r="AA12" s="122">
        <f t="shared" si="17"/>
        <v>608.75</v>
      </c>
      <c r="AB12" s="121">
        <v>250</v>
      </c>
      <c r="AC12" s="150">
        <f t="shared" si="8"/>
        <v>326.09375</v>
      </c>
      <c r="AD12" s="150">
        <v>700</v>
      </c>
      <c r="AE12" s="155"/>
      <c r="AF12" s="121">
        <v>8</v>
      </c>
      <c r="AG12" s="122">
        <v>0</v>
      </c>
      <c r="AH12" s="122">
        <f t="shared" si="9"/>
        <v>0.39</v>
      </c>
      <c r="AI12" s="122">
        <f t="shared" si="21"/>
        <v>1.456</v>
      </c>
      <c r="AJ12" s="121">
        <v>1.7</v>
      </c>
      <c r="AK12" s="122">
        <f t="shared" si="18"/>
        <v>682.55</v>
      </c>
      <c r="AL12" s="121">
        <v>250</v>
      </c>
      <c r="AM12" s="150">
        <f t="shared" si="10"/>
        <v>285.31875</v>
      </c>
      <c r="AN12" s="150">
        <v>720</v>
      </c>
      <c r="AO12" s="155"/>
      <c r="AP12" s="121">
        <v>8</v>
      </c>
      <c r="AQ12" s="122">
        <v>0</v>
      </c>
      <c r="AR12" s="121">
        <v>0.3</v>
      </c>
      <c r="AS12" s="122">
        <f t="shared" si="11"/>
        <v>1.625</v>
      </c>
      <c r="AT12" s="121">
        <f t="shared" si="24"/>
        <v>1.7</v>
      </c>
      <c r="AU12" s="122">
        <f t="shared" si="19"/>
        <v>754.375</v>
      </c>
      <c r="AV12" s="121">
        <v>250</v>
      </c>
      <c r="AW12" s="150">
        <f t="shared" si="12"/>
        <v>294.296875</v>
      </c>
      <c r="AX12" s="122">
        <f t="shared" si="13"/>
        <v>44.296875</v>
      </c>
    </row>
    <row r="13" spans="1:50">
      <c r="A13" s="121">
        <v>9</v>
      </c>
      <c r="B13" s="122">
        <v>0</v>
      </c>
      <c r="C13" s="121">
        <v>0.2</v>
      </c>
      <c r="D13" s="122">
        <v>0.9</v>
      </c>
      <c r="E13" s="121">
        <v>1.5</v>
      </c>
      <c r="F13" s="122">
        <f t="shared" si="15"/>
        <v>390</v>
      </c>
      <c r="G13" s="121">
        <v>200</v>
      </c>
      <c r="H13" s="150">
        <f t="shared" si="14"/>
        <v>243.333333333333</v>
      </c>
      <c r="I13" s="150">
        <f t="shared" si="2"/>
        <v>43.3333333333333</v>
      </c>
      <c r="J13" s="159">
        <v>690</v>
      </c>
      <c r="K13" s="155"/>
      <c r="L13" s="121">
        <v>9</v>
      </c>
      <c r="M13" s="122">
        <v>0</v>
      </c>
      <c r="N13" s="121">
        <v>0.2</v>
      </c>
      <c r="O13" s="122">
        <v>1.1</v>
      </c>
      <c r="P13" s="121">
        <v>1.5</v>
      </c>
      <c r="Q13" s="122">
        <f t="shared" si="16"/>
        <v>465.555555555556</v>
      </c>
      <c r="R13" s="121">
        <v>250</v>
      </c>
      <c r="S13" s="150">
        <f t="shared" si="7"/>
        <v>301.728395061728</v>
      </c>
      <c r="T13" s="159">
        <v>690</v>
      </c>
      <c r="U13" s="155"/>
      <c r="V13" s="121">
        <v>9</v>
      </c>
      <c r="W13" s="122">
        <v>0</v>
      </c>
      <c r="X13" s="121">
        <v>0.3</v>
      </c>
      <c r="Y13" s="122">
        <v>1.4</v>
      </c>
      <c r="Z13" s="121">
        <v>1.6</v>
      </c>
      <c r="AA13" s="122">
        <f t="shared" si="17"/>
        <v>582.222222222222</v>
      </c>
      <c r="AB13" s="121">
        <v>250</v>
      </c>
      <c r="AC13" s="150">
        <f t="shared" si="8"/>
        <v>314.691358024691</v>
      </c>
      <c r="AD13" s="150">
        <v>700</v>
      </c>
      <c r="AE13" s="155"/>
      <c r="AF13" s="121">
        <v>9</v>
      </c>
      <c r="AG13" s="122">
        <v>0</v>
      </c>
      <c r="AH13" s="122">
        <f t="shared" si="9"/>
        <v>0.39</v>
      </c>
      <c r="AI13" s="122">
        <f t="shared" si="21"/>
        <v>1.568</v>
      </c>
      <c r="AJ13" s="121">
        <f t="shared" si="23"/>
        <v>1.8</v>
      </c>
      <c r="AK13" s="122">
        <f t="shared" si="18"/>
        <v>652.355555555555</v>
      </c>
      <c r="AL13" s="121">
        <v>250</v>
      </c>
      <c r="AM13" s="150">
        <f t="shared" si="10"/>
        <v>272.483950617284</v>
      </c>
      <c r="AN13" s="150">
        <v>720</v>
      </c>
      <c r="AO13" s="155"/>
      <c r="AP13" s="121">
        <v>9</v>
      </c>
      <c r="AQ13" s="122">
        <v>0</v>
      </c>
      <c r="AR13" s="121">
        <v>0.3</v>
      </c>
      <c r="AS13" s="122">
        <f t="shared" si="11"/>
        <v>1.75</v>
      </c>
      <c r="AT13" s="121">
        <f t="shared" si="24"/>
        <v>1.8</v>
      </c>
      <c r="AU13" s="122">
        <f t="shared" si="19"/>
        <v>721.111111111111</v>
      </c>
      <c r="AV13" s="121">
        <v>250</v>
      </c>
      <c r="AW13" s="150">
        <f t="shared" si="12"/>
        <v>280.123456790123</v>
      </c>
      <c r="AX13" s="122">
        <f t="shared" si="13"/>
        <v>30.1234567901235</v>
      </c>
    </row>
    <row r="14" s="149" customFormat="1" spans="1:50">
      <c r="A14" s="167">
        <v>10</v>
      </c>
      <c r="B14" s="168">
        <v>0</v>
      </c>
      <c r="C14" s="167">
        <v>0.2</v>
      </c>
      <c r="D14" s="168">
        <v>1</v>
      </c>
      <c r="E14" s="167">
        <v>1.5</v>
      </c>
      <c r="F14" s="122">
        <f t="shared" si="15"/>
        <v>385</v>
      </c>
      <c r="G14" s="167">
        <v>200</v>
      </c>
      <c r="H14" s="169">
        <f t="shared" si="14"/>
        <v>238.5</v>
      </c>
      <c r="I14" s="150">
        <f t="shared" si="2"/>
        <v>38.5</v>
      </c>
      <c r="J14" s="170">
        <v>690</v>
      </c>
      <c r="K14" s="171"/>
      <c r="L14" s="167">
        <v>10</v>
      </c>
      <c r="M14" s="168">
        <v>0</v>
      </c>
      <c r="N14" s="167">
        <v>0.2</v>
      </c>
      <c r="O14" s="122">
        <v>1.2</v>
      </c>
      <c r="P14" s="167">
        <f t="shared" ref="P14:P18" si="25">E14+0.2</f>
        <v>1.7</v>
      </c>
      <c r="Q14" s="122">
        <f t="shared" si="16"/>
        <v>459</v>
      </c>
      <c r="R14" s="167">
        <v>250</v>
      </c>
      <c r="S14" s="150">
        <f t="shared" si="7"/>
        <v>295.9</v>
      </c>
      <c r="T14" s="170">
        <v>690</v>
      </c>
      <c r="U14" s="171"/>
      <c r="V14" s="167">
        <v>10</v>
      </c>
      <c r="W14" s="168">
        <v>0</v>
      </c>
      <c r="X14" s="167">
        <v>0.3</v>
      </c>
      <c r="Y14" s="168">
        <v>1.5</v>
      </c>
      <c r="Z14" s="167">
        <v>1.6</v>
      </c>
      <c r="AA14" s="122">
        <f t="shared" si="17"/>
        <v>558</v>
      </c>
      <c r="AB14" s="167">
        <v>250</v>
      </c>
      <c r="AC14" s="169">
        <f t="shared" si="8"/>
        <v>305.8</v>
      </c>
      <c r="AD14" s="169">
        <v>700</v>
      </c>
      <c r="AE14" s="171"/>
      <c r="AF14" s="167">
        <v>10</v>
      </c>
      <c r="AG14" s="168">
        <v>0.1</v>
      </c>
      <c r="AH14" s="122">
        <f t="shared" si="9"/>
        <v>0.39</v>
      </c>
      <c r="AI14" s="122">
        <v>1.6</v>
      </c>
      <c r="AJ14" s="168">
        <v>1.9</v>
      </c>
      <c r="AK14" s="122">
        <f t="shared" si="18"/>
        <v>660</v>
      </c>
      <c r="AL14" s="167">
        <v>250</v>
      </c>
      <c r="AM14" s="169">
        <f t="shared" si="10"/>
        <v>266</v>
      </c>
      <c r="AN14" s="169">
        <v>720</v>
      </c>
      <c r="AO14" s="171"/>
      <c r="AP14" s="167">
        <v>10</v>
      </c>
      <c r="AQ14" s="168">
        <v>0.1</v>
      </c>
      <c r="AR14" s="167">
        <v>0.3</v>
      </c>
      <c r="AS14" s="122">
        <f t="shared" si="11"/>
        <v>1.875</v>
      </c>
      <c r="AT14" s="167">
        <v>1.8</v>
      </c>
      <c r="AU14" s="122">
        <f t="shared" si="19"/>
        <v>750.5</v>
      </c>
      <c r="AV14" s="167">
        <v>250</v>
      </c>
      <c r="AW14" s="169">
        <f t="shared" si="12"/>
        <v>275.05</v>
      </c>
      <c r="AX14" s="122">
        <f t="shared" si="13"/>
        <v>25.05</v>
      </c>
    </row>
    <row r="15" spans="1:50">
      <c r="A15" s="121">
        <v>11</v>
      </c>
      <c r="B15" s="168">
        <v>0.1</v>
      </c>
      <c r="C15" s="121">
        <v>0.3</v>
      </c>
      <c r="D15" s="121">
        <f>0.8+0.2</f>
        <v>1</v>
      </c>
      <c r="E15" s="121">
        <v>1.6</v>
      </c>
      <c r="F15" s="122">
        <f t="shared" si="15"/>
        <v>406.363636363636</v>
      </c>
      <c r="G15" s="121">
        <v>200</v>
      </c>
      <c r="H15" s="150">
        <f t="shared" si="14"/>
        <v>236.942148760331</v>
      </c>
      <c r="I15" s="150">
        <f t="shared" si="2"/>
        <v>36.9421487603306</v>
      </c>
      <c r="J15" s="159">
        <v>690</v>
      </c>
      <c r="K15" s="155"/>
      <c r="L15" s="121">
        <v>11</v>
      </c>
      <c r="M15" s="168">
        <v>0.1</v>
      </c>
      <c r="N15" s="121">
        <v>0.3</v>
      </c>
      <c r="O15" s="122">
        <v>1.2</v>
      </c>
      <c r="P15" s="121">
        <f t="shared" si="25"/>
        <v>1.8</v>
      </c>
      <c r="Q15" s="122">
        <f t="shared" si="16"/>
        <v>473.636363636364</v>
      </c>
      <c r="R15" s="121">
        <v>250</v>
      </c>
      <c r="S15" s="150">
        <f t="shared" si="7"/>
        <v>293.057851239669</v>
      </c>
      <c r="T15" s="159">
        <v>690</v>
      </c>
      <c r="U15" s="155"/>
      <c r="V15" s="121">
        <v>11</v>
      </c>
      <c r="W15" s="168">
        <v>0.1</v>
      </c>
      <c r="X15" s="121">
        <v>0.3</v>
      </c>
      <c r="Y15" s="122">
        <v>1.5</v>
      </c>
      <c r="Z15" s="121">
        <v>1.9</v>
      </c>
      <c r="AA15" s="122">
        <f t="shared" si="17"/>
        <v>569.090909090909</v>
      </c>
      <c r="AB15" s="121">
        <v>250</v>
      </c>
      <c r="AC15" s="150">
        <f t="shared" si="8"/>
        <v>301.735537190083</v>
      </c>
      <c r="AD15" s="150">
        <v>700</v>
      </c>
      <c r="AE15" s="155"/>
      <c r="AF15" s="121">
        <v>11</v>
      </c>
      <c r="AG15" s="168">
        <v>0.1</v>
      </c>
      <c r="AH15" s="122">
        <f t="shared" si="9"/>
        <v>0.39</v>
      </c>
      <c r="AI15" s="122">
        <f>Y15*1.12</f>
        <v>1.68</v>
      </c>
      <c r="AJ15" s="121">
        <v>2.1</v>
      </c>
      <c r="AK15" s="122">
        <f t="shared" si="18"/>
        <v>630.181818181818</v>
      </c>
      <c r="AL15" s="121">
        <v>250</v>
      </c>
      <c r="AM15" s="150">
        <f t="shared" si="10"/>
        <v>257.289256198347</v>
      </c>
      <c r="AN15" s="150">
        <v>720</v>
      </c>
      <c r="AO15" s="155"/>
      <c r="AP15" s="121">
        <v>11</v>
      </c>
      <c r="AQ15" s="168">
        <v>0.1</v>
      </c>
      <c r="AR15" s="121">
        <v>0.4</v>
      </c>
      <c r="AS15" s="122">
        <f t="shared" si="11"/>
        <v>1.875</v>
      </c>
      <c r="AT15" s="121">
        <v>2.1</v>
      </c>
      <c r="AU15" s="122">
        <f t="shared" si="19"/>
        <v>690.454545454545</v>
      </c>
      <c r="AV15" s="121">
        <v>250</v>
      </c>
      <c r="AW15" s="150">
        <f t="shared" si="12"/>
        <v>262.768595041322</v>
      </c>
      <c r="AX15" s="122">
        <f t="shared" si="13"/>
        <v>12.7685950413223</v>
      </c>
    </row>
    <row r="16" spans="1:50">
      <c r="A16" s="121">
        <v>12</v>
      </c>
      <c r="B16" s="168">
        <v>0.1</v>
      </c>
      <c r="C16" s="121">
        <v>0.3</v>
      </c>
      <c r="D16" s="121">
        <f>0.9+0.2</f>
        <v>1.1</v>
      </c>
      <c r="E16" s="121">
        <v>1.6</v>
      </c>
      <c r="F16" s="122">
        <f t="shared" si="15"/>
        <v>400.833333333333</v>
      </c>
      <c r="G16" s="121">
        <v>200</v>
      </c>
      <c r="H16" s="150">
        <f t="shared" si="14"/>
        <v>233.402777777778</v>
      </c>
      <c r="I16" s="150">
        <f t="shared" si="2"/>
        <v>33.4027777777778</v>
      </c>
      <c r="J16" s="159">
        <v>690</v>
      </c>
      <c r="K16" s="155"/>
      <c r="L16" s="121">
        <v>12</v>
      </c>
      <c r="M16" s="168">
        <v>0.1</v>
      </c>
      <c r="N16" s="121">
        <v>0.3</v>
      </c>
      <c r="O16" s="122">
        <v>1.3</v>
      </c>
      <c r="P16" s="121">
        <f t="shared" si="25"/>
        <v>1.8</v>
      </c>
      <c r="Q16" s="122">
        <f t="shared" si="16"/>
        <v>462.5</v>
      </c>
      <c r="R16" s="121">
        <v>250</v>
      </c>
      <c r="S16" s="150">
        <f t="shared" si="7"/>
        <v>288.541666666667</v>
      </c>
      <c r="T16" s="159">
        <v>690</v>
      </c>
      <c r="U16" s="155"/>
      <c r="V16" s="121">
        <v>12</v>
      </c>
      <c r="W16" s="168">
        <v>0.1</v>
      </c>
      <c r="X16" s="121">
        <v>0.3</v>
      </c>
      <c r="Y16" s="122">
        <v>1.6</v>
      </c>
      <c r="Z16" s="121">
        <f>P16+0.2</f>
        <v>2</v>
      </c>
      <c r="AA16" s="122">
        <f t="shared" si="17"/>
        <v>552.5</v>
      </c>
      <c r="AB16" s="121">
        <v>250</v>
      </c>
      <c r="AC16" s="150">
        <f t="shared" si="8"/>
        <v>296.041666666667</v>
      </c>
      <c r="AD16" s="150">
        <v>700</v>
      </c>
      <c r="AE16" s="155"/>
      <c r="AF16" s="121">
        <v>12</v>
      </c>
      <c r="AG16" s="168">
        <v>0.1</v>
      </c>
      <c r="AH16" s="122">
        <f t="shared" si="9"/>
        <v>0.39</v>
      </c>
      <c r="AI16" s="122">
        <v>1.9</v>
      </c>
      <c r="AJ16" s="121">
        <f t="shared" si="23"/>
        <v>2.2</v>
      </c>
      <c r="AK16" s="122">
        <f t="shared" si="18"/>
        <v>642.5</v>
      </c>
      <c r="AL16" s="121">
        <v>250</v>
      </c>
      <c r="AM16" s="150">
        <f t="shared" si="10"/>
        <v>253.541666666667</v>
      </c>
      <c r="AN16" s="150">
        <v>720</v>
      </c>
      <c r="AO16" s="155"/>
      <c r="AP16" s="121">
        <v>12</v>
      </c>
      <c r="AQ16" s="168">
        <v>0.1</v>
      </c>
      <c r="AR16" s="121">
        <v>0.4</v>
      </c>
      <c r="AS16" s="122">
        <f t="shared" si="11"/>
        <v>2</v>
      </c>
      <c r="AT16" s="121">
        <v>2.2</v>
      </c>
      <c r="AU16" s="122">
        <f t="shared" si="19"/>
        <v>670.833333333333</v>
      </c>
      <c r="AV16" s="121">
        <v>250</v>
      </c>
      <c r="AW16" s="150">
        <f t="shared" si="12"/>
        <v>255.902777777778</v>
      </c>
      <c r="AX16" s="122">
        <f t="shared" si="13"/>
        <v>5.9027777777778</v>
      </c>
    </row>
    <row r="17" spans="1:50">
      <c r="A17" s="121">
        <v>13</v>
      </c>
      <c r="B17" s="168">
        <v>0.1</v>
      </c>
      <c r="C17" s="121">
        <v>0.3</v>
      </c>
      <c r="D17" s="121">
        <f>0.9+0.2</f>
        <v>1.1</v>
      </c>
      <c r="E17" s="121">
        <v>1.7</v>
      </c>
      <c r="F17" s="122">
        <f t="shared" si="15"/>
        <v>372.307692307692</v>
      </c>
      <c r="G17" s="121">
        <v>200</v>
      </c>
      <c r="H17" s="150">
        <f t="shared" si="14"/>
        <v>228.639053254438</v>
      </c>
      <c r="I17" s="150">
        <f t="shared" si="2"/>
        <v>28.6390532544379</v>
      </c>
      <c r="J17" s="159">
        <v>690</v>
      </c>
      <c r="K17" s="155"/>
      <c r="L17" s="121">
        <v>13</v>
      </c>
      <c r="M17" s="168">
        <v>0.1</v>
      </c>
      <c r="N17" s="121">
        <v>0.3</v>
      </c>
      <c r="O17" s="122">
        <v>1.3</v>
      </c>
      <c r="P17" s="121">
        <f t="shared" si="25"/>
        <v>1.9</v>
      </c>
      <c r="Q17" s="122">
        <f t="shared" si="16"/>
        <v>429.230769230769</v>
      </c>
      <c r="R17" s="121">
        <v>250</v>
      </c>
      <c r="S17" s="150">
        <f t="shared" si="7"/>
        <v>283.01775147929</v>
      </c>
      <c r="T17" s="159">
        <v>690</v>
      </c>
      <c r="U17" s="155"/>
      <c r="V17" s="121">
        <v>13</v>
      </c>
      <c r="W17" s="168">
        <v>0.1</v>
      </c>
      <c r="X17" s="121">
        <v>0.3</v>
      </c>
      <c r="Y17" s="122">
        <v>1.6</v>
      </c>
      <c r="Z17" s="121">
        <f t="shared" ref="Z17:Z18" si="26">P17+0.2</f>
        <v>2.1</v>
      </c>
      <c r="AA17" s="122">
        <f t="shared" si="17"/>
        <v>512.307692307692</v>
      </c>
      <c r="AB17" s="121">
        <v>250</v>
      </c>
      <c r="AC17" s="150">
        <f t="shared" si="8"/>
        <v>289.408284023669</v>
      </c>
      <c r="AD17" s="150">
        <v>700</v>
      </c>
      <c r="AE17" s="155"/>
      <c r="AF17" s="121">
        <v>13</v>
      </c>
      <c r="AG17" s="168">
        <v>0.1</v>
      </c>
      <c r="AH17" s="122">
        <f t="shared" si="9"/>
        <v>0.39</v>
      </c>
      <c r="AI17" s="122">
        <v>2</v>
      </c>
      <c r="AJ17" s="121">
        <f t="shared" si="23"/>
        <v>2.3</v>
      </c>
      <c r="AK17" s="122">
        <f t="shared" si="18"/>
        <v>621.538461538462</v>
      </c>
      <c r="AL17" s="121">
        <v>250</v>
      </c>
      <c r="AM17" s="150">
        <f t="shared" si="10"/>
        <v>247.810650887574</v>
      </c>
      <c r="AN17" s="150">
        <v>720</v>
      </c>
      <c r="AO17" s="155"/>
      <c r="AP17" s="121">
        <v>13</v>
      </c>
      <c r="AQ17" s="168">
        <v>0.1</v>
      </c>
      <c r="AR17" s="121">
        <v>0.4</v>
      </c>
      <c r="AS17" s="122">
        <f t="shared" si="11"/>
        <v>2</v>
      </c>
      <c r="AT17" s="121">
        <v>2.3</v>
      </c>
      <c r="AU17" s="122">
        <f t="shared" si="19"/>
        <v>621.538461538462</v>
      </c>
      <c r="AV17" s="121">
        <v>250</v>
      </c>
      <c r="AW17" s="150">
        <f t="shared" si="12"/>
        <v>247.810650887574</v>
      </c>
      <c r="AX17" s="122">
        <f t="shared" si="13"/>
        <v>-2.18934911242604</v>
      </c>
    </row>
    <row r="18" spans="1:50">
      <c r="A18" s="121">
        <v>14</v>
      </c>
      <c r="B18" s="168">
        <v>0.1</v>
      </c>
      <c r="C18" s="121">
        <v>0.3</v>
      </c>
      <c r="D18" s="121">
        <f>1+0.2</f>
        <v>1.2</v>
      </c>
      <c r="E18" s="121">
        <v>1.7</v>
      </c>
      <c r="F18" s="122">
        <f t="shared" si="15"/>
        <v>370</v>
      </c>
      <c r="G18" s="121">
        <v>200</v>
      </c>
      <c r="H18" s="150">
        <f t="shared" si="14"/>
        <v>226.428571428571</v>
      </c>
      <c r="I18" s="150">
        <f t="shared" si="2"/>
        <v>26.4285714285714</v>
      </c>
      <c r="J18" s="159">
        <v>690</v>
      </c>
      <c r="K18" s="155"/>
      <c r="L18" s="121">
        <v>14</v>
      </c>
      <c r="M18" s="168">
        <v>0.1</v>
      </c>
      <c r="N18" s="121">
        <v>0.3</v>
      </c>
      <c r="O18" s="122">
        <v>1.4</v>
      </c>
      <c r="P18" s="121">
        <f t="shared" si="25"/>
        <v>1.9</v>
      </c>
      <c r="Q18" s="122">
        <f t="shared" si="16"/>
        <v>422.857142857143</v>
      </c>
      <c r="R18" s="121">
        <v>250</v>
      </c>
      <c r="S18" s="150">
        <f t="shared" si="7"/>
        <v>280.204081632653</v>
      </c>
      <c r="T18" s="159">
        <v>690</v>
      </c>
      <c r="U18" s="155"/>
      <c r="V18" s="121">
        <v>14</v>
      </c>
      <c r="W18" s="168">
        <v>0.1</v>
      </c>
      <c r="X18" s="121">
        <v>0.3</v>
      </c>
      <c r="Y18" s="122">
        <v>1.7</v>
      </c>
      <c r="Z18" s="121">
        <f t="shared" si="26"/>
        <v>2.1</v>
      </c>
      <c r="AA18" s="122">
        <f t="shared" si="17"/>
        <v>500</v>
      </c>
      <c r="AB18" s="121">
        <v>250</v>
      </c>
      <c r="AC18" s="150">
        <f t="shared" si="8"/>
        <v>285.714285714286</v>
      </c>
      <c r="AD18" s="150">
        <v>700</v>
      </c>
      <c r="AE18" s="155"/>
      <c r="AF18" s="121">
        <v>14</v>
      </c>
      <c r="AG18" s="168">
        <v>0.1</v>
      </c>
      <c r="AH18" s="122">
        <f t="shared" si="9"/>
        <v>0.39</v>
      </c>
      <c r="AI18" s="122">
        <v>2.2</v>
      </c>
      <c r="AJ18" s="121">
        <f t="shared" si="23"/>
        <v>2.3</v>
      </c>
      <c r="AK18" s="122">
        <f t="shared" si="18"/>
        <v>625.714285714286</v>
      </c>
      <c r="AL18" s="121">
        <v>250</v>
      </c>
      <c r="AM18" s="150">
        <f t="shared" si="10"/>
        <v>244.69387755102</v>
      </c>
      <c r="AN18" s="150">
        <v>720</v>
      </c>
      <c r="AO18" s="155"/>
      <c r="AP18" s="121">
        <v>14</v>
      </c>
      <c r="AQ18" s="168">
        <v>0.1</v>
      </c>
      <c r="AR18" s="121">
        <v>0.4</v>
      </c>
      <c r="AS18" s="122">
        <f t="shared" si="11"/>
        <v>2.125</v>
      </c>
      <c r="AT18" s="121">
        <v>2.3</v>
      </c>
      <c r="AU18" s="122">
        <f t="shared" si="19"/>
        <v>607.5</v>
      </c>
      <c r="AV18" s="121">
        <v>250</v>
      </c>
      <c r="AW18" s="150">
        <f t="shared" si="12"/>
        <v>243.392857142857</v>
      </c>
      <c r="AX18" s="122">
        <f t="shared" si="13"/>
        <v>-6.60714285714286</v>
      </c>
    </row>
    <row r="19" s="148" customFormat="1" spans="1:50">
      <c r="A19" s="121">
        <v>15</v>
      </c>
      <c r="B19" s="168">
        <v>0.1</v>
      </c>
      <c r="C19" s="121">
        <v>0.3</v>
      </c>
      <c r="D19" s="121">
        <v>1.4</v>
      </c>
      <c r="E19" s="121">
        <v>1.9</v>
      </c>
      <c r="F19" s="122">
        <f t="shared" si="15"/>
        <v>394.666666666667</v>
      </c>
      <c r="G19" s="121">
        <v>200</v>
      </c>
      <c r="H19" s="150">
        <f t="shared" si="14"/>
        <v>226.311111111111</v>
      </c>
      <c r="I19" s="150">
        <f t="shared" si="2"/>
        <v>26.3111111111111</v>
      </c>
      <c r="J19" s="159">
        <v>690</v>
      </c>
      <c r="K19" s="155"/>
      <c r="L19" s="121">
        <v>15</v>
      </c>
      <c r="M19" s="168">
        <v>0.1</v>
      </c>
      <c r="N19" s="121">
        <v>0.3</v>
      </c>
      <c r="O19" s="122">
        <f t="shared" si="22"/>
        <v>1.5</v>
      </c>
      <c r="P19" s="122">
        <v>2</v>
      </c>
      <c r="Q19" s="122">
        <f t="shared" si="16"/>
        <v>419.333333333333</v>
      </c>
      <c r="R19" s="121">
        <v>250</v>
      </c>
      <c r="S19" s="150">
        <f t="shared" si="7"/>
        <v>277.955555555556</v>
      </c>
      <c r="T19" s="159">
        <v>690</v>
      </c>
      <c r="U19" s="155"/>
      <c r="V19" s="121">
        <v>15</v>
      </c>
      <c r="W19" s="168">
        <v>0.1</v>
      </c>
      <c r="X19" s="121">
        <v>0.3</v>
      </c>
      <c r="Y19" s="122">
        <v>1.9</v>
      </c>
      <c r="Z19" s="121">
        <v>2.2</v>
      </c>
      <c r="AA19" s="122">
        <f t="shared" si="17"/>
        <v>514</v>
      </c>
      <c r="AB19" s="121">
        <v>250</v>
      </c>
      <c r="AC19" s="150">
        <f t="shared" si="8"/>
        <v>284.266666666667</v>
      </c>
      <c r="AD19" s="150">
        <v>700</v>
      </c>
      <c r="AE19" s="155"/>
      <c r="AF19" s="121">
        <v>15</v>
      </c>
      <c r="AG19" s="168">
        <v>0.1</v>
      </c>
      <c r="AH19" s="122">
        <f t="shared" si="9"/>
        <v>0.39</v>
      </c>
      <c r="AI19" s="122">
        <v>2.3</v>
      </c>
      <c r="AJ19" s="121">
        <f>Z19+0.3</f>
        <v>2.5</v>
      </c>
      <c r="AK19" s="122">
        <f t="shared" si="18"/>
        <v>610.666666666667</v>
      </c>
      <c r="AL19" s="121">
        <v>250</v>
      </c>
      <c r="AM19" s="150">
        <f t="shared" si="10"/>
        <v>240.711111111111</v>
      </c>
      <c r="AN19" s="150">
        <v>720</v>
      </c>
      <c r="AO19" s="155"/>
      <c r="AP19" s="121">
        <v>15</v>
      </c>
      <c r="AQ19" s="168">
        <v>0.1</v>
      </c>
      <c r="AR19" s="121">
        <v>0.4</v>
      </c>
      <c r="AS19" s="122">
        <f t="shared" si="11"/>
        <v>2.375</v>
      </c>
      <c r="AT19" s="121">
        <v>2.8</v>
      </c>
      <c r="AU19" s="122">
        <f t="shared" si="19"/>
        <v>633.666666666667</v>
      </c>
      <c r="AV19" s="121">
        <v>250</v>
      </c>
      <c r="AW19" s="150">
        <f t="shared" si="12"/>
        <v>242.244444444444</v>
      </c>
      <c r="AX19" s="122">
        <f t="shared" si="13"/>
        <v>-7.75555555555556</v>
      </c>
    </row>
    <row r="20" spans="1:50">
      <c r="A20" s="121">
        <v>16</v>
      </c>
      <c r="B20" s="168">
        <v>0.1</v>
      </c>
      <c r="C20" s="121">
        <v>0.4</v>
      </c>
      <c r="D20" s="121">
        <v>1.5</v>
      </c>
      <c r="E20" s="121">
        <v>1.9</v>
      </c>
      <c r="F20" s="122">
        <f t="shared" si="15"/>
        <v>391.25</v>
      </c>
      <c r="G20" s="121">
        <v>200</v>
      </c>
      <c r="H20" s="150">
        <f t="shared" si="14"/>
        <v>224.453125</v>
      </c>
      <c r="I20" s="150">
        <f t="shared" si="2"/>
        <v>24.453125</v>
      </c>
      <c r="J20" s="159">
        <v>690</v>
      </c>
      <c r="K20" s="155"/>
      <c r="L20" s="121">
        <v>16</v>
      </c>
      <c r="M20" s="168">
        <v>0.1</v>
      </c>
      <c r="N20" s="121">
        <v>0.4</v>
      </c>
      <c r="O20" s="122">
        <f t="shared" si="22"/>
        <v>1.6</v>
      </c>
      <c r="P20" s="121">
        <v>2.1</v>
      </c>
      <c r="Q20" s="122">
        <f t="shared" si="16"/>
        <v>416.25</v>
      </c>
      <c r="R20" s="121">
        <v>250</v>
      </c>
      <c r="S20" s="150">
        <f t="shared" si="7"/>
        <v>276.015625</v>
      </c>
      <c r="T20" s="159">
        <v>690</v>
      </c>
      <c r="U20" s="155"/>
      <c r="V20" s="175">
        <v>16</v>
      </c>
      <c r="W20" s="122">
        <v>0.2</v>
      </c>
      <c r="X20" s="121">
        <v>0.4</v>
      </c>
      <c r="Y20" s="122">
        <v>2.1</v>
      </c>
      <c r="Z20" s="121">
        <v>2.5</v>
      </c>
      <c r="AA20" s="122">
        <f t="shared" si="17"/>
        <v>566.875</v>
      </c>
      <c r="AB20" s="121">
        <v>250</v>
      </c>
      <c r="AC20" s="150">
        <f t="shared" si="8"/>
        <v>285.4296875</v>
      </c>
      <c r="AD20" s="150">
        <v>700</v>
      </c>
      <c r="AE20" s="155"/>
      <c r="AF20" s="121">
        <v>16</v>
      </c>
      <c r="AG20" s="122">
        <v>0.2</v>
      </c>
      <c r="AH20" s="122">
        <f t="shared" si="9"/>
        <v>0.52</v>
      </c>
      <c r="AI20" s="122">
        <v>2.4</v>
      </c>
      <c r="AJ20" s="121">
        <f>Z20+0.3</f>
        <v>2.8</v>
      </c>
      <c r="AK20" s="122">
        <f t="shared" si="18"/>
        <v>636.25</v>
      </c>
      <c r="AL20" s="121">
        <v>250</v>
      </c>
      <c r="AM20" s="150">
        <f t="shared" si="10"/>
        <v>239.765625</v>
      </c>
      <c r="AN20" s="150">
        <v>720</v>
      </c>
      <c r="AO20" s="155"/>
      <c r="AP20" s="121">
        <v>16</v>
      </c>
      <c r="AQ20" s="122">
        <v>0.2</v>
      </c>
      <c r="AR20" s="121">
        <v>0.5</v>
      </c>
      <c r="AS20" s="122">
        <f t="shared" si="11"/>
        <v>2.625</v>
      </c>
      <c r="AT20" s="121">
        <v>2.8</v>
      </c>
      <c r="AU20" s="122">
        <f t="shared" si="19"/>
        <v>684.0625</v>
      </c>
      <c r="AV20" s="121">
        <v>250</v>
      </c>
      <c r="AW20" s="150">
        <f t="shared" si="12"/>
        <v>242.75390625</v>
      </c>
      <c r="AX20" s="122">
        <f t="shared" si="13"/>
        <v>-7.24609375</v>
      </c>
    </row>
    <row r="21" spans="1:50">
      <c r="A21" s="121">
        <v>17</v>
      </c>
      <c r="B21" s="168">
        <v>0.1</v>
      </c>
      <c r="C21" s="121">
        <v>0.4</v>
      </c>
      <c r="D21" s="121">
        <v>1.6</v>
      </c>
      <c r="E21" s="121">
        <v>2</v>
      </c>
      <c r="F21" s="122">
        <f t="shared" si="15"/>
        <v>390</v>
      </c>
      <c r="G21" s="121">
        <v>200</v>
      </c>
      <c r="H21" s="150">
        <f t="shared" si="14"/>
        <v>222.941176470588</v>
      </c>
      <c r="I21" s="150">
        <f t="shared" si="2"/>
        <v>22.9411764705882</v>
      </c>
      <c r="J21" s="159">
        <v>690</v>
      </c>
      <c r="K21" s="155"/>
      <c r="L21" s="121">
        <v>17</v>
      </c>
      <c r="M21" s="168">
        <v>0.1</v>
      </c>
      <c r="N21" s="121">
        <v>0.4</v>
      </c>
      <c r="O21" s="122">
        <v>1.7</v>
      </c>
      <c r="P21" s="121">
        <f t="shared" ref="P21:P28" si="27">E21+0.3</f>
        <v>2.3</v>
      </c>
      <c r="Q21" s="122">
        <f t="shared" si="16"/>
        <v>415.294117647059</v>
      </c>
      <c r="R21" s="121">
        <v>250</v>
      </c>
      <c r="S21" s="150">
        <f t="shared" si="7"/>
        <v>274.429065743945</v>
      </c>
      <c r="T21" s="159">
        <v>690</v>
      </c>
      <c r="U21" s="155"/>
      <c r="V21" s="121">
        <v>17</v>
      </c>
      <c r="W21" s="122">
        <v>0.2</v>
      </c>
      <c r="X21" s="121">
        <v>0.4</v>
      </c>
      <c r="Y21" s="122">
        <v>2.2</v>
      </c>
      <c r="Z21" s="121">
        <f>P21+0.2</f>
        <v>2.5</v>
      </c>
      <c r="AA21" s="122">
        <f t="shared" si="17"/>
        <v>553.529411764706</v>
      </c>
      <c r="AB21" s="121">
        <v>250</v>
      </c>
      <c r="AC21" s="150">
        <f t="shared" si="8"/>
        <v>282.560553633218</v>
      </c>
      <c r="AD21" s="150">
        <v>700</v>
      </c>
      <c r="AE21" s="155"/>
      <c r="AF21" s="121">
        <v>17</v>
      </c>
      <c r="AG21" s="122">
        <v>0.2</v>
      </c>
      <c r="AH21" s="122">
        <f t="shared" si="9"/>
        <v>0.52</v>
      </c>
      <c r="AI21" s="122">
        <v>2.5</v>
      </c>
      <c r="AJ21" s="121">
        <v>2.8</v>
      </c>
      <c r="AK21" s="122">
        <f t="shared" si="18"/>
        <v>618.823529411765</v>
      </c>
      <c r="AL21" s="121">
        <v>250</v>
      </c>
      <c r="AM21" s="150">
        <f t="shared" si="10"/>
        <v>236.401384083045</v>
      </c>
      <c r="AN21" s="150">
        <v>720</v>
      </c>
      <c r="AO21" s="155"/>
      <c r="AP21" s="121">
        <v>17</v>
      </c>
      <c r="AQ21" s="122">
        <v>0.2</v>
      </c>
      <c r="AR21" s="121">
        <v>0.5</v>
      </c>
      <c r="AS21" s="122">
        <f t="shared" si="11"/>
        <v>2.75</v>
      </c>
      <c r="AT21" s="121">
        <v>2.8</v>
      </c>
      <c r="AU21" s="122">
        <f t="shared" si="19"/>
        <v>668.823529411765</v>
      </c>
      <c r="AV21" s="121">
        <v>250</v>
      </c>
      <c r="AW21" s="150">
        <f t="shared" si="12"/>
        <v>239.342560553633</v>
      </c>
      <c r="AX21" s="122">
        <f t="shared" si="13"/>
        <v>-10.6574394463668</v>
      </c>
    </row>
    <row r="22" spans="1:50">
      <c r="A22" s="121">
        <v>18</v>
      </c>
      <c r="B22" s="168">
        <v>0.1</v>
      </c>
      <c r="C22" s="121">
        <v>0.4</v>
      </c>
      <c r="D22" s="121">
        <v>1.8</v>
      </c>
      <c r="E22" s="121">
        <v>2</v>
      </c>
      <c r="F22" s="122">
        <f t="shared" si="15"/>
        <v>406.111111111111</v>
      </c>
      <c r="G22" s="121">
        <v>200</v>
      </c>
      <c r="H22" s="150">
        <f t="shared" si="14"/>
        <v>222.561728395062</v>
      </c>
      <c r="I22" s="150">
        <f t="shared" si="2"/>
        <v>22.5617283950617</v>
      </c>
      <c r="J22" s="159">
        <v>690</v>
      </c>
      <c r="K22" s="155"/>
      <c r="L22" s="121">
        <v>18</v>
      </c>
      <c r="M22" s="168">
        <v>0.1</v>
      </c>
      <c r="N22" s="121">
        <v>0.4</v>
      </c>
      <c r="O22" s="122">
        <f t="shared" si="22"/>
        <v>1.9</v>
      </c>
      <c r="P22" s="121">
        <f t="shared" si="27"/>
        <v>2.3</v>
      </c>
      <c r="Q22" s="122">
        <f t="shared" si="16"/>
        <v>430</v>
      </c>
      <c r="R22" s="121">
        <v>250</v>
      </c>
      <c r="S22" s="150">
        <f t="shared" si="7"/>
        <v>273.888888888889</v>
      </c>
      <c r="T22" s="159">
        <v>690</v>
      </c>
      <c r="U22" s="155"/>
      <c r="V22" s="121">
        <v>18</v>
      </c>
      <c r="W22" s="122">
        <v>0.2</v>
      </c>
      <c r="X22" s="121">
        <v>0.4</v>
      </c>
      <c r="Y22" s="122">
        <v>2.3</v>
      </c>
      <c r="Z22" s="121">
        <f t="shared" ref="Z22:Z23" si="28">P22+0.2</f>
        <v>2.5</v>
      </c>
      <c r="AA22" s="122">
        <f t="shared" si="17"/>
        <v>541.666666666667</v>
      </c>
      <c r="AB22" s="121">
        <v>250</v>
      </c>
      <c r="AC22" s="150">
        <f t="shared" si="8"/>
        <v>280.092592592593</v>
      </c>
      <c r="AD22" s="150">
        <v>700</v>
      </c>
      <c r="AE22" s="155"/>
      <c r="AF22" s="121">
        <v>18</v>
      </c>
      <c r="AG22" s="122">
        <v>0.2</v>
      </c>
      <c r="AH22" s="122">
        <f t="shared" si="9"/>
        <v>0.52</v>
      </c>
      <c r="AI22" s="122">
        <v>2.7</v>
      </c>
      <c r="AJ22" s="122">
        <v>3</v>
      </c>
      <c r="AK22" s="122">
        <f t="shared" si="18"/>
        <v>625.555555555556</v>
      </c>
      <c r="AL22" s="121">
        <v>250</v>
      </c>
      <c r="AM22" s="150">
        <f t="shared" si="10"/>
        <v>234.753086419753</v>
      </c>
      <c r="AN22" s="150">
        <v>720</v>
      </c>
      <c r="AO22" s="155"/>
      <c r="AP22" s="121">
        <v>18</v>
      </c>
      <c r="AQ22" s="122">
        <v>0.2</v>
      </c>
      <c r="AR22" s="121">
        <v>0.5</v>
      </c>
      <c r="AS22" s="122">
        <f t="shared" si="11"/>
        <v>2.875</v>
      </c>
      <c r="AT22" s="121">
        <v>2.8</v>
      </c>
      <c r="AU22" s="122">
        <f t="shared" si="19"/>
        <v>655.277777777778</v>
      </c>
      <c r="AV22" s="121">
        <v>250</v>
      </c>
      <c r="AW22" s="150">
        <f t="shared" si="12"/>
        <v>236.404320987654</v>
      </c>
      <c r="AX22" s="122">
        <f t="shared" si="13"/>
        <v>-13.5956790123457</v>
      </c>
    </row>
    <row r="23" spans="1:50">
      <c r="A23" s="121">
        <v>19</v>
      </c>
      <c r="B23" s="168">
        <v>0.1</v>
      </c>
      <c r="C23" s="121">
        <v>0.4</v>
      </c>
      <c r="D23" s="121">
        <v>1.9</v>
      </c>
      <c r="E23" s="121">
        <v>2.2</v>
      </c>
      <c r="F23" s="122">
        <f t="shared" si="15"/>
        <v>405.789473684211</v>
      </c>
      <c r="G23" s="121">
        <v>200</v>
      </c>
      <c r="H23" s="150">
        <f t="shared" si="14"/>
        <v>221.357340720222</v>
      </c>
      <c r="I23" s="150">
        <f t="shared" si="2"/>
        <v>21.3573407202216</v>
      </c>
      <c r="J23" s="159">
        <v>690</v>
      </c>
      <c r="K23" s="155"/>
      <c r="L23" s="121">
        <v>19</v>
      </c>
      <c r="M23" s="168">
        <v>0.1</v>
      </c>
      <c r="N23" s="121">
        <v>0.4</v>
      </c>
      <c r="O23" s="122">
        <f t="shared" si="22"/>
        <v>2</v>
      </c>
      <c r="P23" s="121">
        <f t="shared" si="27"/>
        <v>2.5</v>
      </c>
      <c r="Q23" s="122">
        <f t="shared" si="16"/>
        <v>428.421052631579</v>
      </c>
      <c r="R23" s="121">
        <v>250</v>
      </c>
      <c r="S23" s="150">
        <f t="shared" si="7"/>
        <v>272.548476454294</v>
      </c>
      <c r="T23" s="159">
        <v>690</v>
      </c>
      <c r="U23" s="155"/>
      <c r="V23" s="121">
        <v>19</v>
      </c>
      <c r="W23" s="122">
        <v>0.2</v>
      </c>
      <c r="X23" s="121">
        <v>0.4</v>
      </c>
      <c r="Y23" s="122">
        <v>2.5</v>
      </c>
      <c r="Z23" s="121">
        <f t="shared" si="28"/>
        <v>2.7</v>
      </c>
      <c r="AA23" s="122">
        <f t="shared" si="17"/>
        <v>552.105263157895</v>
      </c>
      <c r="AB23" s="121">
        <v>250</v>
      </c>
      <c r="AC23" s="150">
        <f t="shared" si="8"/>
        <v>279.058171745152</v>
      </c>
      <c r="AD23" s="150">
        <v>700</v>
      </c>
      <c r="AE23" s="155"/>
      <c r="AF23" s="121">
        <v>19</v>
      </c>
      <c r="AG23" s="122">
        <v>0.2</v>
      </c>
      <c r="AH23" s="122">
        <f t="shared" si="9"/>
        <v>0.52</v>
      </c>
      <c r="AI23" s="122">
        <v>2.8</v>
      </c>
      <c r="AJ23" s="121">
        <f>Z23+0.3</f>
        <v>3</v>
      </c>
      <c r="AK23" s="122">
        <f t="shared" si="18"/>
        <v>610.526315789474</v>
      </c>
      <c r="AL23" s="121">
        <v>250</v>
      </c>
      <c r="AM23" s="150">
        <f t="shared" si="10"/>
        <v>232.13296398892</v>
      </c>
      <c r="AN23" s="150">
        <v>720</v>
      </c>
      <c r="AO23" s="155"/>
      <c r="AP23" s="121">
        <v>19</v>
      </c>
      <c r="AQ23" s="122">
        <v>0.2</v>
      </c>
      <c r="AR23" s="121">
        <v>0.5</v>
      </c>
      <c r="AS23" s="122">
        <f t="shared" si="11"/>
        <v>3.125</v>
      </c>
      <c r="AT23" s="121">
        <v>3</v>
      </c>
      <c r="AU23" s="122">
        <f t="shared" si="19"/>
        <v>668.684210526316</v>
      </c>
      <c r="AV23" s="121">
        <v>250</v>
      </c>
      <c r="AW23" s="150">
        <f t="shared" si="12"/>
        <v>235.193905817175</v>
      </c>
      <c r="AX23" s="122">
        <f t="shared" si="13"/>
        <v>-14.8060941828255</v>
      </c>
    </row>
    <row r="24" s="149" customFormat="1" spans="1:50">
      <c r="A24" s="167">
        <v>20</v>
      </c>
      <c r="B24" s="168">
        <v>0.1</v>
      </c>
      <c r="C24" s="167">
        <v>0.4</v>
      </c>
      <c r="D24" s="168">
        <v>2</v>
      </c>
      <c r="E24" s="167">
        <v>2.2</v>
      </c>
      <c r="F24" s="122">
        <f t="shared" si="15"/>
        <v>402.5</v>
      </c>
      <c r="G24" s="167">
        <v>200</v>
      </c>
      <c r="H24" s="169">
        <f t="shared" si="14"/>
        <v>220.125</v>
      </c>
      <c r="I24" s="150">
        <f t="shared" si="2"/>
        <v>20.125</v>
      </c>
      <c r="J24" s="170">
        <v>690</v>
      </c>
      <c r="K24" s="171"/>
      <c r="L24" s="167">
        <v>20</v>
      </c>
      <c r="M24" s="168">
        <v>0.2</v>
      </c>
      <c r="N24" s="167">
        <v>0.4</v>
      </c>
      <c r="O24" s="122">
        <f t="shared" si="22"/>
        <v>2.1</v>
      </c>
      <c r="P24" s="167">
        <f t="shared" si="27"/>
        <v>2.5</v>
      </c>
      <c r="Q24" s="122">
        <f t="shared" si="16"/>
        <v>453.5</v>
      </c>
      <c r="R24" s="167">
        <v>250</v>
      </c>
      <c r="S24" s="150">
        <f t="shared" si="7"/>
        <v>272.675</v>
      </c>
      <c r="T24" s="170">
        <v>690</v>
      </c>
      <c r="U24" s="171"/>
      <c r="V24" s="167">
        <v>20</v>
      </c>
      <c r="W24" s="168">
        <v>0.2</v>
      </c>
      <c r="X24" s="167">
        <v>0.4</v>
      </c>
      <c r="Y24" s="168">
        <v>2.6</v>
      </c>
      <c r="Z24" s="168">
        <v>3</v>
      </c>
      <c r="AA24" s="122">
        <f t="shared" si="17"/>
        <v>546</v>
      </c>
      <c r="AB24" s="167">
        <v>250</v>
      </c>
      <c r="AC24" s="169">
        <f t="shared" si="8"/>
        <v>277.3</v>
      </c>
      <c r="AD24" s="169">
        <v>700</v>
      </c>
      <c r="AE24" s="171"/>
      <c r="AF24" s="167">
        <v>20</v>
      </c>
      <c r="AG24" s="168">
        <v>0.3</v>
      </c>
      <c r="AH24" s="122">
        <f t="shared" si="9"/>
        <v>0.52</v>
      </c>
      <c r="AI24" s="122">
        <v>2.9</v>
      </c>
      <c r="AJ24" s="167">
        <f>Z24+0.3</f>
        <v>3.3</v>
      </c>
      <c r="AK24" s="122">
        <f t="shared" si="18"/>
        <v>631</v>
      </c>
      <c r="AL24" s="167">
        <v>250</v>
      </c>
      <c r="AM24" s="169">
        <f t="shared" si="10"/>
        <v>231.55</v>
      </c>
      <c r="AN24" s="169">
        <v>720</v>
      </c>
      <c r="AO24" s="171"/>
      <c r="AP24" s="167">
        <v>20</v>
      </c>
      <c r="AQ24" s="168">
        <v>0.3</v>
      </c>
      <c r="AR24" s="167">
        <f t="shared" ref="AR24:AR44" si="29">AH24+0.1</f>
        <v>0.62</v>
      </c>
      <c r="AS24" s="122">
        <f t="shared" si="11"/>
        <v>3.25</v>
      </c>
      <c r="AT24" s="167">
        <v>3.5</v>
      </c>
      <c r="AU24" s="122">
        <f t="shared" si="19"/>
        <v>693.5</v>
      </c>
      <c r="AV24" s="167">
        <v>250</v>
      </c>
      <c r="AW24" s="169">
        <f t="shared" si="12"/>
        <v>234.675</v>
      </c>
      <c r="AX24" s="122">
        <f t="shared" si="13"/>
        <v>-15.325</v>
      </c>
    </row>
    <row r="25" spans="1:50">
      <c r="A25" s="121">
        <v>21</v>
      </c>
      <c r="B25" s="168">
        <v>0.2</v>
      </c>
      <c r="C25" s="121">
        <v>0.5</v>
      </c>
      <c r="D25" s="121">
        <f>1.6+0.2</f>
        <v>1.8</v>
      </c>
      <c r="E25" s="121">
        <v>2.4</v>
      </c>
      <c r="F25" s="122">
        <f t="shared" si="15"/>
        <v>381.904761904762</v>
      </c>
      <c r="G25" s="121">
        <v>200</v>
      </c>
      <c r="H25" s="150">
        <f t="shared" si="14"/>
        <v>218.185941043084</v>
      </c>
      <c r="I25" s="150">
        <f t="shared" si="2"/>
        <v>18.1859410430839</v>
      </c>
      <c r="J25" s="159">
        <v>690</v>
      </c>
      <c r="K25" s="155"/>
      <c r="L25" s="121">
        <v>21</v>
      </c>
      <c r="M25" s="168">
        <v>0.2</v>
      </c>
      <c r="N25" s="121">
        <v>0.5</v>
      </c>
      <c r="O25" s="122">
        <v>2.1</v>
      </c>
      <c r="P25" s="121">
        <f t="shared" si="27"/>
        <v>2.7</v>
      </c>
      <c r="Q25" s="122">
        <f t="shared" si="16"/>
        <v>434.761904761905</v>
      </c>
      <c r="R25" s="121">
        <v>250</v>
      </c>
      <c r="S25" s="150">
        <f t="shared" si="7"/>
        <v>270.702947845805</v>
      </c>
      <c r="T25" s="159">
        <v>690</v>
      </c>
      <c r="U25" s="155"/>
      <c r="V25" s="121">
        <v>21</v>
      </c>
      <c r="W25" s="168">
        <v>0.3</v>
      </c>
      <c r="X25" s="121">
        <v>0.5</v>
      </c>
      <c r="Y25" s="122">
        <v>2.7</v>
      </c>
      <c r="Z25" s="122">
        <v>3</v>
      </c>
      <c r="AA25" s="122">
        <f t="shared" si="17"/>
        <v>564.285714285714</v>
      </c>
      <c r="AB25" s="121">
        <v>250</v>
      </c>
      <c r="AC25" s="150">
        <f t="shared" si="8"/>
        <v>276.87074829932</v>
      </c>
      <c r="AD25" s="150">
        <v>700</v>
      </c>
      <c r="AE25" s="155"/>
      <c r="AF25" s="121">
        <v>21</v>
      </c>
      <c r="AG25" s="168">
        <v>0.3</v>
      </c>
      <c r="AH25" s="122">
        <f t="shared" si="9"/>
        <v>0.65</v>
      </c>
      <c r="AI25" s="122">
        <v>3.1</v>
      </c>
      <c r="AJ25" s="121">
        <v>3.3</v>
      </c>
      <c r="AK25" s="122">
        <f t="shared" si="18"/>
        <v>633.333333333333</v>
      </c>
      <c r="AL25" s="121">
        <v>250</v>
      </c>
      <c r="AM25" s="150">
        <f t="shared" si="10"/>
        <v>230.15873015873</v>
      </c>
      <c r="AN25" s="150">
        <v>720</v>
      </c>
      <c r="AO25" s="155"/>
      <c r="AP25" s="121">
        <v>21</v>
      </c>
      <c r="AQ25" s="168">
        <v>0.3</v>
      </c>
      <c r="AR25" s="121">
        <f t="shared" si="29"/>
        <v>0.75</v>
      </c>
      <c r="AS25" s="122">
        <v>3.5</v>
      </c>
      <c r="AT25" s="121">
        <v>3.5</v>
      </c>
      <c r="AU25" s="122">
        <f t="shared" si="19"/>
        <v>700.952380952381</v>
      </c>
      <c r="AV25" s="121">
        <v>250</v>
      </c>
      <c r="AW25" s="150">
        <f t="shared" si="12"/>
        <v>233.378684807256</v>
      </c>
      <c r="AX25" s="122">
        <f t="shared" si="13"/>
        <v>-16.6213151927438</v>
      </c>
    </row>
    <row r="26" spans="1:50">
      <c r="A26" s="121">
        <v>22</v>
      </c>
      <c r="B26" s="168">
        <v>0.2</v>
      </c>
      <c r="C26" s="121">
        <v>0.5</v>
      </c>
      <c r="D26" s="121">
        <f>1.8+0.2</f>
        <v>2</v>
      </c>
      <c r="E26" s="121">
        <v>2.4</v>
      </c>
      <c r="F26" s="122">
        <f t="shared" si="15"/>
        <v>395.454545454545</v>
      </c>
      <c r="G26" s="121">
        <v>200</v>
      </c>
      <c r="H26" s="150">
        <f t="shared" si="14"/>
        <v>217.97520661157</v>
      </c>
      <c r="I26" s="150">
        <f t="shared" si="2"/>
        <v>17.9752066115702</v>
      </c>
      <c r="J26" s="159">
        <v>690</v>
      </c>
      <c r="K26" s="155"/>
      <c r="L26" s="121">
        <v>22</v>
      </c>
      <c r="M26" s="168">
        <v>0.2</v>
      </c>
      <c r="N26" s="121">
        <v>0.5</v>
      </c>
      <c r="O26" s="122">
        <f t="shared" si="22"/>
        <v>2.1</v>
      </c>
      <c r="P26" s="121">
        <f t="shared" si="27"/>
        <v>2.7</v>
      </c>
      <c r="Q26" s="122">
        <f t="shared" si="16"/>
        <v>415</v>
      </c>
      <c r="R26" s="121">
        <v>250</v>
      </c>
      <c r="S26" s="150">
        <f t="shared" si="7"/>
        <v>268.863636363636</v>
      </c>
      <c r="T26" s="159">
        <v>690</v>
      </c>
      <c r="U26" s="155"/>
      <c r="V26" s="121">
        <v>22</v>
      </c>
      <c r="W26" s="168">
        <v>0.3</v>
      </c>
      <c r="X26" s="121">
        <v>0.5</v>
      </c>
      <c r="Y26" s="122">
        <v>3</v>
      </c>
      <c r="Z26" s="121">
        <v>3.1</v>
      </c>
      <c r="AA26" s="122">
        <f t="shared" si="17"/>
        <v>586.363636363636</v>
      </c>
      <c r="AB26" s="121">
        <v>250</v>
      </c>
      <c r="AC26" s="150">
        <f t="shared" si="8"/>
        <v>276.652892561983</v>
      </c>
      <c r="AD26" s="150">
        <v>700</v>
      </c>
      <c r="AE26" s="155"/>
      <c r="AF26" s="121">
        <v>22</v>
      </c>
      <c r="AG26" s="168">
        <v>0.3</v>
      </c>
      <c r="AH26" s="122">
        <f t="shared" si="9"/>
        <v>0.65</v>
      </c>
      <c r="AI26" s="122">
        <v>3.3</v>
      </c>
      <c r="AJ26" s="121">
        <v>3.3</v>
      </c>
      <c r="AK26" s="122">
        <f t="shared" si="18"/>
        <v>635.454545454545</v>
      </c>
      <c r="AL26" s="121">
        <v>250</v>
      </c>
      <c r="AM26" s="150">
        <f t="shared" si="10"/>
        <v>228.884297520661</v>
      </c>
      <c r="AN26" s="150">
        <v>720</v>
      </c>
      <c r="AO26" s="155"/>
      <c r="AP26" s="121">
        <v>22</v>
      </c>
      <c r="AQ26" s="168">
        <v>0.3</v>
      </c>
      <c r="AR26" s="121">
        <f t="shared" si="29"/>
        <v>0.75</v>
      </c>
      <c r="AS26" s="122">
        <f t="shared" si="11"/>
        <v>3.75</v>
      </c>
      <c r="AT26" s="121">
        <v>3.6</v>
      </c>
      <c r="AU26" s="122">
        <f t="shared" si="19"/>
        <v>709.090909090909</v>
      </c>
      <c r="AV26" s="121">
        <v>250</v>
      </c>
      <c r="AW26" s="150">
        <f t="shared" si="12"/>
        <v>232.231404958678</v>
      </c>
      <c r="AX26" s="122">
        <f t="shared" si="13"/>
        <v>-17.7685950413223</v>
      </c>
    </row>
    <row r="27" spans="1:50">
      <c r="A27" s="121">
        <v>23</v>
      </c>
      <c r="B27" s="168">
        <v>0.2</v>
      </c>
      <c r="C27" s="121">
        <v>0.5</v>
      </c>
      <c r="D27" s="121">
        <f>1.8+0.2</f>
        <v>2</v>
      </c>
      <c r="E27" s="121">
        <v>2.6</v>
      </c>
      <c r="F27" s="122">
        <f t="shared" si="15"/>
        <v>380.869565217391</v>
      </c>
      <c r="G27" s="121">
        <v>200</v>
      </c>
      <c r="H27" s="150">
        <f t="shared" si="14"/>
        <v>216.5595463138</v>
      </c>
      <c r="I27" s="150">
        <f t="shared" si="2"/>
        <v>16.5595463137996</v>
      </c>
      <c r="J27" s="159">
        <v>690</v>
      </c>
      <c r="K27" s="155"/>
      <c r="L27" s="121">
        <v>23</v>
      </c>
      <c r="M27" s="168">
        <v>0.2</v>
      </c>
      <c r="N27" s="121">
        <v>0.5</v>
      </c>
      <c r="O27" s="122">
        <v>2.2</v>
      </c>
      <c r="P27" s="121">
        <f t="shared" si="27"/>
        <v>2.9</v>
      </c>
      <c r="Q27" s="122">
        <f t="shared" si="16"/>
        <v>414.347826086957</v>
      </c>
      <c r="R27" s="121">
        <v>250</v>
      </c>
      <c r="S27" s="150">
        <f t="shared" si="7"/>
        <v>268.015122873346</v>
      </c>
      <c r="T27" s="159">
        <v>690</v>
      </c>
      <c r="U27" s="155"/>
      <c r="V27" s="121">
        <v>23</v>
      </c>
      <c r="W27" s="168">
        <v>0.3</v>
      </c>
      <c r="X27" s="121">
        <v>0.5</v>
      </c>
      <c r="Y27" s="122">
        <v>3.1</v>
      </c>
      <c r="Z27" s="121">
        <v>3.3</v>
      </c>
      <c r="AA27" s="122">
        <f t="shared" si="17"/>
        <v>578.260869565217</v>
      </c>
      <c r="AB27" s="121">
        <v>250</v>
      </c>
      <c r="AC27" s="150">
        <f t="shared" si="8"/>
        <v>275.141776937618</v>
      </c>
      <c r="AD27" s="150">
        <v>700</v>
      </c>
      <c r="AE27" s="155"/>
      <c r="AF27" s="121">
        <v>23</v>
      </c>
      <c r="AG27" s="168">
        <v>0.3</v>
      </c>
      <c r="AH27" s="122">
        <f t="shared" si="9"/>
        <v>0.65</v>
      </c>
      <c r="AI27" s="122">
        <v>3.5</v>
      </c>
      <c r="AJ27" s="121">
        <v>3.4</v>
      </c>
      <c r="AK27" s="122">
        <f t="shared" si="18"/>
        <v>638.695652173913</v>
      </c>
      <c r="AL27" s="121">
        <v>250</v>
      </c>
      <c r="AM27" s="150">
        <f t="shared" si="10"/>
        <v>227.769376181474</v>
      </c>
      <c r="AN27" s="150">
        <v>720</v>
      </c>
      <c r="AO27" s="155"/>
      <c r="AP27" s="121">
        <v>23</v>
      </c>
      <c r="AQ27" s="168">
        <v>0.3</v>
      </c>
      <c r="AR27" s="121">
        <f t="shared" si="29"/>
        <v>0.75</v>
      </c>
      <c r="AS27" s="122">
        <f t="shared" si="11"/>
        <v>3.875</v>
      </c>
      <c r="AT27" s="121">
        <v>3.8</v>
      </c>
      <c r="AU27" s="122">
        <f t="shared" si="19"/>
        <v>699.347826086957</v>
      </c>
      <c r="AV27" s="121">
        <v>250</v>
      </c>
      <c r="AW27" s="150">
        <f t="shared" si="12"/>
        <v>230.406427221172</v>
      </c>
      <c r="AX27" s="122">
        <f t="shared" si="13"/>
        <v>-19.593572778828</v>
      </c>
    </row>
    <row r="28" spans="1:50">
      <c r="A28" s="121">
        <v>24</v>
      </c>
      <c r="B28" s="168">
        <v>0.2</v>
      </c>
      <c r="C28" s="121">
        <v>0.5</v>
      </c>
      <c r="D28" s="121">
        <f>2+0.2</f>
        <v>2.2</v>
      </c>
      <c r="E28" s="121">
        <v>2.6</v>
      </c>
      <c r="F28" s="122">
        <f t="shared" si="15"/>
        <v>393.333333333333</v>
      </c>
      <c r="G28" s="121">
        <v>200</v>
      </c>
      <c r="H28" s="150">
        <f t="shared" si="14"/>
        <v>216.388888888889</v>
      </c>
      <c r="I28" s="150">
        <f t="shared" si="2"/>
        <v>16.3888888888889</v>
      </c>
      <c r="J28" s="159">
        <v>690</v>
      </c>
      <c r="K28" s="155"/>
      <c r="L28" s="121">
        <v>24</v>
      </c>
      <c r="M28" s="168">
        <v>0.2</v>
      </c>
      <c r="N28" s="121">
        <v>0.5</v>
      </c>
      <c r="O28" s="122">
        <f t="shared" si="22"/>
        <v>2.3</v>
      </c>
      <c r="P28" s="121">
        <f t="shared" si="27"/>
        <v>2.9</v>
      </c>
      <c r="Q28" s="122">
        <f t="shared" si="16"/>
        <v>411.25</v>
      </c>
      <c r="R28" s="121">
        <v>250</v>
      </c>
      <c r="S28" s="150">
        <f t="shared" si="7"/>
        <v>267.135416666667</v>
      </c>
      <c r="T28" s="159">
        <v>690</v>
      </c>
      <c r="U28" s="155"/>
      <c r="V28" s="121">
        <v>24</v>
      </c>
      <c r="W28" s="168">
        <v>0.3</v>
      </c>
      <c r="X28" s="121">
        <v>0.5</v>
      </c>
      <c r="Y28" s="122">
        <v>3.1</v>
      </c>
      <c r="Z28" s="121">
        <f>P28+0.3+0.2</f>
        <v>3.4</v>
      </c>
      <c r="AA28" s="122">
        <f t="shared" si="17"/>
        <v>555.416666666667</v>
      </c>
      <c r="AB28" s="121">
        <v>250</v>
      </c>
      <c r="AC28" s="150">
        <f t="shared" si="8"/>
        <v>273.142361111111</v>
      </c>
      <c r="AD28" s="150">
        <v>700</v>
      </c>
      <c r="AE28" s="155"/>
      <c r="AF28" s="121">
        <v>24</v>
      </c>
      <c r="AG28" s="168">
        <v>0.3</v>
      </c>
      <c r="AH28" s="122">
        <f t="shared" si="9"/>
        <v>0.65</v>
      </c>
      <c r="AI28" s="122">
        <v>3.6</v>
      </c>
      <c r="AJ28" s="121">
        <v>3.6</v>
      </c>
      <c r="AK28" s="122">
        <f t="shared" si="18"/>
        <v>628.75</v>
      </c>
      <c r="AL28" s="121">
        <v>250</v>
      </c>
      <c r="AM28" s="150">
        <f t="shared" si="10"/>
        <v>226.197916666667</v>
      </c>
      <c r="AN28" s="150">
        <v>720</v>
      </c>
      <c r="AO28" s="155"/>
      <c r="AP28" s="121">
        <v>24</v>
      </c>
      <c r="AQ28" s="168">
        <v>0.3</v>
      </c>
      <c r="AR28" s="121">
        <f t="shared" si="29"/>
        <v>0.75</v>
      </c>
      <c r="AS28" s="122">
        <f t="shared" si="11"/>
        <v>3.875</v>
      </c>
      <c r="AT28" s="122">
        <v>4</v>
      </c>
      <c r="AU28" s="122">
        <f t="shared" si="19"/>
        <v>672.708333333333</v>
      </c>
      <c r="AV28" s="121">
        <v>250</v>
      </c>
      <c r="AW28" s="150">
        <f t="shared" si="12"/>
        <v>228.029513888889</v>
      </c>
      <c r="AX28" s="122">
        <f t="shared" si="13"/>
        <v>-21.9704861111111</v>
      </c>
    </row>
    <row r="29" s="148" customFormat="1" spans="1:50">
      <c r="A29" s="121">
        <v>25</v>
      </c>
      <c r="B29" s="168">
        <v>0.2</v>
      </c>
      <c r="C29" s="121">
        <v>0.5</v>
      </c>
      <c r="D29" s="121">
        <f>2+0.2</f>
        <v>2.2</v>
      </c>
      <c r="E29" s="121">
        <v>3</v>
      </c>
      <c r="F29" s="122">
        <f t="shared" si="15"/>
        <v>382.4</v>
      </c>
      <c r="G29" s="121">
        <v>200</v>
      </c>
      <c r="H29" s="150">
        <f t="shared" si="14"/>
        <v>215.296</v>
      </c>
      <c r="I29" s="150">
        <f t="shared" si="2"/>
        <v>15.296</v>
      </c>
      <c r="J29" s="159">
        <v>690</v>
      </c>
      <c r="K29" s="155"/>
      <c r="L29" s="121">
        <v>25</v>
      </c>
      <c r="M29" s="168">
        <v>0.2</v>
      </c>
      <c r="N29" s="121">
        <v>0.5</v>
      </c>
      <c r="O29" s="122">
        <f t="shared" si="22"/>
        <v>2.3</v>
      </c>
      <c r="P29" s="121">
        <f t="shared" ref="P29:P48" si="30">E29+0.4</f>
        <v>3.4</v>
      </c>
      <c r="Q29" s="122">
        <f t="shared" si="16"/>
        <v>400.8</v>
      </c>
      <c r="R29" s="121">
        <v>250</v>
      </c>
      <c r="S29" s="150">
        <f t="shared" si="7"/>
        <v>266.032</v>
      </c>
      <c r="T29" s="159">
        <v>690</v>
      </c>
      <c r="U29" s="155"/>
      <c r="V29" s="121">
        <v>25</v>
      </c>
      <c r="W29" s="168">
        <v>0.3</v>
      </c>
      <c r="X29" s="121">
        <v>0.5</v>
      </c>
      <c r="Y29" s="122">
        <v>3.2</v>
      </c>
      <c r="Z29" s="121">
        <f>P29+0.2</f>
        <v>3.6</v>
      </c>
      <c r="AA29" s="122">
        <f t="shared" si="17"/>
        <v>549.2</v>
      </c>
      <c r="AB29" s="121">
        <v>250</v>
      </c>
      <c r="AC29" s="150">
        <f t="shared" si="8"/>
        <v>271.968</v>
      </c>
      <c r="AD29" s="150">
        <v>700</v>
      </c>
      <c r="AE29" s="155"/>
      <c r="AF29" s="121">
        <v>25</v>
      </c>
      <c r="AG29" s="168">
        <v>0.3</v>
      </c>
      <c r="AH29" s="122">
        <f t="shared" si="9"/>
        <v>0.65</v>
      </c>
      <c r="AI29" s="122">
        <v>3.8</v>
      </c>
      <c r="AJ29" s="121">
        <v>4.2</v>
      </c>
      <c r="AK29" s="122">
        <f t="shared" si="18"/>
        <v>638</v>
      </c>
      <c r="AL29" s="121">
        <v>250</v>
      </c>
      <c r="AM29" s="150">
        <f t="shared" si="10"/>
        <v>225.52</v>
      </c>
      <c r="AN29" s="150">
        <v>720</v>
      </c>
      <c r="AO29" s="155"/>
      <c r="AP29" s="121">
        <v>25</v>
      </c>
      <c r="AQ29" s="168">
        <v>0.3</v>
      </c>
      <c r="AR29" s="121">
        <f t="shared" si="29"/>
        <v>0.75</v>
      </c>
      <c r="AS29" s="122">
        <f t="shared" si="11"/>
        <v>4</v>
      </c>
      <c r="AT29" s="121">
        <f t="shared" si="24"/>
        <v>4.2</v>
      </c>
      <c r="AU29" s="122">
        <f t="shared" si="19"/>
        <v>665.2</v>
      </c>
      <c r="AV29" s="121">
        <v>250</v>
      </c>
      <c r="AW29" s="150">
        <f t="shared" si="12"/>
        <v>226.608</v>
      </c>
      <c r="AX29" s="122">
        <f t="shared" si="13"/>
        <v>-23.392</v>
      </c>
    </row>
    <row r="30" spans="1:50">
      <c r="A30" s="121">
        <v>26</v>
      </c>
      <c r="B30" s="168">
        <v>0.2</v>
      </c>
      <c r="C30" s="121">
        <v>0.5</v>
      </c>
      <c r="D30" s="121">
        <f>2.2+0.2</f>
        <v>2.4</v>
      </c>
      <c r="E30" s="121">
        <v>3</v>
      </c>
      <c r="F30" s="122">
        <f t="shared" si="15"/>
        <v>393.846153846154</v>
      </c>
      <c r="G30" s="121">
        <v>200</v>
      </c>
      <c r="H30" s="150">
        <f t="shared" si="14"/>
        <v>215.147928994083</v>
      </c>
      <c r="I30" s="150">
        <f t="shared" si="2"/>
        <v>15.1479289940829</v>
      </c>
      <c r="J30" s="159">
        <v>690</v>
      </c>
      <c r="K30" s="155"/>
      <c r="L30" s="121">
        <v>26</v>
      </c>
      <c r="M30" s="168">
        <v>0.2</v>
      </c>
      <c r="N30" s="121">
        <v>0.6</v>
      </c>
      <c r="O30" s="122">
        <f t="shared" si="22"/>
        <v>2.5</v>
      </c>
      <c r="P30" s="121">
        <f t="shared" si="30"/>
        <v>3.4</v>
      </c>
      <c r="Q30" s="122">
        <f t="shared" si="16"/>
        <v>411.538461538462</v>
      </c>
      <c r="R30" s="121">
        <v>250</v>
      </c>
      <c r="S30" s="150">
        <f t="shared" si="7"/>
        <v>265.828402366864</v>
      </c>
      <c r="T30" s="159">
        <v>690</v>
      </c>
      <c r="U30" s="155"/>
      <c r="V30" s="121">
        <v>26</v>
      </c>
      <c r="W30" s="168">
        <v>0.3</v>
      </c>
      <c r="X30" s="121">
        <v>0.6</v>
      </c>
      <c r="Y30" s="122">
        <v>3.3</v>
      </c>
      <c r="Z30" s="121">
        <f>P30+0.4+0.1</f>
        <v>3.9</v>
      </c>
      <c r="AA30" s="122">
        <f t="shared" si="17"/>
        <v>544.615384615385</v>
      </c>
      <c r="AB30" s="121">
        <v>250</v>
      </c>
      <c r="AC30" s="150">
        <f t="shared" si="8"/>
        <v>270.94674556213</v>
      </c>
      <c r="AD30" s="150">
        <v>700</v>
      </c>
      <c r="AE30" s="155"/>
      <c r="AF30" s="121">
        <v>26</v>
      </c>
      <c r="AG30" s="168">
        <v>0.3</v>
      </c>
      <c r="AH30" s="122">
        <f t="shared" si="9"/>
        <v>0.78</v>
      </c>
      <c r="AI30" s="122">
        <v>3.9</v>
      </c>
      <c r="AJ30" s="121">
        <f t="shared" ref="AJ30:AJ48" si="31">Z30+0.4</f>
        <v>4.3</v>
      </c>
      <c r="AK30" s="122">
        <f t="shared" si="18"/>
        <v>627.692307692308</v>
      </c>
      <c r="AL30" s="121">
        <v>250</v>
      </c>
      <c r="AM30" s="150">
        <f t="shared" si="10"/>
        <v>224.14201183432</v>
      </c>
      <c r="AN30" s="150">
        <v>720</v>
      </c>
      <c r="AO30" s="155"/>
      <c r="AP30" s="121">
        <v>26</v>
      </c>
      <c r="AQ30" s="168">
        <v>0.3</v>
      </c>
      <c r="AR30" s="121">
        <f t="shared" si="29"/>
        <v>0.88</v>
      </c>
      <c r="AS30" s="122">
        <v>4.2</v>
      </c>
      <c r="AT30" s="121">
        <f t="shared" si="24"/>
        <v>4.3</v>
      </c>
      <c r="AU30" s="122">
        <f t="shared" si="19"/>
        <v>666.923076923077</v>
      </c>
      <c r="AV30" s="121">
        <v>250</v>
      </c>
      <c r="AW30" s="150">
        <f t="shared" si="12"/>
        <v>225.650887573964</v>
      </c>
      <c r="AX30" s="122">
        <f t="shared" si="13"/>
        <v>-24.3491124260355</v>
      </c>
    </row>
    <row r="31" spans="1:50">
      <c r="A31" s="121">
        <v>27</v>
      </c>
      <c r="B31" s="168">
        <v>0.2</v>
      </c>
      <c r="C31" s="121">
        <v>0.5</v>
      </c>
      <c r="D31" s="121">
        <f>2.2+0.2</f>
        <v>2.4</v>
      </c>
      <c r="E31" s="121">
        <v>3.2</v>
      </c>
      <c r="F31" s="122">
        <f t="shared" si="15"/>
        <v>381.481481481481</v>
      </c>
      <c r="G31" s="121">
        <v>200</v>
      </c>
      <c r="H31" s="150">
        <f t="shared" si="14"/>
        <v>214.128943758573</v>
      </c>
      <c r="I31" s="150">
        <f t="shared" si="2"/>
        <v>14.1289437585734</v>
      </c>
      <c r="J31" s="159">
        <v>690</v>
      </c>
      <c r="K31" s="155"/>
      <c r="L31" s="121">
        <v>27</v>
      </c>
      <c r="M31" s="168">
        <v>0.2</v>
      </c>
      <c r="N31" s="121">
        <v>0.6</v>
      </c>
      <c r="O31" s="122">
        <f t="shared" si="22"/>
        <v>2.5</v>
      </c>
      <c r="P31" s="121">
        <f t="shared" si="30"/>
        <v>3.6</v>
      </c>
      <c r="Q31" s="122">
        <f t="shared" si="16"/>
        <v>398.518518518519</v>
      </c>
      <c r="R31" s="121">
        <v>250</v>
      </c>
      <c r="S31" s="150">
        <f t="shared" si="7"/>
        <v>264.759945130315</v>
      </c>
      <c r="T31" s="159">
        <v>690</v>
      </c>
      <c r="U31" s="155"/>
      <c r="V31" s="121">
        <v>27</v>
      </c>
      <c r="W31" s="168">
        <v>0.3</v>
      </c>
      <c r="X31" s="121">
        <v>0.6</v>
      </c>
      <c r="Y31" s="122">
        <v>3.5</v>
      </c>
      <c r="Z31" s="121">
        <f t="shared" ref="Z31:Z32" si="32">P31+0.4</f>
        <v>4</v>
      </c>
      <c r="AA31" s="122">
        <f t="shared" si="17"/>
        <v>550.740740740741</v>
      </c>
      <c r="AB31" s="121">
        <v>250</v>
      </c>
      <c r="AC31" s="150">
        <f t="shared" si="8"/>
        <v>270.39780521262</v>
      </c>
      <c r="AD31" s="150">
        <v>700</v>
      </c>
      <c r="AE31" s="155"/>
      <c r="AF31" s="121">
        <v>27</v>
      </c>
      <c r="AG31" s="168">
        <v>0.3</v>
      </c>
      <c r="AH31" s="122">
        <f t="shared" si="9"/>
        <v>0.78</v>
      </c>
      <c r="AI31" s="122">
        <v>4.1</v>
      </c>
      <c r="AJ31" s="121">
        <f t="shared" si="31"/>
        <v>4.4</v>
      </c>
      <c r="AK31" s="122">
        <f t="shared" si="18"/>
        <v>630.740740740741</v>
      </c>
      <c r="AL31" s="121">
        <v>250</v>
      </c>
      <c r="AM31" s="150">
        <f t="shared" si="10"/>
        <v>223.360768175583</v>
      </c>
      <c r="AN31" s="150">
        <v>720</v>
      </c>
      <c r="AO31" s="155"/>
      <c r="AP31" s="121">
        <v>27</v>
      </c>
      <c r="AQ31" s="168">
        <v>0.3</v>
      </c>
      <c r="AR31" s="121">
        <f t="shared" si="29"/>
        <v>0.88</v>
      </c>
      <c r="AS31" s="122">
        <v>4.5</v>
      </c>
      <c r="AT31" s="121">
        <f t="shared" si="24"/>
        <v>4.4</v>
      </c>
      <c r="AU31" s="122">
        <f t="shared" si="19"/>
        <v>681.111111111111</v>
      </c>
      <c r="AV31" s="121">
        <v>250</v>
      </c>
      <c r="AW31" s="150">
        <f t="shared" si="12"/>
        <v>225.22633744856</v>
      </c>
      <c r="AX31" s="122">
        <f t="shared" si="13"/>
        <v>-24.7736625514403</v>
      </c>
    </row>
    <row r="32" spans="1:50">
      <c r="A32" s="121">
        <v>28</v>
      </c>
      <c r="B32" s="168">
        <v>0.2</v>
      </c>
      <c r="C32" s="121">
        <v>0.5</v>
      </c>
      <c r="D32" s="121">
        <f>2.4+0.2</f>
        <v>2.6</v>
      </c>
      <c r="E32" s="121">
        <v>3.2</v>
      </c>
      <c r="F32" s="122">
        <f t="shared" si="15"/>
        <v>392.142857142857</v>
      </c>
      <c r="G32" s="121">
        <v>200</v>
      </c>
      <c r="H32" s="150">
        <f t="shared" si="14"/>
        <v>214.005102040816</v>
      </c>
      <c r="I32" s="150">
        <f t="shared" si="2"/>
        <v>14.0051020408163</v>
      </c>
      <c r="J32" s="159">
        <v>690</v>
      </c>
      <c r="K32" s="155"/>
      <c r="L32" s="121">
        <v>28</v>
      </c>
      <c r="M32" s="168">
        <v>0.2</v>
      </c>
      <c r="N32" s="121">
        <v>0.6</v>
      </c>
      <c r="O32" s="122">
        <f t="shared" si="22"/>
        <v>2.7</v>
      </c>
      <c r="P32" s="121">
        <f t="shared" si="30"/>
        <v>3.6</v>
      </c>
      <c r="Q32" s="122">
        <f t="shared" si="16"/>
        <v>408.571428571429</v>
      </c>
      <c r="R32" s="121">
        <v>250</v>
      </c>
      <c r="S32" s="150">
        <f t="shared" si="7"/>
        <v>264.591836734694</v>
      </c>
      <c r="T32" s="159">
        <v>690</v>
      </c>
      <c r="U32" s="155"/>
      <c r="V32" s="121">
        <v>28</v>
      </c>
      <c r="W32" s="168">
        <v>0.3</v>
      </c>
      <c r="X32" s="121">
        <v>0.6</v>
      </c>
      <c r="Y32" s="122">
        <v>3.7</v>
      </c>
      <c r="Z32" s="121">
        <f t="shared" si="32"/>
        <v>4</v>
      </c>
      <c r="AA32" s="122">
        <f t="shared" si="17"/>
        <v>555.357142857143</v>
      </c>
      <c r="AB32" s="121">
        <v>250</v>
      </c>
      <c r="AC32" s="150">
        <f t="shared" si="8"/>
        <v>269.834183673469</v>
      </c>
      <c r="AD32" s="150">
        <v>700</v>
      </c>
      <c r="AE32" s="155"/>
      <c r="AF32" s="121">
        <v>28</v>
      </c>
      <c r="AG32" s="168">
        <v>0.3</v>
      </c>
      <c r="AH32" s="122">
        <f t="shared" si="9"/>
        <v>0.78</v>
      </c>
      <c r="AI32" s="122">
        <v>4.2</v>
      </c>
      <c r="AJ32" s="121">
        <f t="shared" si="31"/>
        <v>4.4</v>
      </c>
      <c r="AK32" s="122">
        <f t="shared" si="18"/>
        <v>620.357142857143</v>
      </c>
      <c r="AL32" s="121">
        <v>250</v>
      </c>
      <c r="AM32" s="150">
        <f t="shared" si="10"/>
        <v>222.155612244898</v>
      </c>
      <c r="AN32" s="150">
        <v>720</v>
      </c>
      <c r="AO32" s="155"/>
      <c r="AP32" s="121">
        <v>28</v>
      </c>
      <c r="AQ32" s="168">
        <v>0.3</v>
      </c>
      <c r="AR32" s="121">
        <f t="shared" si="29"/>
        <v>0.88</v>
      </c>
      <c r="AS32" s="122">
        <f t="shared" si="11"/>
        <v>4.625</v>
      </c>
      <c r="AT32" s="121">
        <f t="shared" si="24"/>
        <v>4.4</v>
      </c>
      <c r="AU32" s="122">
        <f t="shared" si="19"/>
        <v>671.964285714286</v>
      </c>
      <c r="AV32" s="121">
        <v>250</v>
      </c>
      <c r="AW32" s="150">
        <f t="shared" si="12"/>
        <v>223.998724489796</v>
      </c>
      <c r="AX32" s="122">
        <f t="shared" si="13"/>
        <v>-26.0012755102041</v>
      </c>
    </row>
    <row r="33" spans="1:50">
      <c r="A33" s="121">
        <v>29</v>
      </c>
      <c r="B33" s="168">
        <v>0.2</v>
      </c>
      <c r="C33" s="121">
        <v>0.5</v>
      </c>
      <c r="D33" s="121">
        <f>2.4+0.2</f>
        <v>2.6</v>
      </c>
      <c r="E33" s="121">
        <v>3.4</v>
      </c>
      <c r="F33" s="122">
        <f t="shared" si="15"/>
        <v>380.689655172414</v>
      </c>
      <c r="G33" s="121">
        <v>200</v>
      </c>
      <c r="H33" s="150">
        <f t="shared" si="14"/>
        <v>213.127229488704</v>
      </c>
      <c r="I33" s="150">
        <f t="shared" si="2"/>
        <v>13.1272294887039</v>
      </c>
      <c r="J33" s="159">
        <v>690</v>
      </c>
      <c r="K33" s="155"/>
      <c r="L33" s="121">
        <v>29</v>
      </c>
      <c r="M33" s="168">
        <v>0.2</v>
      </c>
      <c r="N33" s="121">
        <v>0.6</v>
      </c>
      <c r="O33" s="122">
        <f t="shared" si="22"/>
        <v>2.7</v>
      </c>
      <c r="P33" s="121">
        <f t="shared" si="30"/>
        <v>3.8</v>
      </c>
      <c r="Q33" s="122">
        <f t="shared" si="16"/>
        <v>396.551724137931</v>
      </c>
      <c r="R33" s="121">
        <v>250</v>
      </c>
      <c r="S33" s="150">
        <f t="shared" si="7"/>
        <v>263.674197384067</v>
      </c>
      <c r="T33" s="159">
        <v>690</v>
      </c>
      <c r="U33" s="155"/>
      <c r="V33" s="121">
        <v>29</v>
      </c>
      <c r="W33" s="168">
        <v>0.3</v>
      </c>
      <c r="X33" s="121">
        <v>0.6</v>
      </c>
      <c r="Y33" s="122">
        <v>3.9</v>
      </c>
      <c r="Z33" s="121">
        <f>P33+0.3</f>
        <v>4.1</v>
      </c>
      <c r="AA33" s="122">
        <f t="shared" si="17"/>
        <v>560.689655172414</v>
      </c>
      <c r="AB33" s="121">
        <v>250</v>
      </c>
      <c r="AC33" s="150">
        <f t="shared" si="8"/>
        <v>269.334126040428</v>
      </c>
      <c r="AD33" s="150">
        <v>700</v>
      </c>
      <c r="AE33" s="155"/>
      <c r="AF33" s="121">
        <v>29</v>
      </c>
      <c r="AG33" s="168">
        <v>0.3</v>
      </c>
      <c r="AH33" s="122">
        <f t="shared" si="9"/>
        <v>0.78</v>
      </c>
      <c r="AI33" s="122">
        <v>4.3</v>
      </c>
      <c r="AJ33" s="121">
        <f t="shared" si="31"/>
        <v>4.5</v>
      </c>
      <c r="AK33" s="122">
        <f t="shared" si="18"/>
        <v>611.724137931035</v>
      </c>
      <c r="AL33" s="121">
        <v>250</v>
      </c>
      <c r="AM33" s="150">
        <f t="shared" si="10"/>
        <v>221.093935790725</v>
      </c>
      <c r="AN33" s="150">
        <v>720</v>
      </c>
      <c r="AO33" s="155"/>
      <c r="AP33" s="121">
        <v>29</v>
      </c>
      <c r="AQ33" s="168">
        <v>0.3</v>
      </c>
      <c r="AR33" s="121">
        <f t="shared" si="29"/>
        <v>0.88</v>
      </c>
      <c r="AS33" s="122">
        <f t="shared" si="11"/>
        <v>4.875</v>
      </c>
      <c r="AT33" s="121">
        <f t="shared" si="24"/>
        <v>4.5</v>
      </c>
      <c r="AU33" s="122">
        <f t="shared" si="19"/>
        <v>679.137931034483</v>
      </c>
      <c r="AV33" s="121">
        <v>250</v>
      </c>
      <c r="AW33" s="150">
        <f t="shared" si="12"/>
        <v>223.418549346017</v>
      </c>
      <c r="AX33" s="122">
        <f t="shared" si="13"/>
        <v>-26.5814506539834</v>
      </c>
    </row>
    <row r="34" s="149" customFormat="1" spans="1:50">
      <c r="A34" s="167">
        <v>30</v>
      </c>
      <c r="B34" s="168">
        <v>0.3</v>
      </c>
      <c r="C34" s="167">
        <v>0.5</v>
      </c>
      <c r="D34" s="167">
        <v>2.7</v>
      </c>
      <c r="E34" s="167">
        <v>3.4</v>
      </c>
      <c r="F34" s="122">
        <f t="shared" si="15"/>
        <v>399</v>
      </c>
      <c r="G34" s="167">
        <v>200</v>
      </c>
      <c r="H34" s="169">
        <f t="shared" si="14"/>
        <v>213.3</v>
      </c>
      <c r="I34" s="150">
        <f t="shared" si="2"/>
        <v>13.3</v>
      </c>
      <c r="J34" s="170">
        <v>690</v>
      </c>
      <c r="K34" s="171"/>
      <c r="L34" s="167">
        <v>30</v>
      </c>
      <c r="M34" s="168">
        <v>0.3</v>
      </c>
      <c r="N34" s="167">
        <v>0.6</v>
      </c>
      <c r="O34" s="122">
        <v>2.9</v>
      </c>
      <c r="P34" s="167">
        <f t="shared" si="30"/>
        <v>3.8</v>
      </c>
      <c r="Q34" s="122">
        <f t="shared" si="16"/>
        <v>425.666666666667</v>
      </c>
      <c r="R34" s="167">
        <v>250</v>
      </c>
      <c r="S34" s="150">
        <f t="shared" si="7"/>
        <v>264.188888888889</v>
      </c>
      <c r="T34" s="170">
        <v>690</v>
      </c>
      <c r="U34" s="171"/>
      <c r="V34" s="167">
        <v>30</v>
      </c>
      <c r="W34" s="168">
        <v>0.4</v>
      </c>
      <c r="X34" s="167">
        <v>0.6</v>
      </c>
      <c r="Y34" s="168">
        <v>4</v>
      </c>
      <c r="Z34" s="167">
        <v>4.2</v>
      </c>
      <c r="AA34" s="122">
        <f t="shared" si="17"/>
        <v>574</v>
      </c>
      <c r="AB34" s="167">
        <v>250</v>
      </c>
      <c r="AC34" s="169">
        <f t="shared" si="8"/>
        <v>269.133333333333</v>
      </c>
      <c r="AD34" s="169">
        <v>700</v>
      </c>
      <c r="AE34" s="171"/>
      <c r="AF34" s="167">
        <v>30</v>
      </c>
      <c r="AG34" s="168">
        <v>0.5</v>
      </c>
      <c r="AH34" s="122">
        <f t="shared" si="9"/>
        <v>0.78</v>
      </c>
      <c r="AI34" s="122">
        <v>4.3</v>
      </c>
      <c r="AJ34" s="167">
        <f t="shared" si="31"/>
        <v>4.6</v>
      </c>
      <c r="AK34" s="122">
        <f t="shared" si="18"/>
        <v>631.666666666667</v>
      </c>
      <c r="AL34" s="167">
        <v>250</v>
      </c>
      <c r="AM34" s="169">
        <f t="shared" si="10"/>
        <v>221.055555555556</v>
      </c>
      <c r="AN34" s="169">
        <v>720</v>
      </c>
      <c r="AO34" s="171"/>
      <c r="AP34" s="167">
        <v>30</v>
      </c>
      <c r="AQ34" s="168">
        <v>0.5</v>
      </c>
      <c r="AR34" s="167">
        <f t="shared" si="29"/>
        <v>0.88</v>
      </c>
      <c r="AS34" s="122">
        <f t="shared" si="11"/>
        <v>5</v>
      </c>
      <c r="AT34" s="167">
        <f t="shared" si="24"/>
        <v>4.6</v>
      </c>
      <c r="AU34" s="122">
        <f t="shared" si="19"/>
        <v>711</v>
      </c>
      <c r="AV34" s="167">
        <v>250</v>
      </c>
      <c r="AW34" s="169">
        <f t="shared" si="12"/>
        <v>223.7</v>
      </c>
      <c r="AX34" s="122">
        <f t="shared" si="13"/>
        <v>-26.3</v>
      </c>
    </row>
    <row r="35" spans="1:50">
      <c r="A35" s="121">
        <v>31</v>
      </c>
      <c r="B35" s="168">
        <v>0.3</v>
      </c>
      <c r="C35" s="121">
        <v>0.6</v>
      </c>
      <c r="D35" s="121">
        <f>2.6+0.2</f>
        <v>2.8</v>
      </c>
      <c r="E35" s="121">
        <v>3.6</v>
      </c>
      <c r="F35" s="122">
        <f t="shared" si="15"/>
        <v>399.032258064516</v>
      </c>
      <c r="G35" s="121">
        <v>200</v>
      </c>
      <c r="H35" s="150">
        <f t="shared" si="14"/>
        <v>212.872008324662</v>
      </c>
      <c r="I35" s="150">
        <f t="shared" si="2"/>
        <v>12.8720083246618</v>
      </c>
      <c r="J35" s="159">
        <v>690</v>
      </c>
      <c r="K35" s="155"/>
      <c r="L35" s="121">
        <v>31</v>
      </c>
      <c r="M35" s="168">
        <v>0.3</v>
      </c>
      <c r="N35" s="121">
        <f t="shared" ref="N35:N54" si="33">C35+0.1</f>
        <v>0.7</v>
      </c>
      <c r="O35" s="122">
        <f t="shared" si="22"/>
        <v>2.9</v>
      </c>
      <c r="P35" s="121">
        <f>E35+0.2</f>
        <v>3.8</v>
      </c>
      <c r="Q35" s="122">
        <f t="shared" si="16"/>
        <v>411.935483870968</v>
      </c>
      <c r="R35" s="121">
        <v>250</v>
      </c>
      <c r="S35" s="150">
        <f t="shared" si="7"/>
        <v>263.288241415192</v>
      </c>
      <c r="T35" s="159">
        <v>690</v>
      </c>
      <c r="U35" s="155"/>
      <c r="V35" s="121">
        <v>31</v>
      </c>
      <c r="W35" s="168">
        <v>0.4</v>
      </c>
      <c r="X35" s="121">
        <v>0.7</v>
      </c>
      <c r="Y35" s="122">
        <v>4.1</v>
      </c>
      <c r="Z35" s="121">
        <f t="shared" ref="Z35:Z44" si="34">P35+0.4</f>
        <v>4.2</v>
      </c>
      <c r="AA35" s="122">
        <f t="shared" si="17"/>
        <v>566.451612903226</v>
      </c>
      <c r="AB35" s="121">
        <v>250</v>
      </c>
      <c r="AC35" s="150">
        <f t="shared" si="8"/>
        <v>268.272632674298</v>
      </c>
      <c r="AD35" s="150">
        <v>700</v>
      </c>
      <c r="AE35" s="155"/>
      <c r="AF35" s="121">
        <v>31</v>
      </c>
      <c r="AG35" s="168">
        <v>0.5</v>
      </c>
      <c r="AH35" s="122">
        <f t="shared" si="9"/>
        <v>0.91</v>
      </c>
      <c r="AI35" s="122">
        <v>4.5</v>
      </c>
      <c r="AJ35" s="121">
        <f t="shared" si="31"/>
        <v>4.6</v>
      </c>
      <c r="AK35" s="122">
        <f t="shared" si="18"/>
        <v>633.225806451613</v>
      </c>
      <c r="AL35" s="121">
        <v>250</v>
      </c>
      <c r="AM35" s="150">
        <f t="shared" si="10"/>
        <v>220.426638917794</v>
      </c>
      <c r="AN35" s="150">
        <v>720</v>
      </c>
      <c r="AO35" s="155"/>
      <c r="AP35" s="121">
        <v>31</v>
      </c>
      <c r="AQ35" s="168">
        <v>0.5</v>
      </c>
      <c r="AR35" s="121">
        <f t="shared" si="29"/>
        <v>1.01</v>
      </c>
      <c r="AS35" s="122">
        <f t="shared" si="11"/>
        <v>5.125</v>
      </c>
      <c r="AT35" s="121">
        <f t="shared" si="24"/>
        <v>4.6</v>
      </c>
      <c r="AU35" s="122">
        <f t="shared" si="19"/>
        <v>701.774193548387</v>
      </c>
      <c r="AV35" s="121">
        <v>250</v>
      </c>
      <c r="AW35" s="150">
        <f t="shared" si="12"/>
        <v>222.637877211238</v>
      </c>
      <c r="AX35" s="122">
        <f t="shared" si="13"/>
        <v>-27.3621227887617</v>
      </c>
    </row>
    <row r="36" spans="1:50">
      <c r="A36" s="121">
        <v>32</v>
      </c>
      <c r="B36" s="168">
        <v>0.3</v>
      </c>
      <c r="C36" s="121">
        <v>0.6</v>
      </c>
      <c r="D36" s="121">
        <v>2.9</v>
      </c>
      <c r="E36" s="121">
        <v>3.6</v>
      </c>
      <c r="F36" s="122">
        <f t="shared" si="15"/>
        <v>397.1875</v>
      </c>
      <c r="G36" s="121">
        <v>200</v>
      </c>
      <c r="H36" s="150">
        <f t="shared" si="14"/>
        <v>212.412109375</v>
      </c>
      <c r="I36" s="150">
        <f t="shared" si="2"/>
        <v>12.412109375</v>
      </c>
      <c r="J36" s="159">
        <v>690</v>
      </c>
      <c r="K36" s="155"/>
      <c r="L36" s="121">
        <v>32</v>
      </c>
      <c r="M36" s="168">
        <v>0.3</v>
      </c>
      <c r="N36" s="121">
        <f t="shared" si="33"/>
        <v>0.7</v>
      </c>
      <c r="O36" s="122">
        <v>3.1</v>
      </c>
      <c r="P36" s="121">
        <f>E36+0.2</f>
        <v>3.8</v>
      </c>
      <c r="Q36" s="122">
        <f t="shared" si="16"/>
        <v>420.3125</v>
      </c>
      <c r="R36" s="121">
        <v>250</v>
      </c>
      <c r="S36" s="150">
        <f t="shared" si="7"/>
        <v>263.134765625</v>
      </c>
      <c r="T36" s="159">
        <v>690</v>
      </c>
      <c r="U36" s="155"/>
      <c r="V36" s="121">
        <v>32</v>
      </c>
      <c r="W36" s="168">
        <v>0.4</v>
      </c>
      <c r="X36" s="121">
        <v>0.7</v>
      </c>
      <c r="Y36" s="122">
        <v>4.2</v>
      </c>
      <c r="Z36" s="121">
        <f t="shared" si="34"/>
        <v>4.2</v>
      </c>
      <c r="AA36" s="122">
        <f t="shared" si="17"/>
        <v>559.375</v>
      </c>
      <c r="AB36" s="121">
        <v>250</v>
      </c>
      <c r="AC36" s="150">
        <f t="shared" si="8"/>
        <v>267.48046875</v>
      </c>
      <c r="AD36" s="150">
        <v>700</v>
      </c>
      <c r="AE36" s="155"/>
      <c r="AF36" s="121">
        <v>32</v>
      </c>
      <c r="AG36" s="168">
        <v>0.5</v>
      </c>
      <c r="AH36" s="122">
        <f t="shared" si="9"/>
        <v>0.91</v>
      </c>
      <c r="AI36" s="122">
        <v>4.6</v>
      </c>
      <c r="AJ36" s="121">
        <f t="shared" si="31"/>
        <v>4.6</v>
      </c>
      <c r="AK36" s="122">
        <f t="shared" si="18"/>
        <v>624.0625</v>
      </c>
      <c r="AL36" s="121">
        <v>250</v>
      </c>
      <c r="AM36" s="150">
        <f t="shared" si="10"/>
        <v>219.501953125</v>
      </c>
      <c r="AN36" s="150">
        <v>720</v>
      </c>
      <c r="AO36" s="155"/>
      <c r="AP36" s="121">
        <v>32</v>
      </c>
      <c r="AQ36" s="168">
        <v>0.5</v>
      </c>
      <c r="AR36" s="121">
        <f t="shared" si="29"/>
        <v>1.01</v>
      </c>
      <c r="AS36" s="122">
        <f t="shared" si="11"/>
        <v>5.25</v>
      </c>
      <c r="AT36" s="121">
        <f t="shared" si="24"/>
        <v>4.6</v>
      </c>
      <c r="AU36" s="122">
        <f t="shared" si="19"/>
        <v>693.125</v>
      </c>
      <c r="AV36" s="121">
        <v>250</v>
      </c>
      <c r="AW36" s="150">
        <f t="shared" si="12"/>
        <v>221.66015625</v>
      </c>
      <c r="AX36" s="122">
        <f t="shared" si="13"/>
        <v>-28.33984375</v>
      </c>
    </row>
    <row r="37" spans="1:50">
      <c r="A37" s="121">
        <v>33</v>
      </c>
      <c r="B37" s="168">
        <v>0.3</v>
      </c>
      <c r="C37" s="121">
        <v>0.6</v>
      </c>
      <c r="D37" s="121">
        <f>2.8+0.2</f>
        <v>3</v>
      </c>
      <c r="E37" s="121">
        <v>3.8</v>
      </c>
      <c r="F37" s="122">
        <f t="shared" si="15"/>
        <v>397.272727272727</v>
      </c>
      <c r="G37" s="121">
        <v>200</v>
      </c>
      <c r="H37" s="150">
        <f t="shared" si="14"/>
        <v>212.038567493113</v>
      </c>
      <c r="I37" s="150">
        <f t="shared" si="2"/>
        <v>12.0385674931129</v>
      </c>
      <c r="J37" s="159">
        <v>690</v>
      </c>
      <c r="K37" s="155"/>
      <c r="L37" s="121">
        <v>33</v>
      </c>
      <c r="M37" s="168">
        <v>0.3</v>
      </c>
      <c r="N37" s="121">
        <f t="shared" si="33"/>
        <v>0.7</v>
      </c>
      <c r="O37" s="122">
        <f t="shared" si="22"/>
        <v>3.1</v>
      </c>
      <c r="P37" s="121">
        <f>E37+0.2</f>
        <v>4</v>
      </c>
      <c r="Q37" s="122">
        <f t="shared" si="16"/>
        <v>409.393939393939</v>
      </c>
      <c r="R37" s="121">
        <v>250</v>
      </c>
      <c r="S37" s="150">
        <f t="shared" si="7"/>
        <v>262.405876951331</v>
      </c>
      <c r="T37" s="159">
        <v>690</v>
      </c>
      <c r="U37" s="155"/>
      <c r="V37" s="121">
        <v>33</v>
      </c>
      <c r="W37" s="168">
        <v>0.4</v>
      </c>
      <c r="X37" s="121">
        <v>0.7</v>
      </c>
      <c r="Y37" s="122">
        <v>4.3</v>
      </c>
      <c r="Z37" s="121">
        <f t="shared" si="34"/>
        <v>4.4</v>
      </c>
      <c r="AA37" s="122">
        <f t="shared" si="17"/>
        <v>554.545454545455</v>
      </c>
      <c r="AB37" s="121">
        <v>250</v>
      </c>
      <c r="AC37" s="150">
        <f t="shared" si="8"/>
        <v>266.804407713499</v>
      </c>
      <c r="AD37" s="150">
        <v>700</v>
      </c>
      <c r="AE37" s="155"/>
      <c r="AF37" s="121">
        <v>33</v>
      </c>
      <c r="AG37" s="168">
        <v>0.5</v>
      </c>
      <c r="AH37" s="122">
        <f t="shared" ref="AH37:AH54" si="35">X37*1.3</f>
        <v>0.91</v>
      </c>
      <c r="AI37" s="122">
        <v>4.9</v>
      </c>
      <c r="AJ37" s="121">
        <f t="shared" si="31"/>
        <v>4.8</v>
      </c>
      <c r="AK37" s="122">
        <f t="shared" si="18"/>
        <v>637.878787878788</v>
      </c>
      <c r="AL37" s="121">
        <v>250</v>
      </c>
      <c r="AM37" s="150">
        <f t="shared" si="10"/>
        <v>219.329660238751</v>
      </c>
      <c r="AN37" s="150">
        <v>720</v>
      </c>
      <c r="AO37" s="155"/>
      <c r="AP37" s="121">
        <v>33</v>
      </c>
      <c r="AQ37" s="168">
        <v>0.5</v>
      </c>
      <c r="AR37" s="121">
        <f t="shared" si="29"/>
        <v>1.01</v>
      </c>
      <c r="AS37" s="122">
        <f t="shared" ref="AS37:AS54" si="36">Y37*1.25</f>
        <v>5.375</v>
      </c>
      <c r="AT37" s="121">
        <f t="shared" si="24"/>
        <v>4.8</v>
      </c>
      <c r="AU37" s="122">
        <f t="shared" si="19"/>
        <v>686.818181818182</v>
      </c>
      <c r="AV37" s="121">
        <v>250</v>
      </c>
      <c r="AW37" s="150">
        <f t="shared" si="12"/>
        <v>220.812672176309</v>
      </c>
      <c r="AX37" s="122">
        <f t="shared" si="13"/>
        <v>-29.1873278236914</v>
      </c>
    </row>
    <row r="38" spans="1:50">
      <c r="A38" s="121">
        <v>34</v>
      </c>
      <c r="B38" s="168">
        <v>0.3</v>
      </c>
      <c r="C38" s="121">
        <v>0.6</v>
      </c>
      <c r="D38" s="121">
        <v>3.1</v>
      </c>
      <c r="E38" s="121">
        <v>3.8</v>
      </c>
      <c r="F38" s="122">
        <f t="shared" si="15"/>
        <v>395.588235294118</v>
      </c>
      <c r="G38" s="121">
        <v>200</v>
      </c>
      <c r="H38" s="150">
        <f t="shared" si="14"/>
        <v>211.634948096886</v>
      </c>
      <c r="I38" s="150">
        <f t="shared" si="2"/>
        <v>11.6349480968858</v>
      </c>
      <c r="J38" s="159">
        <v>690</v>
      </c>
      <c r="K38" s="155"/>
      <c r="L38" s="121">
        <v>34</v>
      </c>
      <c r="M38" s="168">
        <v>0.3</v>
      </c>
      <c r="N38" s="121">
        <f t="shared" si="33"/>
        <v>0.7</v>
      </c>
      <c r="O38" s="122">
        <v>3.3</v>
      </c>
      <c r="P38" s="121">
        <f>E38+0.2</f>
        <v>4</v>
      </c>
      <c r="Q38" s="122">
        <f t="shared" si="16"/>
        <v>417.352941176471</v>
      </c>
      <c r="R38" s="121">
        <v>250</v>
      </c>
      <c r="S38" s="150">
        <f t="shared" si="7"/>
        <v>262.27508650519</v>
      </c>
      <c r="T38" s="159">
        <v>690</v>
      </c>
      <c r="U38" s="155"/>
      <c r="V38" s="121">
        <v>34</v>
      </c>
      <c r="W38" s="168">
        <v>0.4</v>
      </c>
      <c r="X38" s="121">
        <v>0.7</v>
      </c>
      <c r="Y38" s="122">
        <v>4.4</v>
      </c>
      <c r="Z38" s="121">
        <f t="shared" si="34"/>
        <v>4.4</v>
      </c>
      <c r="AA38" s="122">
        <f t="shared" si="17"/>
        <v>548.235294117647</v>
      </c>
      <c r="AB38" s="121">
        <v>250</v>
      </c>
      <c r="AC38" s="150">
        <f t="shared" si="8"/>
        <v>266.124567474048</v>
      </c>
      <c r="AD38" s="150">
        <v>700</v>
      </c>
      <c r="AE38" s="155"/>
      <c r="AF38" s="121">
        <v>34</v>
      </c>
      <c r="AG38" s="168">
        <v>0.5</v>
      </c>
      <c r="AH38" s="122">
        <f t="shared" si="35"/>
        <v>0.91</v>
      </c>
      <c r="AI38" s="122">
        <v>5.1</v>
      </c>
      <c r="AJ38" s="121">
        <f t="shared" si="31"/>
        <v>4.8</v>
      </c>
      <c r="AK38" s="122">
        <f t="shared" si="18"/>
        <v>639.117647058824</v>
      </c>
      <c r="AL38" s="121">
        <v>250</v>
      </c>
      <c r="AM38" s="150">
        <f t="shared" si="10"/>
        <v>218.797577854671</v>
      </c>
      <c r="AN38" s="150">
        <v>720</v>
      </c>
      <c r="AO38" s="155"/>
      <c r="AP38" s="121">
        <v>34</v>
      </c>
      <c r="AQ38" s="168">
        <v>0.5</v>
      </c>
      <c r="AR38" s="121">
        <f t="shared" si="29"/>
        <v>1.01</v>
      </c>
      <c r="AS38" s="122">
        <f t="shared" si="36"/>
        <v>5.5</v>
      </c>
      <c r="AT38" s="121">
        <f t="shared" si="24"/>
        <v>4.8</v>
      </c>
      <c r="AU38" s="122">
        <f t="shared" si="19"/>
        <v>679.117647058824</v>
      </c>
      <c r="AV38" s="121">
        <v>250</v>
      </c>
      <c r="AW38" s="150">
        <f t="shared" si="12"/>
        <v>219.974048442907</v>
      </c>
      <c r="AX38" s="122">
        <f t="shared" si="13"/>
        <v>-30.0259515570934</v>
      </c>
    </row>
    <row r="39" s="148" customFormat="1" spans="1:50">
      <c r="A39" s="121">
        <v>35</v>
      </c>
      <c r="B39" s="168">
        <v>0.3</v>
      </c>
      <c r="C39" s="121">
        <v>0.6</v>
      </c>
      <c r="D39" s="121">
        <f>3+0.2</f>
        <v>3.2</v>
      </c>
      <c r="E39" s="121">
        <v>4</v>
      </c>
      <c r="F39" s="122">
        <f t="shared" si="15"/>
        <v>395.714285714286</v>
      </c>
      <c r="G39" s="121">
        <v>200</v>
      </c>
      <c r="H39" s="150">
        <f t="shared" si="14"/>
        <v>211.30612244898</v>
      </c>
      <c r="I39" s="150">
        <f t="shared" si="2"/>
        <v>11.3061224489796</v>
      </c>
      <c r="J39" s="159">
        <v>690</v>
      </c>
      <c r="K39" s="155"/>
      <c r="L39" s="121">
        <v>35</v>
      </c>
      <c r="M39" s="168">
        <v>0.3</v>
      </c>
      <c r="N39" s="121">
        <f t="shared" si="33"/>
        <v>0.7</v>
      </c>
      <c r="O39" s="122">
        <f t="shared" si="22"/>
        <v>3.3</v>
      </c>
      <c r="P39" s="121">
        <f t="shared" si="30"/>
        <v>4.4</v>
      </c>
      <c r="Q39" s="122">
        <f t="shared" si="16"/>
        <v>408.857142857143</v>
      </c>
      <c r="R39" s="121">
        <v>250</v>
      </c>
      <c r="S39" s="150">
        <f t="shared" si="7"/>
        <v>261.681632653061</v>
      </c>
      <c r="T39" s="159">
        <v>690</v>
      </c>
      <c r="U39" s="155"/>
      <c r="V39" s="121">
        <v>35</v>
      </c>
      <c r="W39" s="168">
        <v>0.4</v>
      </c>
      <c r="X39" s="121">
        <v>0.7</v>
      </c>
      <c r="Y39" s="122">
        <v>4.5</v>
      </c>
      <c r="Z39" s="121">
        <f t="shared" si="34"/>
        <v>4.8</v>
      </c>
      <c r="AA39" s="122">
        <f t="shared" si="17"/>
        <v>545.714285714286</v>
      </c>
      <c r="AB39" s="121">
        <v>250</v>
      </c>
      <c r="AC39" s="150">
        <f t="shared" si="8"/>
        <v>265.591836734694</v>
      </c>
      <c r="AD39" s="150">
        <v>700</v>
      </c>
      <c r="AE39" s="155"/>
      <c r="AF39" s="121">
        <v>35</v>
      </c>
      <c r="AG39" s="168">
        <v>0.5</v>
      </c>
      <c r="AH39" s="122">
        <f t="shared" si="35"/>
        <v>0.91</v>
      </c>
      <c r="AI39" s="122">
        <v>5.3</v>
      </c>
      <c r="AJ39" s="121">
        <f t="shared" si="31"/>
        <v>5.2</v>
      </c>
      <c r="AK39" s="122">
        <f t="shared" si="18"/>
        <v>643.714285714286</v>
      </c>
      <c r="AL39" s="121">
        <v>250</v>
      </c>
      <c r="AM39" s="150">
        <f t="shared" si="10"/>
        <v>218.391836734694</v>
      </c>
      <c r="AN39" s="150">
        <v>720</v>
      </c>
      <c r="AO39" s="155"/>
      <c r="AP39" s="121">
        <v>35</v>
      </c>
      <c r="AQ39" s="168">
        <v>0.5</v>
      </c>
      <c r="AR39" s="121">
        <f t="shared" si="29"/>
        <v>1.01</v>
      </c>
      <c r="AS39" s="122">
        <f t="shared" si="36"/>
        <v>5.625</v>
      </c>
      <c r="AT39" s="121">
        <f t="shared" si="24"/>
        <v>5.2</v>
      </c>
      <c r="AU39" s="122">
        <f t="shared" si="19"/>
        <v>675.285714285714</v>
      </c>
      <c r="AV39" s="121">
        <v>250</v>
      </c>
      <c r="AW39" s="150">
        <f t="shared" si="12"/>
        <v>219.29387755102</v>
      </c>
      <c r="AX39" s="122">
        <f t="shared" si="13"/>
        <v>-30.7061224489796</v>
      </c>
    </row>
    <row r="40" spans="1:50">
      <c r="A40" s="121">
        <v>36</v>
      </c>
      <c r="B40" s="168">
        <v>0.3</v>
      </c>
      <c r="C40" s="121">
        <v>0.6</v>
      </c>
      <c r="D40" s="121">
        <v>3.2</v>
      </c>
      <c r="E40" s="121">
        <v>4</v>
      </c>
      <c r="F40" s="122">
        <f t="shared" si="15"/>
        <v>384.722222222222</v>
      </c>
      <c r="G40" s="121">
        <v>200</v>
      </c>
      <c r="H40" s="150">
        <f t="shared" si="14"/>
        <v>210.686728395062</v>
      </c>
      <c r="I40" s="150">
        <f t="shared" si="2"/>
        <v>10.6867283950617</v>
      </c>
      <c r="J40" s="159">
        <v>690</v>
      </c>
      <c r="K40" s="155"/>
      <c r="L40" s="121">
        <v>36</v>
      </c>
      <c r="M40" s="168">
        <v>0.3</v>
      </c>
      <c r="N40" s="121">
        <f t="shared" si="33"/>
        <v>0.7</v>
      </c>
      <c r="O40" s="122">
        <f t="shared" si="22"/>
        <v>3.3</v>
      </c>
      <c r="P40" s="121">
        <f t="shared" si="30"/>
        <v>4.4</v>
      </c>
      <c r="Q40" s="122">
        <f t="shared" si="16"/>
        <v>397.5</v>
      </c>
      <c r="R40" s="121">
        <v>250</v>
      </c>
      <c r="S40" s="150">
        <f t="shared" si="7"/>
        <v>261.041666666667</v>
      </c>
      <c r="T40" s="159">
        <v>690</v>
      </c>
      <c r="U40" s="155"/>
      <c r="V40" s="121">
        <v>36</v>
      </c>
      <c r="W40" s="168">
        <v>0.4</v>
      </c>
      <c r="X40" s="121">
        <f t="shared" ref="X40:X53" si="37">N40+0.1</f>
        <v>0.8</v>
      </c>
      <c r="Y40" s="122">
        <v>4.8</v>
      </c>
      <c r="Z40" s="121">
        <f t="shared" si="34"/>
        <v>4.8</v>
      </c>
      <c r="AA40" s="122">
        <f t="shared" si="17"/>
        <v>558.888888888889</v>
      </c>
      <c r="AB40" s="121">
        <v>250</v>
      </c>
      <c r="AC40" s="150">
        <f t="shared" si="8"/>
        <v>265.524691358025</v>
      </c>
      <c r="AD40" s="150">
        <v>700</v>
      </c>
      <c r="AE40" s="155"/>
      <c r="AF40" s="121">
        <v>36</v>
      </c>
      <c r="AG40" s="168">
        <v>0.5</v>
      </c>
      <c r="AH40" s="122">
        <f t="shared" si="35"/>
        <v>1.04</v>
      </c>
      <c r="AI40" s="122">
        <v>5.4</v>
      </c>
      <c r="AJ40" s="121">
        <f t="shared" si="31"/>
        <v>5.2</v>
      </c>
      <c r="AK40" s="122">
        <f t="shared" si="18"/>
        <v>635.277777777778</v>
      </c>
      <c r="AL40" s="121">
        <v>250</v>
      </c>
      <c r="AM40" s="150">
        <f t="shared" si="10"/>
        <v>217.646604938272</v>
      </c>
      <c r="AN40" s="150">
        <v>720</v>
      </c>
      <c r="AO40" s="155"/>
      <c r="AP40" s="121">
        <v>36</v>
      </c>
      <c r="AQ40" s="168">
        <v>0.5</v>
      </c>
      <c r="AR40" s="121">
        <f t="shared" si="29"/>
        <v>1.14</v>
      </c>
      <c r="AS40" s="122">
        <f t="shared" si="36"/>
        <v>6</v>
      </c>
      <c r="AT40" s="121">
        <f t="shared" si="24"/>
        <v>5.2</v>
      </c>
      <c r="AU40" s="122">
        <f t="shared" si="19"/>
        <v>691.944444444444</v>
      </c>
      <c r="AV40" s="121">
        <v>250</v>
      </c>
      <c r="AW40" s="150">
        <f t="shared" si="12"/>
        <v>219.220679012346</v>
      </c>
      <c r="AX40" s="122">
        <f t="shared" si="13"/>
        <v>-30.7793209876543</v>
      </c>
    </row>
    <row r="41" spans="1:50">
      <c r="A41" s="121">
        <v>37</v>
      </c>
      <c r="B41" s="168">
        <v>0.3</v>
      </c>
      <c r="C41" s="121">
        <v>0.6</v>
      </c>
      <c r="D41" s="121">
        <v>3.3</v>
      </c>
      <c r="E41" s="121">
        <v>4.2</v>
      </c>
      <c r="F41" s="122">
        <f t="shared" si="15"/>
        <v>385.135135135135</v>
      </c>
      <c r="G41" s="121">
        <v>200</v>
      </c>
      <c r="H41" s="150">
        <f t="shared" si="14"/>
        <v>210.409057706355</v>
      </c>
      <c r="I41" s="150">
        <f t="shared" si="2"/>
        <v>10.409057706355</v>
      </c>
      <c r="J41" s="159">
        <v>690</v>
      </c>
      <c r="K41" s="155"/>
      <c r="L41" s="121">
        <v>37</v>
      </c>
      <c r="M41" s="168">
        <v>0.3</v>
      </c>
      <c r="N41" s="121">
        <f t="shared" si="33"/>
        <v>0.7</v>
      </c>
      <c r="O41" s="122">
        <v>3.5</v>
      </c>
      <c r="P41" s="121">
        <f t="shared" si="30"/>
        <v>4.6</v>
      </c>
      <c r="Q41" s="122">
        <f t="shared" si="16"/>
        <v>406.756756756757</v>
      </c>
      <c r="R41" s="121">
        <v>250</v>
      </c>
      <c r="S41" s="150">
        <f t="shared" si="7"/>
        <v>260.993425858291</v>
      </c>
      <c r="T41" s="159">
        <v>690</v>
      </c>
      <c r="U41" s="155"/>
      <c r="V41" s="121">
        <v>37</v>
      </c>
      <c r="W41" s="168">
        <v>0.4</v>
      </c>
      <c r="X41" s="121">
        <f t="shared" si="37"/>
        <v>0.8</v>
      </c>
      <c r="Y41" s="122">
        <v>4.9</v>
      </c>
      <c r="Z41" s="122">
        <v>5</v>
      </c>
      <c r="AA41" s="122">
        <f t="shared" si="17"/>
        <v>554.594594594595</v>
      </c>
      <c r="AB41" s="121">
        <v>250</v>
      </c>
      <c r="AC41" s="150">
        <f t="shared" si="8"/>
        <v>264.989043097151</v>
      </c>
      <c r="AD41" s="150">
        <v>700</v>
      </c>
      <c r="AE41" s="155"/>
      <c r="AF41" s="121">
        <v>37</v>
      </c>
      <c r="AG41" s="168">
        <v>0.5</v>
      </c>
      <c r="AH41" s="122">
        <f t="shared" si="35"/>
        <v>1.04</v>
      </c>
      <c r="AI41" s="122">
        <v>5.6</v>
      </c>
      <c r="AJ41" s="121">
        <f t="shared" si="31"/>
        <v>5.4</v>
      </c>
      <c r="AK41" s="122">
        <f t="shared" si="18"/>
        <v>638.108108108108</v>
      </c>
      <c r="AL41" s="121">
        <v>250</v>
      </c>
      <c r="AM41" s="150">
        <f t="shared" si="10"/>
        <v>217.246165084003</v>
      </c>
      <c r="AN41" s="150">
        <v>720</v>
      </c>
      <c r="AO41" s="155"/>
      <c r="AP41" s="121">
        <v>37</v>
      </c>
      <c r="AQ41" s="168">
        <v>0.5</v>
      </c>
      <c r="AR41" s="121">
        <f t="shared" si="29"/>
        <v>1.14</v>
      </c>
      <c r="AS41" s="122">
        <f t="shared" si="36"/>
        <v>6.125</v>
      </c>
      <c r="AT41" s="121">
        <f t="shared" si="24"/>
        <v>5.4</v>
      </c>
      <c r="AU41" s="122">
        <f t="shared" si="19"/>
        <v>686.351351351351</v>
      </c>
      <c r="AV41" s="121">
        <v>250</v>
      </c>
      <c r="AW41" s="150">
        <f t="shared" si="12"/>
        <v>218.55003652301</v>
      </c>
      <c r="AX41" s="122">
        <f t="shared" si="13"/>
        <v>-31.4499634769905</v>
      </c>
    </row>
    <row r="42" spans="1:50">
      <c r="A42" s="121">
        <v>38</v>
      </c>
      <c r="B42" s="168">
        <v>0.3</v>
      </c>
      <c r="C42" s="121">
        <v>0.6</v>
      </c>
      <c r="D42" s="121">
        <v>3.5</v>
      </c>
      <c r="E42" s="121">
        <v>4.2</v>
      </c>
      <c r="F42" s="122">
        <f t="shared" si="15"/>
        <v>392.894736842105</v>
      </c>
      <c r="G42" s="121">
        <v>200</v>
      </c>
      <c r="H42" s="150">
        <f t="shared" si="14"/>
        <v>210.339335180055</v>
      </c>
      <c r="I42" s="150">
        <f t="shared" si="2"/>
        <v>10.3393351800554</v>
      </c>
      <c r="J42" s="159">
        <v>690</v>
      </c>
      <c r="K42" s="155"/>
      <c r="L42" s="121">
        <v>38</v>
      </c>
      <c r="M42" s="168">
        <v>0.3</v>
      </c>
      <c r="N42" s="121">
        <f t="shared" si="33"/>
        <v>0.7</v>
      </c>
      <c r="O42" s="122">
        <v>3.7</v>
      </c>
      <c r="P42" s="121">
        <f t="shared" si="30"/>
        <v>4.6</v>
      </c>
      <c r="Q42" s="122">
        <f t="shared" si="16"/>
        <v>413.947368421053</v>
      </c>
      <c r="R42" s="121">
        <v>250</v>
      </c>
      <c r="S42" s="150">
        <f t="shared" si="7"/>
        <v>260.893351800554</v>
      </c>
      <c r="T42" s="159">
        <v>690</v>
      </c>
      <c r="U42" s="155"/>
      <c r="V42" s="121">
        <v>38</v>
      </c>
      <c r="W42" s="168">
        <v>0.4</v>
      </c>
      <c r="X42" s="121">
        <f t="shared" si="37"/>
        <v>0.8</v>
      </c>
      <c r="Y42" s="122">
        <v>5</v>
      </c>
      <c r="Z42" s="121">
        <v>5.1</v>
      </c>
      <c r="AA42" s="122">
        <f t="shared" si="17"/>
        <v>549.736842105263</v>
      </c>
      <c r="AB42" s="121">
        <v>250</v>
      </c>
      <c r="AC42" s="150">
        <f t="shared" si="8"/>
        <v>264.46675900277</v>
      </c>
      <c r="AD42" s="150">
        <v>700</v>
      </c>
      <c r="AE42" s="155"/>
      <c r="AF42" s="121">
        <v>38</v>
      </c>
      <c r="AG42" s="168">
        <v>0.5</v>
      </c>
      <c r="AH42" s="122">
        <f t="shared" si="35"/>
        <v>1.04</v>
      </c>
      <c r="AI42" s="122">
        <v>5.8</v>
      </c>
      <c r="AJ42" s="121">
        <f t="shared" si="31"/>
        <v>5.5</v>
      </c>
      <c r="AK42" s="122">
        <f t="shared" si="18"/>
        <v>640</v>
      </c>
      <c r="AL42" s="121">
        <v>250</v>
      </c>
      <c r="AM42" s="150">
        <f t="shared" si="10"/>
        <v>216.842105263158</v>
      </c>
      <c r="AN42" s="150">
        <v>720</v>
      </c>
      <c r="AO42" s="155"/>
      <c r="AP42" s="121">
        <v>38</v>
      </c>
      <c r="AQ42" s="168">
        <v>0.5</v>
      </c>
      <c r="AR42" s="121">
        <f t="shared" si="29"/>
        <v>1.14</v>
      </c>
      <c r="AS42" s="122">
        <f t="shared" si="36"/>
        <v>6.25</v>
      </c>
      <c r="AT42" s="121">
        <f t="shared" si="24"/>
        <v>5.5</v>
      </c>
      <c r="AU42" s="122">
        <f t="shared" si="19"/>
        <v>680.263157894737</v>
      </c>
      <c r="AV42" s="121">
        <v>250</v>
      </c>
      <c r="AW42" s="150">
        <f t="shared" si="12"/>
        <v>217.901662049861</v>
      </c>
      <c r="AX42" s="122">
        <f t="shared" si="13"/>
        <v>-32.0983379501385</v>
      </c>
    </row>
    <row r="43" spans="1:50">
      <c r="A43" s="121">
        <v>39</v>
      </c>
      <c r="B43" s="168">
        <v>0.3</v>
      </c>
      <c r="C43" s="121">
        <v>0.6</v>
      </c>
      <c r="D43" s="122">
        <f>3.4+0.2</f>
        <v>3.6</v>
      </c>
      <c r="E43" s="121">
        <v>4.4</v>
      </c>
      <c r="F43" s="122">
        <f t="shared" si="15"/>
        <v>393.076923076923</v>
      </c>
      <c r="G43" s="121">
        <v>200</v>
      </c>
      <c r="H43" s="150">
        <f t="shared" si="14"/>
        <v>210.078895463511</v>
      </c>
      <c r="I43" s="150">
        <f t="shared" si="2"/>
        <v>10.0788954635109</v>
      </c>
      <c r="J43" s="159">
        <v>690</v>
      </c>
      <c r="K43" s="155"/>
      <c r="L43" s="121">
        <v>39</v>
      </c>
      <c r="M43" s="168">
        <v>0.3</v>
      </c>
      <c r="N43" s="121">
        <f t="shared" si="33"/>
        <v>0.7</v>
      </c>
      <c r="O43" s="122">
        <f t="shared" si="22"/>
        <v>3.7</v>
      </c>
      <c r="P43" s="121">
        <f t="shared" si="30"/>
        <v>4.8</v>
      </c>
      <c r="Q43" s="122">
        <f t="shared" si="16"/>
        <v>404.871794871795</v>
      </c>
      <c r="R43" s="121">
        <v>250</v>
      </c>
      <c r="S43" s="150">
        <f t="shared" si="7"/>
        <v>260.381328073636</v>
      </c>
      <c r="T43" s="159">
        <v>690</v>
      </c>
      <c r="U43" s="155"/>
      <c r="V43" s="121">
        <v>39</v>
      </c>
      <c r="W43" s="168">
        <v>0.4</v>
      </c>
      <c r="X43" s="121">
        <f t="shared" si="37"/>
        <v>0.8</v>
      </c>
      <c r="Y43" s="122">
        <v>5.1</v>
      </c>
      <c r="Z43" s="121">
        <f t="shared" si="34"/>
        <v>5.2</v>
      </c>
      <c r="AA43" s="122">
        <f t="shared" si="17"/>
        <v>545.128205128205</v>
      </c>
      <c r="AB43" s="121">
        <v>250</v>
      </c>
      <c r="AC43" s="150">
        <f t="shared" si="8"/>
        <v>263.977646285339</v>
      </c>
      <c r="AD43" s="150">
        <v>700</v>
      </c>
      <c r="AE43" s="155"/>
      <c r="AF43" s="121">
        <v>39</v>
      </c>
      <c r="AG43" s="168">
        <v>0.5</v>
      </c>
      <c r="AH43" s="122">
        <f t="shared" si="35"/>
        <v>1.04</v>
      </c>
      <c r="AI43" s="122">
        <v>5.9</v>
      </c>
      <c r="AJ43" s="121">
        <f t="shared" si="31"/>
        <v>5.6</v>
      </c>
      <c r="AK43" s="122">
        <f t="shared" si="18"/>
        <v>633.076923076923</v>
      </c>
      <c r="AL43" s="121">
        <v>250</v>
      </c>
      <c r="AM43" s="150">
        <f t="shared" si="10"/>
        <v>216.232741617357</v>
      </c>
      <c r="AN43" s="150">
        <v>720</v>
      </c>
      <c r="AO43" s="155"/>
      <c r="AP43" s="121">
        <v>39</v>
      </c>
      <c r="AQ43" s="168">
        <v>0.5</v>
      </c>
      <c r="AR43" s="121">
        <f t="shared" si="29"/>
        <v>1.14</v>
      </c>
      <c r="AS43" s="122">
        <f t="shared" si="36"/>
        <v>6.375</v>
      </c>
      <c r="AT43" s="121">
        <f t="shared" si="24"/>
        <v>5.6</v>
      </c>
      <c r="AU43" s="122">
        <f t="shared" si="19"/>
        <v>674.487179487179</v>
      </c>
      <c r="AV43" s="121">
        <v>250</v>
      </c>
      <c r="AW43" s="150">
        <f t="shared" si="12"/>
        <v>217.294543063774</v>
      </c>
      <c r="AX43" s="122">
        <f t="shared" si="13"/>
        <v>-32.7054569362262</v>
      </c>
    </row>
    <row r="44" s="149" customFormat="1" spans="1:50">
      <c r="A44" s="167">
        <v>40</v>
      </c>
      <c r="B44" s="168">
        <v>0.3</v>
      </c>
      <c r="C44" s="167">
        <v>0.6</v>
      </c>
      <c r="D44" s="168">
        <v>3.7</v>
      </c>
      <c r="E44" s="167">
        <v>4.4</v>
      </c>
      <c r="F44" s="122">
        <f t="shared" si="15"/>
        <v>391.75</v>
      </c>
      <c r="G44" s="167">
        <v>200</v>
      </c>
      <c r="H44" s="169">
        <f t="shared" si="14"/>
        <v>209.79375</v>
      </c>
      <c r="I44" s="150">
        <f t="shared" si="2"/>
        <v>9.79374999999999</v>
      </c>
      <c r="J44" s="170">
        <v>690</v>
      </c>
      <c r="K44" s="171"/>
      <c r="L44" s="167">
        <v>40</v>
      </c>
      <c r="M44" s="122">
        <v>0.4</v>
      </c>
      <c r="N44" s="167">
        <f t="shared" si="33"/>
        <v>0.7</v>
      </c>
      <c r="O44" s="122">
        <v>3.9</v>
      </c>
      <c r="P44" s="167">
        <f t="shared" si="30"/>
        <v>4.8</v>
      </c>
      <c r="Q44" s="122">
        <f t="shared" si="16"/>
        <v>426.5</v>
      </c>
      <c r="R44" s="167">
        <v>250</v>
      </c>
      <c r="S44" s="150">
        <f t="shared" si="7"/>
        <v>260.6625</v>
      </c>
      <c r="T44" s="170">
        <v>690</v>
      </c>
      <c r="U44" s="171"/>
      <c r="V44" s="167">
        <v>40</v>
      </c>
      <c r="W44" s="122">
        <v>0.5</v>
      </c>
      <c r="X44" s="167">
        <f t="shared" si="37"/>
        <v>0.8</v>
      </c>
      <c r="Y44" s="168">
        <v>5.1</v>
      </c>
      <c r="Z44" s="167">
        <f t="shared" si="34"/>
        <v>5.2</v>
      </c>
      <c r="AA44" s="122">
        <f t="shared" si="17"/>
        <v>546.25</v>
      </c>
      <c r="AB44" s="167">
        <v>250</v>
      </c>
      <c r="AC44" s="169">
        <f t="shared" si="8"/>
        <v>263.65625</v>
      </c>
      <c r="AD44" s="169">
        <v>700</v>
      </c>
      <c r="AE44" s="171"/>
      <c r="AF44" s="167">
        <v>40</v>
      </c>
      <c r="AG44" s="122">
        <v>0.6</v>
      </c>
      <c r="AH44" s="122">
        <f t="shared" si="35"/>
        <v>1.04</v>
      </c>
      <c r="AI44" s="122">
        <v>6</v>
      </c>
      <c r="AJ44" s="168">
        <v>6</v>
      </c>
      <c r="AK44" s="122">
        <f t="shared" si="18"/>
        <v>643.5</v>
      </c>
      <c r="AL44" s="167">
        <v>250</v>
      </c>
      <c r="AM44" s="169">
        <f t="shared" si="10"/>
        <v>216.0875</v>
      </c>
      <c r="AN44" s="169">
        <v>720</v>
      </c>
      <c r="AO44" s="171"/>
      <c r="AP44" s="167">
        <v>40</v>
      </c>
      <c r="AQ44" s="122">
        <v>0.6</v>
      </c>
      <c r="AR44" s="167">
        <f t="shared" si="29"/>
        <v>1.14</v>
      </c>
      <c r="AS44" s="122">
        <f t="shared" si="36"/>
        <v>6.375</v>
      </c>
      <c r="AT44" s="167">
        <f t="shared" si="24"/>
        <v>6</v>
      </c>
      <c r="AU44" s="122">
        <f t="shared" si="19"/>
        <v>675.375</v>
      </c>
      <c r="AV44" s="167">
        <v>250</v>
      </c>
      <c r="AW44" s="169">
        <f t="shared" si="12"/>
        <v>216.884375</v>
      </c>
      <c r="AX44" s="122">
        <f t="shared" si="13"/>
        <v>-33.115625</v>
      </c>
    </row>
    <row r="45" spans="1:50">
      <c r="A45" s="121">
        <v>41</v>
      </c>
      <c r="B45" s="168">
        <v>0.3</v>
      </c>
      <c r="C45" s="121">
        <v>0.7</v>
      </c>
      <c r="D45" s="122">
        <f>3.6+0.2</f>
        <v>3.8</v>
      </c>
      <c r="E45" s="121">
        <v>4.6</v>
      </c>
      <c r="F45" s="122">
        <f t="shared" si="15"/>
        <v>391.951219512195</v>
      </c>
      <c r="G45" s="121">
        <v>200</v>
      </c>
      <c r="H45" s="150">
        <f t="shared" si="14"/>
        <v>209.559785841761</v>
      </c>
      <c r="I45" s="150">
        <f t="shared" si="2"/>
        <v>9.55978584176086</v>
      </c>
      <c r="J45" s="159">
        <v>690</v>
      </c>
      <c r="K45" s="155"/>
      <c r="L45" s="121">
        <v>41</v>
      </c>
      <c r="M45" s="122">
        <v>0.4</v>
      </c>
      <c r="N45" s="121">
        <f t="shared" si="33"/>
        <v>0.8</v>
      </c>
      <c r="O45" s="122">
        <f t="shared" si="22"/>
        <v>3.9</v>
      </c>
      <c r="P45" s="121">
        <f t="shared" si="30"/>
        <v>5</v>
      </c>
      <c r="Q45" s="122">
        <f t="shared" si="16"/>
        <v>417.560975609756</v>
      </c>
      <c r="R45" s="121">
        <v>250</v>
      </c>
      <c r="S45" s="150">
        <f t="shared" si="7"/>
        <v>260.184414039262</v>
      </c>
      <c r="T45" s="159">
        <v>690</v>
      </c>
      <c r="U45" s="155"/>
      <c r="V45" s="121">
        <v>41</v>
      </c>
      <c r="W45" s="168">
        <v>0.6</v>
      </c>
      <c r="X45" s="121">
        <f t="shared" si="37"/>
        <v>0.9</v>
      </c>
      <c r="Y45" s="122">
        <v>5.1</v>
      </c>
      <c r="Z45" s="121">
        <f>P45+1</f>
        <v>6</v>
      </c>
      <c r="AA45" s="122">
        <f t="shared" si="17"/>
        <v>553.170731707317</v>
      </c>
      <c r="AB45" s="121">
        <v>250</v>
      </c>
      <c r="AC45" s="150">
        <f t="shared" si="8"/>
        <v>263.491969066032</v>
      </c>
      <c r="AD45" s="150">
        <v>700</v>
      </c>
      <c r="AE45" s="155"/>
      <c r="AF45" s="121">
        <v>41</v>
      </c>
      <c r="AG45" s="168">
        <v>0.6</v>
      </c>
      <c r="AH45" s="122">
        <f t="shared" si="35"/>
        <v>1.17</v>
      </c>
      <c r="AI45" s="122">
        <v>6.2</v>
      </c>
      <c r="AJ45" s="121">
        <f t="shared" si="31"/>
        <v>6.4</v>
      </c>
      <c r="AK45" s="122">
        <f t="shared" si="18"/>
        <v>647.317073170732</v>
      </c>
      <c r="AL45" s="121">
        <v>250</v>
      </c>
      <c r="AM45" s="150">
        <f t="shared" si="10"/>
        <v>215.788221296847</v>
      </c>
      <c r="AN45" s="150">
        <v>720</v>
      </c>
      <c r="AO45" s="155"/>
      <c r="AP45" s="121">
        <v>41</v>
      </c>
      <c r="AQ45" s="168">
        <v>0.6</v>
      </c>
      <c r="AR45" s="121">
        <f t="shared" ref="AR45:AR54" si="38">AH45+0.2</f>
        <v>1.37</v>
      </c>
      <c r="AS45" s="122">
        <f t="shared" si="36"/>
        <v>6.375</v>
      </c>
      <c r="AT45" s="121">
        <f t="shared" si="24"/>
        <v>6.4</v>
      </c>
      <c r="AU45" s="122">
        <f t="shared" si="19"/>
        <v>661.829268292683</v>
      </c>
      <c r="AV45" s="121">
        <v>250</v>
      </c>
      <c r="AW45" s="150">
        <f t="shared" si="12"/>
        <v>216.142177275431</v>
      </c>
      <c r="AX45" s="122">
        <f t="shared" si="13"/>
        <v>-33.8578227245687</v>
      </c>
    </row>
    <row r="46" spans="1:50">
      <c r="A46" s="121">
        <v>42</v>
      </c>
      <c r="B46" s="168">
        <v>0.3</v>
      </c>
      <c r="C46" s="121">
        <v>0.7</v>
      </c>
      <c r="D46" s="122">
        <f>3.8+0.2</f>
        <v>4</v>
      </c>
      <c r="E46" s="121">
        <v>4.6</v>
      </c>
      <c r="F46" s="122">
        <f t="shared" si="15"/>
        <v>398.809523809524</v>
      </c>
      <c r="G46" s="121">
        <v>200</v>
      </c>
      <c r="H46" s="150">
        <f t="shared" si="14"/>
        <v>209.495464852608</v>
      </c>
      <c r="I46" s="150">
        <f t="shared" si="2"/>
        <v>9.49546485260768</v>
      </c>
      <c r="J46" s="159">
        <v>690</v>
      </c>
      <c r="K46" s="155"/>
      <c r="L46" s="121">
        <v>42</v>
      </c>
      <c r="M46" s="122">
        <v>0.4</v>
      </c>
      <c r="N46" s="121">
        <f t="shared" si="33"/>
        <v>0.8</v>
      </c>
      <c r="O46" s="122">
        <f t="shared" si="22"/>
        <v>4.1</v>
      </c>
      <c r="P46" s="121">
        <v>4.8</v>
      </c>
      <c r="Q46" s="122">
        <f t="shared" si="16"/>
        <v>422.380952380952</v>
      </c>
      <c r="R46" s="121">
        <v>250</v>
      </c>
      <c r="S46" s="150">
        <f t="shared" si="7"/>
        <v>260.056689342404</v>
      </c>
      <c r="T46" s="159">
        <v>690</v>
      </c>
      <c r="U46" s="155"/>
      <c r="V46" s="121">
        <v>42</v>
      </c>
      <c r="W46" s="168">
        <v>0.6</v>
      </c>
      <c r="X46" s="121">
        <f t="shared" si="37"/>
        <v>0.9</v>
      </c>
      <c r="Y46" s="122">
        <v>5.2</v>
      </c>
      <c r="Z46" s="121">
        <f>P46+1.5</f>
        <v>6.3</v>
      </c>
      <c r="AA46" s="122">
        <f t="shared" si="17"/>
        <v>550.238095238095</v>
      </c>
      <c r="AB46" s="121">
        <v>250</v>
      </c>
      <c r="AC46" s="150">
        <f t="shared" si="8"/>
        <v>263.100907029478</v>
      </c>
      <c r="AD46" s="150">
        <v>700</v>
      </c>
      <c r="AE46" s="155"/>
      <c r="AF46" s="121">
        <v>42</v>
      </c>
      <c r="AG46" s="168">
        <v>0.6</v>
      </c>
      <c r="AH46" s="122">
        <f t="shared" si="35"/>
        <v>1.17</v>
      </c>
      <c r="AI46" s="122">
        <v>6.3</v>
      </c>
      <c r="AJ46" s="121">
        <f t="shared" si="31"/>
        <v>6.7</v>
      </c>
      <c r="AK46" s="122">
        <f t="shared" si="18"/>
        <v>642.142857142857</v>
      </c>
      <c r="AL46" s="121">
        <v>250</v>
      </c>
      <c r="AM46" s="150">
        <f t="shared" si="10"/>
        <v>215.289115646258</v>
      </c>
      <c r="AN46" s="150">
        <v>720</v>
      </c>
      <c r="AO46" s="155"/>
      <c r="AP46" s="121">
        <v>42</v>
      </c>
      <c r="AQ46" s="168">
        <v>0.6</v>
      </c>
      <c r="AR46" s="121">
        <f t="shared" si="38"/>
        <v>1.37</v>
      </c>
      <c r="AS46" s="122">
        <f t="shared" si="36"/>
        <v>6.5</v>
      </c>
      <c r="AT46" s="121">
        <f t="shared" si="24"/>
        <v>6.7</v>
      </c>
      <c r="AU46" s="122">
        <f t="shared" si="19"/>
        <v>658.333333333333</v>
      </c>
      <c r="AV46" s="121">
        <v>250</v>
      </c>
      <c r="AW46" s="150">
        <f t="shared" si="12"/>
        <v>215.674603174603</v>
      </c>
      <c r="AX46" s="122">
        <f t="shared" si="13"/>
        <v>-34.3253968253968</v>
      </c>
    </row>
    <row r="47" spans="1:50">
      <c r="A47" s="121">
        <v>43</v>
      </c>
      <c r="B47" s="168">
        <v>0.3</v>
      </c>
      <c r="C47" s="121">
        <v>0.7</v>
      </c>
      <c r="D47" s="122">
        <f>3.8+0.2</f>
        <v>4</v>
      </c>
      <c r="E47" s="121">
        <v>4.8</v>
      </c>
      <c r="F47" s="122">
        <f t="shared" si="15"/>
        <v>390.93023255814</v>
      </c>
      <c r="G47" s="121">
        <v>200</v>
      </c>
      <c r="H47" s="150">
        <f t="shared" si="14"/>
        <v>209.091400757166</v>
      </c>
      <c r="I47" s="150">
        <f t="shared" si="2"/>
        <v>9.09140075716604</v>
      </c>
      <c r="J47" s="159">
        <v>690</v>
      </c>
      <c r="K47" s="155"/>
      <c r="L47" s="121">
        <v>43</v>
      </c>
      <c r="M47" s="122">
        <v>0.4</v>
      </c>
      <c r="N47" s="121">
        <f t="shared" si="33"/>
        <v>0.8</v>
      </c>
      <c r="O47" s="122">
        <f t="shared" si="22"/>
        <v>4.1</v>
      </c>
      <c r="P47" s="121">
        <f t="shared" si="30"/>
        <v>5.2</v>
      </c>
      <c r="Q47" s="122">
        <f t="shared" si="16"/>
        <v>415.348837209302</v>
      </c>
      <c r="R47" s="121">
        <v>250</v>
      </c>
      <c r="S47" s="150">
        <f t="shared" si="7"/>
        <v>259.659275283937</v>
      </c>
      <c r="T47" s="159">
        <v>690</v>
      </c>
      <c r="U47" s="155"/>
      <c r="V47" s="121">
        <v>43</v>
      </c>
      <c r="W47" s="168">
        <v>0.6</v>
      </c>
      <c r="X47" s="121">
        <f t="shared" si="37"/>
        <v>0.9</v>
      </c>
      <c r="Y47" s="122">
        <v>5.3</v>
      </c>
      <c r="Z47" s="121">
        <f>P47+2</f>
        <v>7.2</v>
      </c>
      <c r="AA47" s="122">
        <f t="shared" si="17"/>
        <v>551.627906976744</v>
      </c>
      <c r="AB47" s="121">
        <v>250</v>
      </c>
      <c r="AC47" s="150">
        <f t="shared" si="8"/>
        <v>262.828555976203</v>
      </c>
      <c r="AD47" s="150">
        <v>700</v>
      </c>
      <c r="AE47" s="155"/>
      <c r="AF47" s="121">
        <v>43</v>
      </c>
      <c r="AG47" s="168">
        <v>0.6</v>
      </c>
      <c r="AH47" s="122">
        <f t="shared" si="35"/>
        <v>1.17</v>
      </c>
      <c r="AI47" s="122">
        <v>6.4</v>
      </c>
      <c r="AJ47" s="121">
        <f t="shared" si="31"/>
        <v>7.6</v>
      </c>
      <c r="AK47" s="122">
        <f t="shared" si="18"/>
        <v>641.395348837209</v>
      </c>
      <c r="AL47" s="121">
        <v>250</v>
      </c>
      <c r="AM47" s="150">
        <f t="shared" si="10"/>
        <v>214.916170903191</v>
      </c>
      <c r="AN47" s="150">
        <v>720</v>
      </c>
      <c r="AO47" s="155"/>
      <c r="AP47" s="121">
        <v>43</v>
      </c>
      <c r="AQ47" s="168">
        <v>0.6</v>
      </c>
      <c r="AR47" s="121">
        <f t="shared" si="38"/>
        <v>1.37</v>
      </c>
      <c r="AS47" s="122">
        <f t="shared" si="36"/>
        <v>6.625</v>
      </c>
      <c r="AT47" s="121">
        <f t="shared" si="24"/>
        <v>7.6</v>
      </c>
      <c r="AU47" s="122">
        <f t="shared" si="19"/>
        <v>659.186046511628</v>
      </c>
      <c r="AV47" s="121">
        <v>250</v>
      </c>
      <c r="AW47" s="150">
        <f t="shared" si="12"/>
        <v>215.32990805841</v>
      </c>
      <c r="AX47" s="122">
        <f t="shared" si="13"/>
        <v>-34.67009194159</v>
      </c>
    </row>
    <row r="48" spans="1:50">
      <c r="A48" s="121">
        <v>44</v>
      </c>
      <c r="B48" s="168">
        <v>0.3</v>
      </c>
      <c r="C48" s="121">
        <v>0.7</v>
      </c>
      <c r="D48" s="122">
        <v>4.1</v>
      </c>
      <c r="E48" s="121">
        <v>4.8</v>
      </c>
      <c r="F48" s="122">
        <f t="shared" si="15"/>
        <v>389.772727272727</v>
      </c>
      <c r="G48" s="121">
        <v>200</v>
      </c>
      <c r="H48" s="150">
        <f t="shared" si="14"/>
        <v>208.85847107438</v>
      </c>
      <c r="I48" s="150">
        <f t="shared" si="2"/>
        <v>8.85847107438019</v>
      </c>
      <c r="J48" s="159">
        <v>690</v>
      </c>
      <c r="K48" s="155"/>
      <c r="L48" s="121">
        <v>44</v>
      </c>
      <c r="M48" s="122">
        <v>0.4</v>
      </c>
      <c r="N48" s="121">
        <f t="shared" si="33"/>
        <v>0.8</v>
      </c>
      <c r="O48" s="122">
        <v>4.2</v>
      </c>
      <c r="P48" s="121">
        <f t="shared" si="30"/>
        <v>5.2</v>
      </c>
      <c r="Q48" s="122">
        <f t="shared" si="16"/>
        <v>413.636363636364</v>
      </c>
      <c r="R48" s="121">
        <v>250</v>
      </c>
      <c r="S48" s="150">
        <f t="shared" si="7"/>
        <v>259.400826446281</v>
      </c>
      <c r="T48" s="159">
        <v>690</v>
      </c>
      <c r="U48" s="155"/>
      <c r="V48" s="121">
        <v>44</v>
      </c>
      <c r="W48" s="168">
        <v>0.6</v>
      </c>
      <c r="X48" s="121">
        <f t="shared" si="37"/>
        <v>0.9</v>
      </c>
      <c r="Y48" s="122">
        <v>5.4</v>
      </c>
      <c r="Z48" s="121">
        <f>P48+2.5</f>
        <v>7.7</v>
      </c>
      <c r="AA48" s="122">
        <f t="shared" si="17"/>
        <v>550.227272727273</v>
      </c>
      <c r="AB48" s="121">
        <v>250</v>
      </c>
      <c r="AC48" s="150">
        <f t="shared" si="8"/>
        <v>262.505165289256</v>
      </c>
      <c r="AD48" s="150">
        <v>700</v>
      </c>
      <c r="AE48" s="155"/>
      <c r="AF48" s="121">
        <v>44</v>
      </c>
      <c r="AG48" s="168">
        <v>0.7</v>
      </c>
      <c r="AH48" s="122">
        <f t="shared" si="35"/>
        <v>1.17</v>
      </c>
      <c r="AI48" s="122">
        <v>6.5</v>
      </c>
      <c r="AJ48" s="121">
        <f t="shared" si="31"/>
        <v>8.1</v>
      </c>
      <c r="AK48" s="122">
        <f t="shared" si="18"/>
        <v>651.363636363636</v>
      </c>
      <c r="AL48" s="121">
        <v>250</v>
      </c>
      <c r="AM48" s="150">
        <f t="shared" si="10"/>
        <v>214.803719008264</v>
      </c>
      <c r="AN48" s="150">
        <v>720</v>
      </c>
      <c r="AO48" s="155"/>
      <c r="AP48" s="121">
        <v>44</v>
      </c>
      <c r="AQ48" s="168">
        <v>0.7</v>
      </c>
      <c r="AR48" s="121">
        <f t="shared" si="38"/>
        <v>1.37</v>
      </c>
      <c r="AS48" s="122">
        <f t="shared" si="36"/>
        <v>6.75</v>
      </c>
      <c r="AT48" s="121">
        <f t="shared" si="24"/>
        <v>8.1</v>
      </c>
      <c r="AU48" s="122">
        <f t="shared" si="19"/>
        <v>670.681818181818</v>
      </c>
      <c r="AV48" s="121">
        <v>250</v>
      </c>
      <c r="AW48" s="150">
        <f t="shared" si="12"/>
        <v>215.242768595041</v>
      </c>
      <c r="AX48" s="122">
        <f t="shared" si="13"/>
        <v>-34.7572314049587</v>
      </c>
    </row>
    <row r="49" s="148" customFormat="1" spans="1:50">
      <c r="A49" s="121">
        <v>45</v>
      </c>
      <c r="B49" s="168">
        <v>0.3</v>
      </c>
      <c r="C49" s="121">
        <v>0.7</v>
      </c>
      <c r="D49" s="122">
        <f t="shared" ref="D49:D54" si="39">4+0.2</f>
        <v>4.2</v>
      </c>
      <c r="E49" s="121">
        <v>5</v>
      </c>
      <c r="F49" s="122">
        <f t="shared" si="15"/>
        <v>390</v>
      </c>
      <c r="G49" s="121">
        <v>200</v>
      </c>
      <c r="H49" s="150">
        <f t="shared" si="14"/>
        <v>208.666666666667</v>
      </c>
      <c r="I49" s="150">
        <f t="shared" si="2"/>
        <v>8.66666666666666</v>
      </c>
      <c r="J49" s="159">
        <v>690</v>
      </c>
      <c r="K49" s="155"/>
      <c r="L49" s="121">
        <v>45</v>
      </c>
      <c r="M49" s="122">
        <v>0.4</v>
      </c>
      <c r="N49" s="121">
        <f t="shared" si="33"/>
        <v>0.8</v>
      </c>
      <c r="O49" s="122">
        <f t="shared" si="22"/>
        <v>4.3</v>
      </c>
      <c r="P49" s="121">
        <f t="shared" ref="P49:P54" si="40">E49+0.5</f>
        <v>5.5</v>
      </c>
      <c r="Q49" s="122">
        <f t="shared" si="16"/>
        <v>414</v>
      </c>
      <c r="R49" s="121">
        <v>250</v>
      </c>
      <c r="S49" s="150">
        <f t="shared" si="7"/>
        <v>259.2</v>
      </c>
      <c r="T49" s="159">
        <v>690</v>
      </c>
      <c r="U49" s="155"/>
      <c r="V49" s="121">
        <v>45</v>
      </c>
      <c r="W49" s="168">
        <v>0.6</v>
      </c>
      <c r="X49" s="121">
        <f t="shared" si="37"/>
        <v>0.9</v>
      </c>
      <c r="Y49" s="122">
        <v>5.5</v>
      </c>
      <c r="Z49" s="121">
        <f>P49+1.9</f>
        <v>7.4</v>
      </c>
      <c r="AA49" s="122">
        <f t="shared" si="17"/>
        <v>543.555555555556</v>
      </c>
      <c r="AB49" s="121">
        <v>250</v>
      </c>
      <c r="AC49" s="150">
        <f t="shared" si="8"/>
        <v>262.079012345679</v>
      </c>
      <c r="AD49" s="150">
        <v>700</v>
      </c>
      <c r="AE49" s="155"/>
      <c r="AF49" s="121">
        <v>45</v>
      </c>
      <c r="AG49" s="168">
        <v>0.8</v>
      </c>
      <c r="AH49" s="122">
        <f t="shared" si="35"/>
        <v>1.17</v>
      </c>
      <c r="AI49" s="122">
        <v>6.5</v>
      </c>
      <c r="AJ49" s="121">
        <f t="shared" ref="AJ49:AJ54" si="41">Z49+0.5</f>
        <v>7.9</v>
      </c>
      <c r="AK49" s="122">
        <f t="shared" si="18"/>
        <v>648.666666666667</v>
      </c>
      <c r="AL49" s="121">
        <v>250</v>
      </c>
      <c r="AM49" s="150">
        <f t="shared" si="10"/>
        <v>214.414814814815</v>
      </c>
      <c r="AN49" s="150">
        <v>720</v>
      </c>
      <c r="AO49" s="155"/>
      <c r="AP49" s="121">
        <v>45</v>
      </c>
      <c r="AQ49" s="168">
        <v>0.8</v>
      </c>
      <c r="AR49" s="121">
        <f t="shared" si="38"/>
        <v>1.37</v>
      </c>
      <c r="AS49" s="122">
        <f t="shared" si="36"/>
        <v>6.875</v>
      </c>
      <c r="AT49" s="121">
        <f t="shared" si="24"/>
        <v>7.9</v>
      </c>
      <c r="AU49" s="122">
        <f t="shared" si="19"/>
        <v>677</v>
      </c>
      <c r="AV49" s="121">
        <v>250</v>
      </c>
      <c r="AW49" s="150">
        <f t="shared" si="12"/>
        <v>215.044444444444</v>
      </c>
      <c r="AX49" s="122">
        <f t="shared" si="13"/>
        <v>-34.9555555555555</v>
      </c>
    </row>
    <row r="50" spans="1:50">
      <c r="A50" s="121">
        <v>46</v>
      </c>
      <c r="B50" s="168">
        <v>0.3</v>
      </c>
      <c r="C50" s="121">
        <v>0.7</v>
      </c>
      <c r="D50" s="122">
        <f t="shared" si="39"/>
        <v>4.2</v>
      </c>
      <c r="E50" s="121">
        <v>5</v>
      </c>
      <c r="F50" s="122">
        <f t="shared" si="15"/>
        <v>381.521739130435</v>
      </c>
      <c r="G50" s="121">
        <v>200</v>
      </c>
      <c r="H50" s="150">
        <f t="shared" si="14"/>
        <v>208.293950850662</v>
      </c>
      <c r="I50" s="150">
        <f t="shared" si="2"/>
        <v>8.29395085066162</v>
      </c>
      <c r="J50" s="159">
        <v>690</v>
      </c>
      <c r="K50" s="155"/>
      <c r="L50" s="121">
        <v>46</v>
      </c>
      <c r="M50" s="122">
        <v>0.4</v>
      </c>
      <c r="N50" s="121">
        <f t="shared" si="33"/>
        <v>0.8</v>
      </c>
      <c r="O50" s="122">
        <f t="shared" si="22"/>
        <v>4.3</v>
      </c>
      <c r="P50" s="121">
        <f t="shared" si="40"/>
        <v>5.5</v>
      </c>
      <c r="Q50" s="122">
        <f t="shared" si="16"/>
        <v>405</v>
      </c>
      <c r="R50" s="121">
        <v>250</v>
      </c>
      <c r="S50" s="150">
        <f t="shared" si="7"/>
        <v>258.804347826087</v>
      </c>
      <c r="T50" s="159">
        <v>690</v>
      </c>
      <c r="U50" s="155"/>
      <c r="V50" s="121">
        <v>46</v>
      </c>
      <c r="W50" s="168">
        <v>0.6</v>
      </c>
      <c r="X50" s="121">
        <f t="shared" si="37"/>
        <v>0.9</v>
      </c>
      <c r="Y50" s="122">
        <v>5.6</v>
      </c>
      <c r="Z50" s="121">
        <f>P50+1.9</f>
        <v>7.4</v>
      </c>
      <c r="AA50" s="122">
        <f t="shared" si="17"/>
        <v>539.130434782609</v>
      </c>
      <c r="AB50" s="121">
        <v>250</v>
      </c>
      <c r="AC50" s="150">
        <f t="shared" si="8"/>
        <v>261.7202268431</v>
      </c>
      <c r="AD50" s="150">
        <v>700</v>
      </c>
      <c r="AE50" s="155"/>
      <c r="AF50" s="121">
        <v>46</v>
      </c>
      <c r="AG50" s="168">
        <v>0.8</v>
      </c>
      <c r="AH50" s="122">
        <f t="shared" si="35"/>
        <v>1.17</v>
      </c>
      <c r="AI50" s="122">
        <v>6.6</v>
      </c>
      <c r="AJ50" s="121">
        <f t="shared" si="41"/>
        <v>7.9</v>
      </c>
      <c r="AK50" s="122">
        <f t="shared" si="18"/>
        <v>641.95652173913</v>
      </c>
      <c r="AL50" s="121">
        <v>250</v>
      </c>
      <c r="AM50" s="150">
        <f t="shared" si="10"/>
        <v>213.955576559546</v>
      </c>
      <c r="AN50" s="150">
        <v>720</v>
      </c>
      <c r="AO50" s="155"/>
      <c r="AP50" s="121">
        <v>46</v>
      </c>
      <c r="AQ50" s="168">
        <v>0.8</v>
      </c>
      <c r="AR50" s="121">
        <f t="shared" si="38"/>
        <v>1.37</v>
      </c>
      <c r="AS50" s="122">
        <f t="shared" si="36"/>
        <v>7</v>
      </c>
      <c r="AT50" s="121">
        <f t="shared" si="24"/>
        <v>7.9</v>
      </c>
      <c r="AU50" s="122">
        <f t="shared" si="19"/>
        <v>671.521739130435</v>
      </c>
      <c r="AV50" s="121">
        <v>250</v>
      </c>
      <c r="AW50" s="150">
        <f t="shared" si="12"/>
        <v>214.598298676749</v>
      </c>
      <c r="AX50" s="122">
        <f t="shared" si="13"/>
        <v>-35.4017013232514</v>
      </c>
    </row>
    <row r="51" spans="1:50">
      <c r="A51" s="121">
        <v>47</v>
      </c>
      <c r="B51" s="168">
        <v>0.3</v>
      </c>
      <c r="C51" s="121">
        <v>0.7</v>
      </c>
      <c r="D51" s="122">
        <f t="shared" si="39"/>
        <v>4.2</v>
      </c>
      <c r="E51" s="121">
        <v>5.2</v>
      </c>
      <c r="F51" s="122">
        <f t="shared" si="15"/>
        <v>374.68085106383</v>
      </c>
      <c r="G51" s="121">
        <v>200</v>
      </c>
      <c r="H51" s="150">
        <f t="shared" si="14"/>
        <v>207.971933001358</v>
      </c>
      <c r="I51" s="150">
        <f t="shared" si="2"/>
        <v>7.97193300135808</v>
      </c>
      <c r="J51" s="159">
        <v>690</v>
      </c>
      <c r="K51" s="155"/>
      <c r="L51" s="121">
        <v>47</v>
      </c>
      <c r="M51" s="122">
        <v>0.4</v>
      </c>
      <c r="N51" s="121">
        <f t="shared" si="33"/>
        <v>0.8</v>
      </c>
      <c r="O51" s="122">
        <f t="shared" si="22"/>
        <v>4.3</v>
      </c>
      <c r="P51" s="121">
        <f t="shared" si="40"/>
        <v>5.7</v>
      </c>
      <c r="Q51" s="122">
        <f t="shared" si="16"/>
        <v>397.659574468085</v>
      </c>
      <c r="R51" s="121">
        <v>250</v>
      </c>
      <c r="S51" s="150">
        <f t="shared" si="7"/>
        <v>258.460842009959</v>
      </c>
      <c r="T51" s="159">
        <v>690</v>
      </c>
      <c r="U51" s="155"/>
      <c r="V51" s="121">
        <v>47</v>
      </c>
      <c r="W51" s="122">
        <v>0.7</v>
      </c>
      <c r="X51" s="121">
        <f t="shared" si="37"/>
        <v>0.9</v>
      </c>
      <c r="Y51" s="122">
        <v>5.7</v>
      </c>
      <c r="Z51" s="121">
        <f>P51+2</f>
        <v>7.7</v>
      </c>
      <c r="AA51" s="122">
        <f t="shared" si="17"/>
        <v>549.36170212766</v>
      </c>
      <c r="AB51" s="121">
        <v>250</v>
      </c>
      <c r="AC51" s="150">
        <f t="shared" si="8"/>
        <v>261.68854685378</v>
      </c>
      <c r="AD51" s="150">
        <v>700</v>
      </c>
      <c r="AE51" s="155"/>
      <c r="AF51" s="121">
        <v>47</v>
      </c>
      <c r="AG51" s="168">
        <v>0.8</v>
      </c>
      <c r="AH51" s="122">
        <f t="shared" si="35"/>
        <v>1.17</v>
      </c>
      <c r="AI51" s="122">
        <v>6.8</v>
      </c>
      <c r="AJ51" s="121">
        <f t="shared" si="41"/>
        <v>8.2</v>
      </c>
      <c r="AK51" s="122">
        <f t="shared" si="18"/>
        <v>644.68085106383</v>
      </c>
      <c r="AL51" s="121">
        <v>250</v>
      </c>
      <c r="AM51" s="150">
        <f t="shared" si="10"/>
        <v>213.716613852422</v>
      </c>
      <c r="AN51" s="150">
        <v>720</v>
      </c>
      <c r="AO51" s="155"/>
      <c r="AP51" s="121">
        <v>47</v>
      </c>
      <c r="AQ51" s="168">
        <v>0.8</v>
      </c>
      <c r="AR51" s="121">
        <f t="shared" si="38"/>
        <v>1.37</v>
      </c>
      <c r="AS51" s="122">
        <f t="shared" si="36"/>
        <v>7.125</v>
      </c>
      <c r="AT51" s="121">
        <f t="shared" si="24"/>
        <v>8.2</v>
      </c>
      <c r="AU51" s="122">
        <f t="shared" si="19"/>
        <v>668.191489361702</v>
      </c>
      <c r="AV51" s="121">
        <v>250</v>
      </c>
      <c r="AW51" s="150">
        <f t="shared" si="12"/>
        <v>214.216840199185</v>
      </c>
      <c r="AX51" s="122">
        <f t="shared" si="13"/>
        <v>-35.7831598008149</v>
      </c>
    </row>
    <row r="52" spans="1:50">
      <c r="A52" s="121">
        <v>48</v>
      </c>
      <c r="B52" s="168">
        <v>0.3</v>
      </c>
      <c r="C52" s="121">
        <v>0.7</v>
      </c>
      <c r="D52" s="122">
        <f t="shared" si="39"/>
        <v>4.2</v>
      </c>
      <c r="E52" s="121">
        <v>5.2</v>
      </c>
      <c r="F52" s="122">
        <f t="shared" si="15"/>
        <v>366.875</v>
      </c>
      <c r="G52" s="121">
        <v>200</v>
      </c>
      <c r="H52" s="150">
        <f t="shared" si="14"/>
        <v>207.643229166667</v>
      </c>
      <c r="I52" s="150">
        <f t="shared" si="2"/>
        <v>7.64322916666666</v>
      </c>
      <c r="J52" s="159">
        <v>690</v>
      </c>
      <c r="K52" s="155"/>
      <c r="L52" s="121">
        <v>48</v>
      </c>
      <c r="M52" s="122">
        <v>0.4</v>
      </c>
      <c r="N52" s="121">
        <f t="shared" si="33"/>
        <v>0.8</v>
      </c>
      <c r="O52" s="122">
        <f t="shared" si="22"/>
        <v>4.3</v>
      </c>
      <c r="P52" s="121">
        <f t="shared" si="40"/>
        <v>5.7</v>
      </c>
      <c r="Q52" s="122">
        <f t="shared" si="16"/>
        <v>389.375</v>
      </c>
      <c r="R52" s="121">
        <v>250</v>
      </c>
      <c r="S52" s="150">
        <f t="shared" si="7"/>
        <v>258.111979166667</v>
      </c>
      <c r="T52" s="159">
        <v>690</v>
      </c>
      <c r="U52" s="155"/>
      <c r="V52" s="121">
        <v>48</v>
      </c>
      <c r="W52" s="122">
        <v>0.7</v>
      </c>
      <c r="X52" s="121">
        <f t="shared" si="37"/>
        <v>0.9</v>
      </c>
      <c r="Y52" s="122">
        <v>5.8</v>
      </c>
      <c r="Z52" s="121">
        <f>P52+2</f>
        <v>7.7</v>
      </c>
      <c r="AA52" s="122">
        <f t="shared" si="17"/>
        <v>545</v>
      </c>
      <c r="AB52" s="121">
        <v>250</v>
      </c>
      <c r="AC52" s="150">
        <f t="shared" si="8"/>
        <v>261.354166666667</v>
      </c>
      <c r="AD52" s="150">
        <v>700</v>
      </c>
      <c r="AE52" s="155"/>
      <c r="AF52" s="121">
        <v>48</v>
      </c>
      <c r="AG52" s="168">
        <v>0.8</v>
      </c>
      <c r="AH52" s="122">
        <f t="shared" si="35"/>
        <v>1.17</v>
      </c>
      <c r="AI52" s="122">
        <v>6.9</v>
      </c>
      <c r="AJ52" s="121">
        <f t="shared" si="41"/>
        <v>8.2</v>
      </c>
      <c r="AK52" s="122">
        <f t="shared" si="18"/>
        <v>638.333333333333</v>
      </c>
      <c r="AL52" s="121">
        <v>250</v>
      </c>
      <c r="AM52" s="150">
        <f t="shared" si="10"/>
        <v>213.298611111111</v>
      </c>
      <c r="AN52" s="150">
        <v>720</v>
      </c>
      <c r="AO52" s="155"/>
      <c r="AP52" s="121">
        <v>48</v>
      </c>
      <c r="AQ52" s="168">
        <v>0.9</v>
      </c>
      <c r="AR52" s="121">
        <f t="shared" si="38"/>
        <v>1.37</v>
      </c>
      <c r="AS52" s="122">
        <f t="shared" si="36"/>
        <v>7.25</v>
      </c>
      <c r="AT52" s="121">
        <f t="shared" si="24"/>
        <v>8.2</v>
      </c>
      <c r="AU52" s="122">
        <f t="shared" si="19"/>
        <v>675.416666666667</v>
      </c>
      <c r="AV52" s="121">
        <v>250</v>
      </c>
      <c r="AW52" s="150">
        <f t="shared" si="12"/>
        <v>214.071180555556</v>
      </c>
      <c r="AX52" s="122">
        <f t="shared" si="13"/>
        <v>-35.9288194444445</v>
      </c>
    </row>
    <row r="53" spans="1:50">
      <c r="A53" s="121">
        <v>49</v>
      </c>
      <c r="B53" s="168">
        <v>0.3</v>
      </c>
      <c r="C53" s="121">
        <v>0.7</v>
      </c>
      <c r="D53" s="122">
        <f t="shared" si="39"/>
        <v>4.2</v>
      </c>
      <c r="E53" s="121">
        <v>5.4</v>
      </c>
      <c r="F53" s="122">
        <f t="shared" si="15"/>
        <v>360.612244897959</v>
      </c>
      <c r="G53" s="121">
        <v>200</v>
      </c>
      <c r="H53" s="150">
        <f t="shared" si="14"/>
        <v>207.359433569346</v>
      </c>
      <c r="I53" s="150">
        <f t="shared" si="2"/>
        <v>7.35943356934609</v>
      </c>
      <c r="J53" s="159">
        <v>690</v>
      </c>
      <c r="K53" s="155"/>
      <c r="L53" s="121">
        <v>49</v>
      </c>
      <c r="M53" s="122">
        <v>0.4</v>
      </c>
      <c r="N53" s="121">
        <f t="shared" si="33"/>
        <v>0.8</v>
      </c>
      <c r="O53" s="122">
        <f t="shared" si="22"/>
        <v>4.3</v>
      </c>
      <c r="P53" s="121">
        <f t="shared" si="40"/>
        <v>5.9</v>
      </c>
      <c r="Q53" s="122">
        <f t="shared" si="16"/>
        <v>382.65306122449</v>
      </c>
      <c r="R53" s="121">
        <v>250</v>
      </c>
      <c r="S53" s="150">
        <f t="shared" si="7"/>
        <v>257.809246147439</v>
      </c>
      <c r="T53" s="159">
        <v>690</v>
      </c>
      <c r="U53" s="155"/>
      <c r="V53" s="121">
        <v>49</v>
      </c>
      <c r="W53" s="122">
        <v>0.7</v>
      </c>
      <c r="X53" s="121">
        <f t="shared" si="37"/>
        <v>0.9</v>
      </c>
      <c r="Y53" s="122">
        <v>5.9</v>
      </c>
      <c r="Z53" s="121">
        <f>P53+2</f>
        <v>7.9</v>
      </c>
      <c r="AA53" s="122">
        <f t="shared" si="17"/>
        <v>542.040816326531</v>
      </c>
      <c r="AB53" s="121">
        <v>250</v>
      </c>
      <c r="AC53" s="150">
        <f t="shared" si="8"/>
        <v>261.062057476052</v>
      </c>
      <c r="AD53" s="150">
        <v>700</v>
      </c>
      <c r="AE53" s="155"/>
      <c r="AF53" s="121">
        <v>49</v>
      </c>
      <c r="AG53" s="168">
        <v>0.8</v>
      </c>
      <c r="AH53" s="122">
        <f t="shared" si="35"/>
        <v>1.17</v>
      </c>
      <c r="AI53" s="122">
        <v>7</v>
      </c>
      <c r="AJ53" s="121">
        <f t="shared" si="41"/>
        <v>8.4</v>
      </c>
      <c r="AK53" s="122">
        <f t="shared" si="18"/>
        <v>633.469387755102</v>
      </c>
      <c r="AL53" s="121">
        <v>250</v>
      </c>
      <c r="AM53" s="150">
        <f t="shared" si="10"/>
        <v>212.92794668888</v>
      </c>
      <c r="AN53" s="150">
        <v>720</v>
      </c>
      <c r="AO53" s="155"/>
      <c r="AP53" s="121">
        <v>49</v>
      </c>
      <c r="AQ53" s="168">
        <v>0.9</v>
      </c>
      <c r="AR53" s="121">
        <f t="shared" si="38"/>
        <v>1.37</v>
      </c>
      <c r="AS53" s="122">
        <f t="shared" si="36"/>
        <v>7.375</v>
      </c>
      <c r="AT53" s="121">
        <v>7.2</v>
      </c>
      <c r="AU53" s="122">
        <f t="shared" si="19"/>
        <v>664.183673469388</v>
      </c>
      <c r="AV53" s="121">
        <v>250</v>
      </c>
      <c r="AW53" s="150">
        <f t="shared" si="12"/>
        <v>213.554768846314</v>
      </c>
      <c r="AX53" s="122">
        <f t="shared" si="13"/>
        <v>-36.445231153686</v>
      </c>
    </row>
    <row r="54" spans="1:50">
      <c r="A54" s="121">
        <v>50</v>
      </c>
      <c r="B54" s="168">
        <v>0.3</v>
      </c>
      <c r="C54" s="121">
        <v>0.7</v>
      </c>
      <c r="D54" s="122">
        <f t="shared" si="39"/>
        <v>4.2</v>
      </c>
      <c r="E54" s="121">
        <v>5.4</v>
      </c>
      <c r="F54" s="122">
        <f t="shared" si="15"/>
        <v>353.4</v>
      </c>
      <c r="G54" s="121">
        <v>200</v>
      </c>
      <c r="H54" s="150">
        <f t="shared" si="14"/>
        <v>207.068</v>
      </c>
      <c r="I54" s="150">
        <f t="shared" si="2"/>
        <v>7.06799999999998</v>
      </c>
      <c r="J54" s="159">
        <v>690</v>
      </c>
      <c r="K54" s="155"/>
      <c r="L54" s="121">
        <v>50</v>
      </c>
      <c r="M54" s="122">
        <v>0.5</v>
      </c>
      <c r="N54" s="121">
        <f t="shared" si="33"/>
        <v>0.8</v>
      </c>
      <c r="O54" s="122">
        <f t="shared" si="22"/>
        <v>4.3</v>
      </c>
      <c r="P54" s="121">
        <f t="shared" si="40"/>
        <v>5.9</v>
      </c>
      <c r="Q54" s="122">
        <f t="shared" si="16"/>
        <v>386.8</v>
      </c>
      <c r="R54" s="121">
        <v>250</v>
      </c>
      <c r="S54" s="150">
        <f t="shared" si="7"/>
        <v>257.736</v>
      </c>
      <c r="T54" s="159">
        <v>690</v>
      </c>
      <c r="U54" s="155"/>
      <c r="V54" s="121">
        <v>50</v>
      </c>
      <c r="W54" s="122">
        <v>0.8</v>
      </c>
      <c r="X54" s="121">
        <v>0.9</v>
      </c>
      <c r="Y54" s="122">
        <v>6</v>
      </c>
      <c r="Z54" s="121">
        <f>P54+2</f>
        <v>7.9</v>
      </c>
      <c r="AA54" s="122">
        <f t="shared" si="17"/>
        <v>549.8</v>
      </c>
      <c r="AB54" s="121">
        <v>250</v>
      </c>
      <c r="AC54" s="150">
        <f t="shared" si="8"/>
        <v>260.996</v>
      </c>
      <c r="AD54" s="150">
        <v>700</v>
      </c>
      <c r="AE54" s="155"/>
      <c r="AF54" s="121">
        <v>50</v>
      </c>
      <c r="AG54" s="122">
        <v>1</v>
      </c>
      <c r="AH54" s="122">
        <f t="shared" si="35"/>
        <v>1.17</v>
      </c>
      <c r="AI54" s="122">
        <v>7.1</v>
      </c>
      <c r="AJ54" s="121">
        <f t="shared" si="41"/>
        <v>8.4</v>
      </c>
      <c r="AK54" s="122">
        <f t="shared" si="18"/>
        <v>651.2</v>
      </c>
      <c r="AL54" s="121">
        <v>250</v>
      </c>
      <c r="AM54" s="150">
        <f t="shared" si="10"/>
        <v>213.024</v>
      </c>
      <c r="AN54" s="150">
        <v>720</v>
      </c>
      <c r="AO54" s="155"/>
      <c r="AP54" s="121">
        <v>50</v>
      </c>
      <c r="AQ54" s="122">
        <v>1</v>
      </c>
      <c r="AR54" s="121">
        <f t="shared" si="38"/>
        <v>1.37</v>
      </c>
      <c r="AS54" s="122">
        <f t="shared" si="36"/>
        <v>7.5</v>
      </c>
      <c r="AT54" s="121">
        <v>7.2</v>
      </c>
      <c r="AU54" s="122">
        <f t="shared" si="19"/>
        <v>671.2</v>
      </c>
      <c r="AV54" s="121">
        <v>250</v>
      </c>
      <c r="AW54" s="150">
        <f t="shared" si="12"/>
        <v>213.424</v>
      </c>
      <c r="AX54" s="122">
        <f t="shared" si="13"/>
        <v>-36.576</v>
      </c>
    </row>
    <row r="55" spans="1:50">
      <c r="AO55" s="150">
        <f>(45/120)*AM54</f>
        <v>79.884</v>
      </c>
    </row>
  </sheetData>
  <mergeCells count="10">
    <mergeCell ref="A1:R1"/>
    <mergeCell ref="A2:E2"/>
    <mergeCell ref="L2:P2"/>
    <mergeCell ref="V2:Z2"/>
    <mergeCell ref="AF2:AJ2"/>
    <mergeCell ref="AP2:AT2"/>
    <mergeCell ref="K2:K54"/>
    <mergeCell ref="U2:U54"/>
    <mergeCell ref="AE2:AE54"/>
    <mergeCell ref="AO2:AO54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"/>
  <sheetViews>
    <sheetView showGridLines="0" workbookViewId="0">
      <selection activeCell="G36" sqref="G36"/>
    </sheetView>
  </sheetViews>
  <sheetFormatPr defaultColWidth="9" defaultRowHeight="16.5"/>
  <cols>
    <col min="1" max="1" width="9.5" style="1" customWidth="1"/>
    <col min="2" max="2" width="12.25" style="1" customWidth="1"/>
    <col min="3" max="4" width="8.25" style="1" customWidth="1"/>
    <col min="5" max="6" width="11.875" style="1" customWidth="1"/>
    <col min="7" max="7" width="11.125" style="1" customWidth="1"/>
    <col min="8" max="8" width="10.125" style="1" customWidth="1"/>
    <col min="9" max="10" width="8.875" style="1" customWidth="1"/>
    <col min="11" max="11" width="10.625" style="1" customWidth="1"/>
    <col min="12" max="12" width="8.875" style="1" customWidth="1"/>
    <col min="13" max="13" width="10.875" style="1" customWidth="1"/>
    <col min="14" max="18" width="9.25" style="1" customWidth="1"/>
    <col min="19" max="19" width="10" style="1" customWidth="1"/>
    <col min="20" max="24" width="9.125" style="1" customWidth="1"/>
    <col min="25" max="25" width="12.625" style="1"/>
    <col min="26" max="16384" width="9" style="1"/>
  </cols>
  <sheetData>
    <row r="1" spans="1:25">
      <c r="F1" s="1">
        <v>1.1</v>
      </c>
      <c r="L1" s="1">
        <v>1.18</v>
      </c>
      <c r="R1" s="1">
        <v>1.2</v>
      </c>
    </row>
    <row r="2" ht="48" customHeight="1" spans="1:25">
      <c r="B2" s="178" t="s">
        <v>378</v>
      </c>
      <c r="C2" s="82"/>
      <c r="D2" s="82"/>
      <c r="E2" s="82" t="s">
        <v>379</v>
      </c>
      <c r="F2" s="82">
        <v>50</v>
      </c>
      <c r="G2" s="179">
        <f>AVERAGE(G5:G24)</f>
        <v>153.012110466222</v>
      </c>
      <c r="H2" s="178" t="s">
        <v>380</v>
      </c>
      <c r="I2" s="82"/>
      <c r="J2" s="82"/>
      <c r="K2" s="82" t="s">
        <v>379</v>
      </c>
      <c r="L2" s="82">
        <v>1286</v>
      </c>
      <c r="M2" s="179">
        <f>AVERAGE(M5:M24)</f>
        <v>195.269314653924</v>
      </c>
      <c r="N2" s="178" t="s">
        <v>381</v>
      </c>
      <c r="O2" s="82"/>
      <c r="P2" s="82"/>
      <c r="Q2" s="82" t="s">
        <v>379</v>
      </c>
      <c r="R2" s="82">
        <v>409</v>
      </c>
      <c r="S2" s="179">
        <f>AVERAGE(S5:S24)</f>
        <v>226.965665432817</v>
      </c>
      <c r="T2" s="178" t="s">
        <v>382</v>
      </c>
      <c r="U2" s="82"/>
      <c r="V2" s="82"/>
      <c r="W2" s="82" t="s">
        <v>379</v>
      </c>
      <c r="X2" s="82">
        <v>292</v>
      </c>
      <c r="Y2" s="179">
        <f>AVERAGE(Y5:Y24)</f>
        <v>258.589985007913</v>
      </c>
    </row>
    <row r="3" spans="1:25">
      <c r="B3" s="180" t="s">
        <v>383</v>
      </c>
      <c r="C3" s="180" t="s">
        <v>8</v>
      </c>
      <c r="D3" s="180" t="s">
        <v>9</v>
      </c>
      <c r="E3" s="180" t="s">
        <v>10</v>
      </c>
      <c r="F3" s="180" t="s">
        <v>103</v>
      </c>
      <c r="G3" s="181"/>
      <c r="H3" s="180" t="s">
        <v>383</v>
      </c>
      <c r="I3" s="180" t="s">
        <v>8</v>
      </c>
      <c r="J3" s="180" t="s">
        <v>9</v>
      </c>
      <c r="K3" s="180" t="s">
        <v>10</v>
      </c>
      <c r="L3" s="180" t="s">
        <v>103</v>
      </c>
      <c r="M3" s="181"/>
      <c r="N3" s="180" t="s">
        <v>383</v>
      </c>
      <c r="O3" s="180" t="s">
        <v>8</v>
      </c>
      <c r="P3" s="180" t="s">
        <v>9</v>
      </c>
      <c r="Q3" s="180" t="s">
        <v>10</v>
      </c>
      <c r="R3" s="180" t="s">
        <v>103</v>
      </c>
      <c r="S3" s="181"/>
      <c r="T3" s="180" t="s">
        <v>383</v>
      </c>
      <c r="U3" s="180" t="s">
        <v>8</v>
      </c>
      <c r="V3" s="180" t="s">
        <v>9</v>
      </c>
      <c r="W3" s="180" t="s">
        <v>10</v>
      </c>
      <c r="X3" s="180" t="s">
        <v>103</v>
      </c>
    </row>
    <row r="4" spans="1:25">
      <c r="B4" s="180">
        <v>0</v>
      </c>
      <c r="C4" s="182">
        <v>0</v>
      </c>
      <c r="D4" s="182">
        <v>0</v>
      </c>
      <c r="E4" s="182">
        <v>0</v>
      </c>
      <c r="F4" s="180">
        <v>0</v>
      </c>
      <c r="G4" s="183" t="e">
        <f>(C4*5900+E4*2300+F4*300+$F$2*B4)/B4</f>
        <v>#DIV/0!</v>
      </c>
      <c r="H4" s="180">
        <v>0</v>
      </c>
      <c r="I4" s="182">
        <f>C4*$L$1</f>
        <v>0</v>
      </c>
      <c r="J4" s="182">
        <f>D4*1.3</f>
        <v>0</v>
      </c>
      <c r="K4" s="182">
        <f>E4*1.3</f>
        <v>0</v>
      </c>
      <c r="L4" s="182">
        <v>0</v>
      </c>
      <c r="M4" s="183" t="e">
        <f>(I4*5900+K4*2300+L4*300+$L$2*H4)/H4</f>
        <v>#DIV/0!</v>
      </c>
      <c r="N4" s="180">
        <v>0</v>
      </c>
      <c r="O4" s="182">
        <v>0</v>
      </c>
      <c r="P4" s="182">
        <f>D4*1.5</f>
        <v>0</v>
      </c>
      <c r="Q4" s="182">
        <f>E4*1.5</f>
        <v>0</v>
      </c>
      <c r="R4" s="180">
        <f>F4*1.5</f>
        <v>0</v>
      </c>
      <c r="S4" s="183" t="e">
        <f>(O4*5900+Q4*2300+R4*300+$R$2*N4)/N4</f>
        <v>#DIV/0!</v>
      </c>
      <c r="T4" s="180">
        <v>0</v>
      </c>
      <c r="U4" s="182">
        <v>0</v>
      </c>
      <c r="V4" s="182">
        <f>D4*1.7</f>
        <v>0</v>
      </c>
      <c r="W4" s="182">
        <f>E4*1.7</f>
        <v>0</v>
      </c>
      <c r="X4" s="182">
        <f>F4*1.7</f>
        <v>0</v>
      </c>
      <c r="Y4" s="183" t="e">
        <f>(U4*5900+W4*2300+X4*300+$X$2*T4)/T4</f>
        <v>#DIV/0!</v>
      </c>
    </row>
    <row r="5" spans="1:25">
      <c r="A5" s="180" t="s">
        <v>384</v>
      </c>
      <c r="B5" s="180">
        <v>20</v>
      </c>
      <c r="C5" s="182">
        <f>0.5*F1</f>
        <v>0.55</v>
      </c>
      <c r="D5" s="182">
        <v>1.2</v>
      </c>
      <c r="E5" s="182">
        <f>(2+0.3)*1.5</f>
        <v>3.45</v>
      </c>
      <c r="F5" s="180">
        <v>3</v>
      </c>
      <c r="G5" s="183">
        <f t="shared" ref="G5:G7" si="0">(C5*5900+D5*3400+E5*1200+F5*300)/B5</f>
        <v>618.25</v>
      </c>
      <c r="H5" s="180">
        <v>20</v>
      </c>
      <c r="I5" s="182">
        <f t="shared" ref="I5:I24" si="1">C5*$L$1</f>
        <v>0.649</v>
      </c>
      <c r="J5" s="182">
        <f t="shared" ref="J5:J24" si="2">D5*1.3</f>
        <v>1.56</v>
      </c>
      <c r="K5" s="182">
        <f t="shared" ref="K5:K24" si="3">E5*1.3</f>
        <v>4.485</v>
      </c>
      <c r="L5" s="182">
        <f>F5*1.3</f>
        <v>3.9</v>
      </c>
      <c r="M5" s="183">
        <f t="shared" ref="M5:M24" si="4">(I5*5900+J5*3400+K5*1200+L5*300)/H5</f>
        <v>784.255</v>
      </c>
      <c r="N5" s="180">
        <v>20</v>
      </c>
      <c r="O5" s="182">
        <f>I5*$R$1</f>
        <v>0.7788</v>
      </c>
      <c r="P5" s="182">
        <f t="shared" ref="P5:P24" si="5">D5*1.5</f>
        <v>1.8</v>
      </c>
      <c r="Q5" s="182">
        <f t="shared" ref="Q5:Q24" si="6">E5*1.5</f>
        <v>5.175</v>
      </c>
      <c r="R5" s="180">
        <f t="shared" ref="R5:R24" si="7">F5*1.5</f>
        <v>4.5</v>
      </c>
      <c r="S5" s="183">
        <f t="shared" ref="S5:S24" si="8">(O5*5900+P5*3400+Q5*1200+R5*300)/N5</f>
        <v>913.746</v>
      </c>
      <c r="T5" s="180">
        <v>20</v>
      </c>
      <c r="U5" s="182">
        <f t="shared" ref="U5:U24" si="9">O5+0.2</f>
        <v>0.9788</v>
      </c>
      <c r="V5" s="182">
        <f t="shared" ref="V5:V24" si="10">D5*1.7</f>
        <v>2.04</v>
      </c>
      <c r="W5" s="182">
        <f t="shared" ref="W5:W24" si="11">E5*1.7</f>
        <v>5.865</v>
      </c>
      <c r="X5" s="182">
        <f t="shared" ref="X5:X24" si="12">F5*1.7</f>
        <v>5.1</v>
      </c>
      <c r="Y5" s="183">
        <f t="shared" ref="Y5:Y24" si="13">(U5*5900+V5*3400+W5*1200+X5*300)/T5</f>
        <v>1063.946</v>
      </c>
    </row>
    <row r="6" spans="1:25">
      <c r="A6" s="180" t="s">
        <v>385</v>
      </c>
      <c r="B6" s="180">
        <v>51</v>
      </c>
      <c r="C6" s="182">
        <f>0.7*F1</f>
        <v>0.77</v>
      </c>
      <c r="D6" s="182">
        <v>2</v>
      </c>
      <c r="E6" s="182">
        <f>(2.2+0.3)*1.5</f>
        <v>3.75</v>
      </c>
      <c r="F6" s="180">
        <v>4</v>
      </c>
      <c r="G6" s="183">
        <f t="shared" si="0"/>
        <v>334.176470588235</v>
      </c>
      <c r="H6" s="180">
        <v>51</v>
      </c>
      <c r="I6" s="182">
        <f t="shared" si="1"/>
        <v>0.9086</v>
      </c>
      <c r="J6" s="182">
        <f t="shared" si="2"/>
        <v>2.6</v>
      </c>
      <c r="K6" s="182">
        <f t="shared" si="3"/>
        <v>4.875</v>
      </c>
      <c r="L6" s="182">
        <f t="shared" ref="L6:L24" si="14">F6*1.3</f>
        <v>5.2</v>
      </c>
      <c r="M6" s="183">
        <f t="shared" si="4"/>
        <v>423.74</v>
      </c>
      <c r="N6" s="180">
        <v>51</v>
      </c>
      <c r="O6" s="182">
        <f t="shared" ref="O6:O24" si="15">I6*$R$1</f>
        <v>1.09032</v>
      </c>
      <c r="P6" s="182">
        <f t="shared" si="5"/>
        <v>3</v>
      </c>
      <c r="Q6" s="182">
        <f t="shared" si="6"/>
        <v>5.625</v>
      </c>
      <c r="R6" s="180">
        <f t="shared" si="7"/>
        <v>6</v>
      </c>
      <c r="S6" s="183">
        <f t="shared" si="8"/>
        <v>493.782117647059</v>
      </c>
      <c r="T6" s="180">
        <v>51</v>
      </c>
      <c r="U6" s="182">
        <f t="shared" si="9"/>
        <v>1.29032</v>
      </c>
      <c r="V6" s="182">
        <f t="shared" si="10"/>
        <v>3.4</v>
      </c>
      <c r="W6" s="182">
        <f t="shared" si="11"/>
        <v>6.375</v>
      </c>
      <c r="X6" s="182">
        <f t="shared" si="12"/>
        <v>6.8</v>
      </c>
      <c r="Y6" s="183">
        <f t="shared" si="13"/>
        <v>565.938980392157</v>
      </c>
    </row>
    <row r="7" spans="1:25">
      <c r="A7" s="180" t="s">
        <v>386</v>
      </c>
      <c r="B7" s="180">
        <v>101</v>
      </c>
      <c r="C7" s="182">
        <f>0.9*F1</f>
        <v>0.99</v>
      </c>
      <c r="D7" s="182">
        <v>2.8</v>
      </c>
      <c r="E7" s="182">
        <f>(2.4+0.5)*1.5</f>
        <v>4.35</v>
      </c>
      <c r="F7" s="180">
        <v>5</v>
      </c>
      <c r="G7" s="183">
        <f t="shared" si="0"/>
        <v>218.623762376238</v>
      </c>
      <c r="H7" s="180">
        <v>101</v>
      </c>
      <c r="I7" s="182">
        <f t="shared" si="1"/>
        <v>1.1682</v>
      </c>
      <c r="J7" s="182">
        <f t="shared" si="2"/>
        <v>3.64</v>
      </c>
      <c r="K7" s="182">
        <f t="shared" si="3"/>
        <v>5.655</v>
      </c>
      <c r="L7" s="182">
        <f t="shared" si="14"/>
        <v>6.5</v>
      </c>
      <c r="M7" s="183">
        <f t="shared" si="4"/>
        <v>277.271089108911</v>
      </c>
      <c r="N7" s="180">
        <v>101</v>
      </c>
      <c r="O7" s="182">
        <f t="shared" si="15"/>
        <v>1.40184</v>
      </c>
      <c r="P7" s="182">
        <f t="shared" si="5"/>
        <v>4.2</v>
      </c>
      <c r="Q7" s="182">
        <f t="shared" si="6"/>
        <v>6.525</v>
      </c>
      <c r="R7" s="180">
        <f t="shared" si="7"/>
        <v>7.5</v>
      </c>
      <c r="S7" s="183">
        <f t="shared" si="8"/>
        <v>323.077782178218</v>
      </c>
      <c r="T7" s="180">
        <v>101</v>
      </c>
      <c r="U7" s="182">
        <f t="shared" si="9"/>
        <v>1.60184</v>
      </c>
      <c r="V7" s="182">
        <f t="shared" si="10"/>
        <v>4.76</v>
      </c>
      <c r="W7" s="182">
        <f t="shared" si="11"/>
        <v>7.395</v>
      </c>
      <c r="X7" s="182">
        <f t="shared" si="12"/>
        <v>8.5</v>
      </c>
      <c r="Y7" s="183">
        <f t="shared" si="13"/>
        <v>366.919366336634</v>
      </c>
    </row>
    <row r="8" spans="1:25">
      <c r="A8" s="180" t="s">
        <v>387</v>
      </c>
      <c r="B8" s="180">
        <v>151</v>
      </c>
      <c r="C8" s="182">
        <f>1.1*0.7</f>
        <v>0.77</v>
      </c>
      <c r="D8" s="182">
        <v>3.6</v>
      </c>
      <c r="E8" s="182">
        <f>(2.6+0.5)*1.5</f>
        <v>4.65</v>
      </c>
      <c r="F8" s="180">
        <v>6</v>
      </c>
      <c r="G8" s="183">
        <f t="shared" ref="G8:G24" si="16">(C8*5900+D8*3400+E8*1200+F8*300)/B8</f>
        <v>160.019867549669</v>
      </c>
      <c r="H8" s="180">
        <v>151</v>
      </c>
      <c r="I8" s="182">
        <f t="shared" si="1"/>
        <v>0.9086</v>
      </c>
      <c r="J8" s="182">
        <f t="shared" si="2"/>
        <v>4.68</v>
      </c>
      <c r="K8" s="182">
        <f t="shared" si="3"/>
        <v>6.045</v>
      </c>
      <c r="L8" s="182">
        <f t="shared" si="14"/>
        <v>7.8</v>
      </c>
      <c r="M8" s="183">
        <f t="shared" si="4"/>
        <v>204.415496688742</v>
      </c>
      <c r="N8" s="180">
        <v>151</v>
      </c>
      <c r="O8" s="182">
        <f t="shared" si="15"/>
        <v>1.09032</v>
      </c>
      <c r="P8" s="182">
        <f t="shared" si="5"/>
        <v>5.4</v>
      </c>
      <c r="Q8" s="182">
        <f t="shared" si="6"/>
        <v>6.975</v>
      </c>
      <c r="R8" s="180">
        <f t="shared" si="7"/>
        <v>9</v>
      </c>
      <c r="S8" s="183">
        <f t="shared" si="8"/>
        <v>237.502569536424</v>
      </c>
      <c r="T8" s="180">
        <v>151</v>
      </c>
      <c r="U8" s="182">
        <f t="shared" si="9"/>
        <v>1.29032</v>
      </c>
      <c r="V8" s="182">
        <f t="shared" si="10"/>
        <v>6.12</v>
      </c>
      <c r="W8" s="182">
        <f t="shared" si="11"/>
        <v>7.905</v>
      </c>
      <c r="X8" s="182">
        <f t="shared" si="12"/>
        <v>10.2</v>
      </c>
      <c r="Y8" s="183">
        <f t="shared" si="13"/>
        <v>271.303894039735</v>
      </c>
    </row>
    <row r="9" spans="1:25">
      <c r="A9" s="180" t="s">
        <v>388</v>
      </c>
      <c r="B9" s="180">
        <v>201</v>
      </c>
      <c r="C9" s="182">
        <f>1.3*0.7</f>
        <v>0.91</v>
      </c>
      <c r="D9" s="182">
        <v>4.4</v>
      </c>
      <c r="E9" s="182">
        <f>(2.8+0.5)*1.5</f>
        <v>4.95</v>
      </c>
      <c r="F9" s="180">
        <v>7</v>
      </c>
      <c r="G9" s="183">
        <f t="shared" si="16"/>
        <v>141.139303482587</v>
      </c>
      <c r="H9" s="180">
        <v>201</v>
      </c>
      <c r="I9" s="182">
        <f t="shared" si="1"/>
        <v>1.0738</v>
      </c>
      <c r="J9" s="182">
        <f t="shared" si="2"/>
        <v>5.72</v>
      </c>
      <c r="K9" s="182">
        <f t="shared" si="3"/>
        <v>6.435</v>
      </c>
      <c r="L9" s="182">
        <f t="shared" si="14"/>
        <v>9.1</v>
      </c>
      <c r="M9" s="183">
        <f t="shared" si="4"/>
        <v>180.275721393035</v>
      </c>
      <c r="N9" s="180">
        <v>201</v>
      </c>
      <c r="O9" s="182">
        <f t="shared" si="15"/>
        <v>1.28856</v>
      </c>
      <c r="P9" s="182">
        <f t="shared" si="5"/>
        <v>6.6</v>
      </c>
      <c r="Q9" s="182">
        <f t="shared" si="6"/>
        <v>7.425</v>
      </c>
      <c r="R9" s="180">
        <f t="shared" si="7"/>
        <v>10.5</v>
      </c>
      <c r="S9" s="183">
        <f t="shared" si="8"/>
        <v>209.465194029851</v>
      </c>
      <c r="T9" s="180">
        <v>201</v>
      </c>
      <c r="U9" s="182">
        <f t="shared" si="9"/>
        <v>1.48856</v>
      </c>
      <c r="V9" s="182">
        <f t="shared" si="10"/>
        <v>7.48</v>
      </c>
      <c r="W9" s="182">
        <f t="shared" si="11"/>
        <v>8.415</v>
      </c>
      <c r="X9" s="182">
        <f t="shared" si="12"/>
        <v>11.9</v>
      </c>
      <c r="Y9" s="183">
        <f t="shared" si="13"/>
        <v>238.221412935323</v>
      </c>
    </row>
    <row r="10" spans="1:25">
      <c r="A10" s="180" t="s">
        <v>389</v>
      </c>
      <c r="B10" s="180">
        <v>251</v>
      </c>
      <c r="C10" s="182">
        <f>1.3*0.7</f>
        <v>0.91</v>
      </c>
      <c r="D10" s="182">
        <v>5.2</v>
      </c>
      <c r="E10" s="182">
        <f>(3+0.5)*1.5</f>
        <v>5.25</v>
      </c>
      <c r="F10" s="180">
        <v>8</v>
      </c>
      <c r="G10" s="183">
        <f t="shared" si="16"/>
        <v>126.490039840637</v>
      </c>
      <c r="H10" s="180">
        <v>251</v>
      </c>
      <c r="I10" s="182">
        <f t="shared" si="1"/>
        <v>1.0738</v>
      </c>
      <c r="J10" s="182">
        <f t="shared" si="2"/>
        <v>6.76</v>
      </c>
      <c r="K10" s="182">
        <f t="shared" si="3"/>
        <v>6.825</v>
      </c>
      <c r="L10" s="182">
        <f t="shared" si="14"/>
        <v>10.4</v>
      </c>
      <c r="M10" s="183">
        <f t="shared" si="4"/>
        <v>161.870199203187</v>
      </c>
      <c r="N10" s="180">
        <v>251</v>
      </c>
      <c r="O10" s="182">
        <f t="shared" si="15"/>
        <v>1.28856</v>
      </c>
      <c r="P10" s="182">
        <f t="shared" si="5"/>
        <v>7.8</v>
      </c>
      <c r="Q10" s="182">
        <f t="shared" si="6"/>
        <v>7.875</v>
      </c>
      <c r="R10" s="180">
        <f t="shared" si="7"/>
        <v>12</v>
      </c>
      <c r="S10" s="183">
        <f t="shared" si="8"/>
        <v>187.938262948207</v>
      </c>
      <c r="T10" s="180">
        <v>251</v>
      </c>
      <c r="U10" s="182">
        <f t="shared" si="9"/>
        <v>1.48856</v>
      </c>
      <c r="V10" s="182">
        <f t="shared" si="10"/>
        <v>8.84</v>
      </c>
      <c r="W10" s="182">
        <f t="shared" si="11"/>
        <v>8.925</v>
      </c>
      <c r="X10" s="182">
        <f t="shared" si="12"/>
        <v>13.6</v>
      </c>
      <c r="Y10" s="183">
        <f t="shared" si="13"/>
        <v>213.659378486056</v>
      </c>
    </row>
    <row r="11" spans="1:25">
      <c r="A11" s="180" t="s">
        <v>390</v>
      </c>
      <c r="B11" s="180">
        <v>301</v>
      </c>
      <c r="C11" s="182">
        <f>1.5*0.7</f>
        <v>1.05</v>
      </c>
      <c r="D11" s="182">
        <v>6</v>
      </c>
      <c r="E11" s="182">
        <f>(3.2+0.5)*1.5</f>
        <v>5.55</v>
      </c>
      <c r="F11" s="180">
        <v>9</v>
      </c>
      <c r="G11" s="183">
        <f t="shared" si="16"/>
        <v>119.451827242525</v>
      </c>
      <c r="H11" s="180">
        <v>301</v>
      </c>
      <c r="I11" s="182">
        <f t="shared" si="1"/>
        <v>1.239</v>
      </c>
      <c r="J11" s="182">
        <f t="shared" si="2"/>
        <v>7.8</v>
      </c>
      <c r="K11" s="182">
        <f t="shared" si="3"/>
        <v>7.215</v>
      </c>
      <c r="L11" s="182">
        <f t="shared" si="14"/>
        <v>11.7</v>
      </c>
      <c r="M11" s="183">
        <f t="shared" si="4"/>
        <v>152.817607973422</v>
      </c>
      <c r="N11" s="180">
        <v>301</v>
      </c>
      <c r="O11" s="182">
        <f t="shared" si="15"/>
        <v>1.4868</v>
      </c>
      <c r="P11" s="182">
        <f t="shared" si="5"/>
        <v>9</v>
      </c>
      <c r="Q11" s="182">
        <f t="shared" si="6"/>
        <v>8.325</v>
      </c>
      <c r="R11" s="180">
        <f t="shared" si="7"/>
        <v>13.5</v>
      </c>
      <c r="S11" s="183">
        <f t="shared" si="8"/>
        <v>177.448903654485</v>
      </c>
      <c r="T11" s="180">
        <v>301</v>
      </c>
      <c r="U11" s="182">
        <f t="shared" si="9"/>
        <v>1.6868</v>
      </c>
      <c r="V11" s="182">
        <f t="shared" si="10"/>
        <v>10.2</v>
      </c>
      <c r="W11" s="182">
        <f t="shared" si="11"/>
        <v>9.435</v>
      </c>
      <c r="X11" s="182">
        <f t="shared" si="12"/>
        <v>15.3</v>
      </c>
      <c r="Y11" s="183">
        <f t="shared" si="13"/>
        <v>201.143255813953</v>
      </c>
    </row>
    <row r="12" spans="1:25">
      <c r="A12" s="180" t="s">
        <v>391</v>
      </c>
      <c r="B12" s="180">
        <v>351</v>
      </c>
      <c r="C12" s="182">
        <f>1.5*0.7</f>
        <v>1.05</v>
      </c>
      <c r="D12" s="182">
        <v>6.8</v>
      </c>
      <c r="E12" s="182">
        <f>(3.4+0.5)*1.5</f>
        <v>5.85</v>
      </c>
      <c r="F12" s="180">
        <v>10</v>
      </c>
      <c r="G12" s="183">
        <f t="shared" si="16"/>
        <v>112.065527065527</v>
      </c>
      <c r="H12" s="180">
        <v>351</v>
      </c>
      <c r="I12" s="182">
        <f t="shared" si="1"/>
        <v>1.239</v>
      </c>
      <c r="J12" s="182">
        <f t="shared" si="2"/>
        <v>8.84</v>
      </c>
      <c r="K12" s="182">
        <f t="shared" si="3"/>
        <v>7.605</v>
      </c>
      <c r="L12" s="182">
        <f t="shared" si="14"/>
        <v>13</v>
      </c>
      <c r="M12" s="183">
        <f t="shared" si="4"/>
        <v>143.567236467236</v>
      </c>
      <c r="N12" s="180">
        <v>351</v>
      </c>
      <c r="O12" s="182">
        <f t="shared" si="15"/>
        <v>1.4868</v>
      </c>
      <c r="P12" s="182">
        <f t="shared" si="5"/>
        <v>10.2</v>
      </c>
      <c r="Q12" s="182">
        <f t="shared" si="6"/>
        <v>8.775</v>
      </c>
      <c r="R12" s="180">
        <f t="shared" si="7"/>
        <v>15</v>
      </c>
      <c r="S12" s="183">
        <f t="shared" si="8"/>
        <v>166.615726495726</v>
      </c>
      <c r="T12" s="180">
        <v>351</v>
      </c>
      <c r="U12" s="182">
        <f t="shared" si="9"/>
        <v>1.6868</v>
      </c>
      <c r="V12" s="182">
        <f t="shared" si="10"/>
        <v>11.56</v>
      </c>
      <c r="W12" s="182">
        <f t="shared" si="11"/>
        <v>9.945</v>
      </c>
      <c r="X12" s="182">
        <f t="shared" si="12"/>
        <v>17</v>
      </c>
      <c r="Y12" s="183">
        <f t="shared" si="13"/>
        <v>188.860740740741</v>
      </c>
    </row>
    <row r="13" spans="1:25">
      <c r="A13" s="180" t="s">
        <v>392</v>
      </c>
      <c r="B13" s="180">
        <v>401</v>
      </c>
      <c r="C13" s="182">
        <f>1.7*0.7</f>
        <v>1.19</v>
      </c>
      <c r="D13" s="182">
        <v>7.6</v>
      </c>
      <c r="E13" s="182">
        <f>(3.6+0.5)*1.5</f>
        <v>6.15</v>
      </c>
      <c r="F13" s="180">
        <v>11</v>
      </c>
      <c r="G13" s="183">
        <f t="shared" si="16"/>
        <v>108.581047381546</v>
      </c>
      <c r="H13" s="180">
        <v>401</v>
      </c>
      <c r="I13" s="182">
        <f t="shared" si="1"/>
        <v>1.4042</v>
      </c>
      <c r="J13" s="182">
        <f t="shared" si="2"/>
        <v>9.88</v>
      </c>
      <c r="K13" s="182">
        <f t="shared" si="3"/>
        <v>7.995</v>
      </c>
      <c r="L13" s="182">
        <f t="shared" si="14"/>
        <v>14.3</v>
      </c>
      <c r="M13" s="183">
        <f t="shared" si="4"/>
        <v>139.054314214464</v>
      </c>
      <c r="N13" s="180">
        <v>401</v>
      </c>
      <c r="O13" s="182">
        <f t="shared" si="15"/>
        <v>1.68504</v>
      </c>
      <c r="P13" s="182">
        <f t="shared" si="5"/>
        <v>11.4</v>
      </c>
      <c r="Q13" s="182">
        <f t="shared" si="6"/>
        <v>9.225</v>
      </c>
      <c r="R13" s="180">
        <f t="shared" si="7"/>
        <v>16.5</v>
      </c>
      <c r="S13" s="183">
        <f t="shared" si="8"/>
        <v>161.400837905237</v>
      </c>
      <c r="T13" s="180">
        <v>401</v>
      </c>
      <c r="U13" s="182">
        <f t="shared" si="9"/>
        <v>1.88504</v>
      </c>
      <c r="V13" s="182">
        <f t="shared" si="10"/>
        <v>12.92</v>
      </c>
      <c r="W13" s="182">
        <f t="shared" si="11"/>
        <v>10.455</v>
      </c>
      <c r="X13" s="182">
        <f t="shared" si="12"/>
        <v>18.7</v>
      </c>
      <c r="Y13" s="183">
        <f t="shared" si="13"/>
        <v>182.557945137157</v>
      </c>
    </row>
    <row r="14" spans="1:25">
      <c r="A14" s="180" t="s">
        <v>393</v>
      </c>
      <c r="B14" s="180">
        <v>451</v>
      </c>
      <c r="C14" s="182">
        <f>1.7*0.7</f>
        <v>1.19</v>
      </c>
      <c r="D14" s="182">
        <v>8.4</v>
      </c>
      <c r="E14" s="182">
        <f>(3.8+0.5)*1.5</f>
        <v>6.45</v>
      </c>
      <c r="F14" s="180">
        <v>12</v>
      </c>
      <c r="G14" s="183">
        <f t="shared" si="16"/>
        <v>104.037694013304</v>
      </c>
      <c r="H14" s="180">
        <v>451</v>
      </c>
      <c r="I14" s="182">
        <f t="shared" si="1"/>
        <v>1.4042</v>
      </c>
      <c r="J14" s="182">
        <f t="shared" si="2"/>
        <v>10.92</v>
      </c>
      <c r="K14" s="182">
        <f t="shared" si="3"/>
        <v>8.385</v>
      </c>
      <c r="L14" s="182">
        <f t="shared" si="14"/>
        <v>15.6</v>
      </c>
      <c r="M14" s="183">
        <f t="shared" si="4"/>
        <v>133.38088691796</v>
      </c>
      <c r="N14" s="180">
        <v>451</v>
      </c>
      <c r="O14" s="182">
        <f t="shared" si="15"/>
        <v>1.68504</v>
      </c>
      <c r="P14" s="182">
        <f t="shared" si="5"/>
        <v>12.6</v>
      </c>
      <c r="Q14" s="182">
        <f t="shared" si="6"/>
        <v>9.675</v>
      </c>
      <c r="R14" s="180">
        <f t="shared" si="7"/>
        <v>18</v>
      </c>
      <c r="S14" s="183">
        <f t="shared" si="8"/>
        <v>154.748860310421</v>
      </c>
      <c r="T14" s="180">
        <v>451</v>
      </c>
      <c r="U14" s="182">
        <f t="shared" si="9"/>
        <v>1.88504</v>
      </c>
      <c r="V14" s="182">
        <f t="shared" si="10"/>
        <v>14.28</v>
      </c>
      <c r="W14" s="182">
        <f t="shared" si="11"/>
        <v>10.965</v>
      </c>
      <c r="X14" s="182">
        <f t="shared" si="12"/>
        <v>20.4</v>
      </c>
      <c r="Y14" s="183">
        <f t="shared" si="13"/>
        <v>175.059281596452</v>
      </c>
    </row>
    <row r="15" spans="1:25">
      <c r="A15" s="180" t="s">
        <v>394</v>
      </c>
      <c r="B15" s="180">
        <v>501</v>
      </c>
      <c r="C15" s="182">
        <f>2*0.7</f>
        <v>1.4</v>
      </c>
      <c r="D15" s="182">
        <v>9.2</v>
      </c>
      <c r="E15" s="182">
        <f>(4+0.5)*1.5</f>
        <v>6.75</v>
      </c>
      <c r="F15" s="180">
        <v>13</v>
      </c>
      <c r="G15" s="183">
        <f t="shared" si="16"/>
        <v>102.874251497006</v>
      </c>
      <c r="H15" s="180">
        <v>501</v>
      </c>
      <c r="I15" s="182">
        <f t="shared" si="1"/>
        <v>1.652</v>
      </c>
      <c r="J15" s="182">
        <f t="shared" si="2"/>
        <v>11.96</v>
      </c>
      <c r="K15" s="182">
        <f t="shared" si="3"/>
        <v>8.775</v>
      </c>
      <c r="L15" s="182">
        <f t="shared" si="14"/>
        <v>16.9</v>
      </c>
      <c r="M15" s="183">
        <f t="shared" si="4"/>
        <v>131.758083832335</v>
      </c>
      <c r="N15" s="180">
        <v>501</v>
      </c>
      <c r="O15" s="182">
        <f t="shared" si="15"/>
        <v>1.9824</v>
      </c>
      <c r="P15" s="182">
        <f t="shared" si="5"/>
        <v>13.8</v>
      </c>
      <c r="Q15" s="182">
        <f t="shared" si="6"/>
        <v>10.125</v>
      </c>
      <c r="R15" s="180">
        <f t="shared" si="7"/>
        <v>19.5</v>
      </c>
      <c r="S15" s="183">
        <f t="shared" si="8"/>
        <v>152.926467065868</v>
      </c>
      <c r="T15" s="180">
        <v>501</v>
      </c>
      <c r="U15" s="182">
        <f t="shared" si="9"/>
        <v>2.1824</v>
      </c>
      <c r="V15" s="182">
        <f t="shared" si="10"/>
        <v>15.64</v>
      </c>
      <c r="W15" s="182">
        <f t="shared" si="11"/>
        <v>11.475</v>
      </c>
      <c r="X15" s="182">
        <f t="shared" si="12"/>
        <v>22.1</v>
      </c>
      <c r="Y15" s="183">
        <f t="shared" si="13"/>
        <v>172.559201596806</v>
      </c>
    </row>
    <row r="16" spans="1:25">
      <c r="A16" s="180" t="s">
        <v>395</v>
      </c>
      <c r="B16" s="180">
        <v>551</v>
      </c>
      <c r="C16" s="182">
        <f>2*0.7</f>
        <v>1.4</v>
      </c>
      <c r="D16" s="182">
        <v>10</v>
      </c>
      <c r="E16" s="182">
        <v>8</v>
      </c>
      <c r="F16" s="180">
        <v>14</v>
      </c>
      <c r="G16" s="183">
        <f t="shared" si="16"/>
        <v>101.742286751361</v>
      </c>
      <c r="H16" s="180">
        <v>551</v>
      </c>
      <c r="I16" s="182">
        <f t="shared" si="1"/>
        <v>1.652</v>
      </c>
      <c r="J16" s="182">
        <f t="shared" si="2"/>
        <v>13</v>
      </c>
      <c r="K16" s="182">
        <f t="shared" si="3"/>
        <v>10.4</v>
      </c>
      <c r="L16" s="182">
        <f t="shared" si="14"/>
        <v>18.2</v>
      </c>
      <c r="M16" s="183">
        <f t="shared" si="4"/>
        <v>130.466061705989</v>
      </c>
      <c r="N16" s="180">
        <v>551</v>
      </c>
      <c r="O16" s="182">
        <f t="shared" si="15"/>
        <v>1.9824</v>
      </c>
      <c r="P16" s="182">
        <f t="shared" si="5"/>
        <v>15</v>
      </c>
      <c r="Q16" s="182">
        <f t="shared" si="6"/>
        <v>12</v>
      </c>
      <c r="R16" s="180">
        <f t="shared" si="7"/>
        <v>21</v>
      </c>
      <c r="S16" s="183">
        <f t="shared" si="8"/>
        <v>151.354192377495</v>
      </c>
      <c r="T16" s="180">
        <v>551</v>
      </c>
      <c r="U16" s="182">
        <f t="shared" si="9"/>
        <v>2.1824</v>
      </c>
      <c r="V16" s="182">
        <f t="shared" si="10"/>
        <v>17</v>
      </c>
      <c r="W16" s="182">
        <f t="shared" si="11"/>
        <v>13.6</v>
      </c>
      <c r="X16" s="182">
        <f t="shared" si="12"/>
        <v>23.8</v>
      </c>
      <c r="Y16" s="183">
        <f t="shared" si="13"/>
        <v>170.846025408348</v>
      </c>
    </row>
    <row r="17" spans="1:25">
      <c r="A17" s="180" t="s">
        <v>396</v>
      </c>
      <c r="B17" s="180">
        <v>601</v>
      </c>
      <c r="C17" s="182">
        <f>2.3*0.7</f>
        <v>1.61</v>
      </c>
      <c r="D17" s="182">
        <v>10.8</v>
      </c>
      <c r="E17" s="182">
        <v>9.5</v>
      </c>
      <c r="F17" s="180">
        <v>15</v>
      </c>
      <c r="G17" s="183">
        <f t="shared" si="16"/>
        <v>103.359400998336</v>
      </c>
      <c r="H17" s="180">
        <v>601</v>
      </c>
      <c r="I17" s="182">
        <f t="shared" si="1"/>
        <v>1.8998</v>
      </c>
      <c r="J17" s="182">
        <f t="shared" si="2"/>
        <v>14.04</v>
      </c>
      <c r="K17" s="182">
        <f t="shared" si="3"/>
        <v>12.35</v>
      </c>
      <c r="L17" s="182">
        <f t="shared" si="14"/>
        <v>19.5</v>
      </c>
      <c r="M17" s="183">
        <f t="shared" si="4"/>
        <v>132.470582362729</v>
      </c>
      <c r="N17" s="180">
        <v>601</v>
      </c>
      <c r="O17" s="182">
        <f t="shared" si="15"/>
        <v>2.27976</v>
      </c>
      <c r="P17" s="182">
        <f t="shared" si="5"/>
        <v>16.2</v>
      </c>
      <c r="Q17" s="182">
        <f t="shared" si="6"/>
        <v>14.25</v>
      </c>
      <c r="R17" s="180">
        <f t="shared" si="7"/>
        <v>22.5</v>
      </c>
      <c r="S17" s="183">
        <f t="shared" si="8"/>
        <v>153.711454242928</v>
      </c>
      <c r="T17" s="180">
        <v>601</v>
      </c>
      <c r="U17" s="182">
        <f t="shared" si="9"/>
        <v>2.47976</v>
      </c>
      <c r="V17" s="182">
        <f t="shared" si="10"/>
        <v>18.36</v>
      </c>
      <c r="W17" s="182">
        <f t="shared" si="11"/>
        <v>16.15</v>
      </c>
      <c r="X17" s="182">
        <f t="shared" si="12"/>
        <v>25.5</v>
      </c>
      <c r="Y17" s="183">
        <f t="shared" si="13"/>
        <v>173.185663893511</v>
      </c>
    </row>
    <row r="18" spans="1:25">
      <c r="A18" s="180" t="s">
        <v>397</v>
      </c>
      <c r="B18" s="180">
        <v>651</v>
      </c>
      <c r="C18" s="182">
        <f>2.3*0.7</f>
        <v>1.61</v>
      </c>
      <c r="D18" s="182">
        <v>11.6</v>
      </c>
      <c r="E18" s="182">
        <v>10.5</v>
      </c>
      <c r="F18" s="180">
        <v>16</v>
      </c>
      <c r="G18" s="183">
        <f t="shared" si="16"/>
        <v>101.903225806452</v>
      </c>
      <c r="H18" s="180">
        <v>651</v>
      </c>
      <c r="I18" s="182">
        <f t="shared" si="1"/>
        <v>1.8998</v>
      </c>
      <c r="J18" s="182">
        <f t="shared" si="2"/>
        <v>15.08</v>
      </c>
      <c r="K18" s="182">
        <f t="shared" si="3"/>
        <v>13.65</v>
      </c>
      <c r="L18" s="182">
        <f t="shared" si="14"/>
        <v>20.8</v>
      </c>
      <c r="M18" s="183">
        <f t="shared" si="4"/>
        <v>130.723225806452</v>
      </c>
      <c r="N18" s="180">
        <v>651</v>
      </c>
      <c r="O18" s="182">
        <f t="shared" si="15"/>
        <v>2.27976</v>
      </c>
      <c r="P18" s="182">
        <f t="shared" si="5"/>
        <v>17.4</v>
      </c>
      <c r="Q18" s="182">
        <f t="shared" si="6"/>
        <v>15.75</v>
      </c>
      <c r="R18" s="180">
        <f t="shared" si="7"/>
        <v>24</v>
      </c>
      <c r="S18" s="183">
        <f t="shared" si="8"/>
        <v>151.629161290323</v>
      </c>
      <c r="T18" s="180">
        <v>651</v>
      </c>
      <c r="U18" s="182">
        <f t="shared" si="9"/>
        <v>2.47976</v>
      </c>
      <c r="V18" s="182">
        <f t="shared" si="10"/>
        <v>19.72</v>
      </c>
      <c r="W18" s="182">
        <f t="shared" si="11"/>
        <v>17.85</v>
      </c>
      <c r="X18" s="182">
        <f t="shared" si="12"/>
        <v>27.2</v>
      </c>
      <c r="Y18" s="183">
        <f t="shared" si="13"/>
        <v>170.904122887865</v>
      </c>
    </row>
    <row r="19" spans="1:25">
      <c r="A19" s="180" t="s">
        <v>398</v>
      </c>
      <c r="B19" s="180">
        <v>701</v>
      </c>
      <c r="C19" s="182">
        <f>2.6*0.7</f>
        <v>1.82</v>
      </c>
      <c r="D19" s="182">
        <v>12.4</v>
      </c>
      <c r="E19" s="182">
        <v>11.5</v>
      </c>
      <c r="F19" s="180">
        <v>17</v>
      </c>
      <c r="G19" s="183">
        <f t="shared" si="16"/>
        <v>102.422253922967</v>
      </c>
      <c r="H19" s="180">
        <v>701</v>
      </c>
      <c r="I19" s="182">
        <f t="shared" si="1"/>
        <v>2.1476</v>
      </c>
      <c r="J19" s="182">
        <f t="shared" si="2"/>
        <v>16.12</v>
      </c>
      <c r="K19" s="182">
        <f t="shared" si="3"/>
        <v>14.95</v>
      </c>
      <c r="L19" s="182">
        <f t="shared" si="14"/>
        <v>22.1</v>
      </c>
      <c r="M19" s="183">
        <f t="shared" si="4"/>
        <v>131.310756062767</v>
      </c>
      <c r="N19" s="180">
        <v>701</v>
      </c>
      <c r="O19" s="182">
        <f t="shared" si="15"/>
        <v>2.57712</v>
      </c>
      <c r="P19" s="182">
        <f t="shared" si="5"/>
        <v>18.6</v>
      </c>
      <c r="Q19" s="182">
        <f t="shared" si="6"/>
        <v>17.25</v>
      </c>
      <c r="R19" s="180">
        <f t="shared" si="7"/>
        <v>25.5</v>
      </c>
      <c r="S19" s="183">
        <f t="shared" si="8"/>
        <v>152.346659058488</v>
      </c>
      <c r="T19" s="180">
        <v>701</v>
      </c>
      <c r="U19" s="182">
        <f t="shared" si="9"/>
        <v>2.77712</v>
      </c>
      <c r="V19" s="182">
        <f t="shared" si="10"/>
        <v>21.08</v>
      </c>
      <c r="W19" s="182">
        <f t="shared" si="11"/>
        <v>19.55</v>
      </c>
      <c r="X19" s="182">
        <f t="shared" si="12"/>
        <v>28.9</v>
      </c>
      <c r="Y19" s="183">
        <f t="shared" si="13"/>
        <v>171.450796005706</v>
      </c>
    </row>
    <row r="20" spans="1:25">
      <c r="A20" s="180" t="s">
        <v>399</v>
      </c>
      <c r="B20" s="180">
        <v>751</v>
      </c>
      <c r="C20" s="182">
        <f>2.6*0.7</f>
        <v>1.82</v>
      </c>
      <c r="D20" s="182">
        <v>13.2</v>
      </c>
      <c r="E20" s="182">
        <v>12.5</v>
      </c>
      <c r="F20" s="180">
        <v>18</v>
      </c>
      <c r="G20" s="183">
        <f t="shared" si="16"/>
        <v>101.222370173103</v>
      </c>
      <c r="H20" s="180">
        <v>751</v>
      </c>
      <c r="I20" s="182">
        <f t="shared" si="1"/>
        <v>2.1476</v>
      </c>
      <c r="J20" s="182">
        <f t="shared" si="2"/>
        <v>17.16</v>
      </c>
      <c r="K20" s="182">
        <f t="shared" si="3"/>
        <v>16.25</v>
      </c>
      <c r="L20" s="182">
        <f t="shared" si="14"/>
        <v>23.4</v>
      </c>
      <c r="M20" s="183">
        <f t="shared" si="4"/>
        <v>129.873288948069</v>
      </c>
      <c r="N20" s="180">
        <v>751</v>
      </c>
      <c r="O20" s="182">
        <f t="shared" si="15"/>
        <v>2.57712</v>
      </c>
      <c r="P20" s="182">
        <f t="shared" si="5"/>
        <v>19.8</v>
      </c>
      <c r="Q20" s="182">
        <f t="shared" si="6"/>
        <v>18.75</v>
      </c>
      <c r="R20" s="180">
        <f t="shared" si="7"/>
        <v>27</v>
      </c>
      <c r="S20" s="183">
        <f t="shared" si="8"/>
        <v>150.632500665779</v>
      </c>
      <c r="T20" s="180">
        <v>751</v>
      </c>
      <c r="U20" s="182">
        <f t="shared" si="9"/>
        <v>2.77712</v>
      </c>
      <c r="V20" s="182">
        <f t="shared" si="10"/>
        <v>22.44</v>
      </c>
      <c r="W20" s="182">
        <f t="shared" si="11"/>
        <v>21.25</v>
      </c>
      <c r="X20" s="182">
        <f t="shared" si="12"/>
        <v>30.6</v>
      </c>
      <c r="Y20" s="183">
        <f t="shared" si="13"/>
        <v>169.588559254328</v>
      </c>
    </row>
    <row r="21" spans="1:25">
      <c r="A21" s="180" t="s">
        <v>400</v>
      </c>
      <c r="B21" s="180">
        <v>801</v>
      </c>
      <c r="C21" s="182">
        <f>2.9*0.7</f>
        <v>2.03</v>
      </c>
      <c r="D21" s="182">
        <v>14</v>
      </c>
      <c r="E21" s="182">
        <v>13.5</v>
      </c>
      <c r="F21" s="180">
        <v>19</v>
      </c>
      <c r="G21" s="183">
        <f t="shared" si="16"/>
        <v>101.719101123596</v>
      </c>
      <c r="H21" s="180">
        <v>801</v>
      </c>
      <c r="I21" s="182">
        <f t="shared" si="1"/>
        <v>2.3954</v>
      </c>
      <c r="J21" s="182">
        <f t="shared" si="2"/>
        <v>18.2</v>
      </c>
      <c r="K21" s="182">
        <f t="shared" si="3"/>
        <v>17.55</v>
      </c>
      <c r="L21" s="182">
        <f t="shared" si="14"/>
        <v>24.7</v>
      </c>
      <c r="M21" s="183">
        <f t="shared" si="4"/>
        <v>130.440524344569</v>
      </c>
      <c r="N21" s="180">
        <v>801</v>
      </c>
      <c r="O21" s="182">
        <f t="shared" si="15"/>
        <v>2.87448</v>
      </c>
      <c r="P21" s="182">
        <f t="shared" si="5"/>
        <v>21</v>
      </c>
      <c r="Q21" s="182">
        <f t="shared" si="6"/>
        <v>20.25</v>
      </c>
      <c r="R21" s="180">
        <f t="shared" si="7"/>
        <v>28.5</v>
      </c>
      <c r="S21" s="183">
        <f t="shared" si="8"/>
        <v>151.32263670412</v>
      </c>
      <c r="T21" s="180">
        <v>801</v>
      </c>
      <c r="U21" s="182">
        <f t="shared" si="9"/>
        <v>3.07448</v>
      </c>
      <c r="V21" s="182">
        <f t="shared" si="10"/>
        <v>23.8</v>
      </c>
      <c r="W21" s="182">
        <f t="shared" si="11"/>
        <v>22.95</v>
      </c>
      <c r="X21" s="182">
        <f t="shared" si="12"/>
        <v>32.3</v>
      </c>
      <c r="Y21" s="183">
        <f t="shared" si="13"/>
        <v>170.149103620474</v>
      </c>
    </row>
    <row r="22" spans="1:25">
      <c r="A22" s="180" t="s">
        <v>401</v>
      </c>
      <c r="B22" s="180">
        <v>851</v>
      </c>
      <c r="C22" s="182">
        <f>2.9*0.7</f>
        <v>2.03</v>
      </c>
      <c r="D22" s="182">
        <v>14.8</v>
      </c>
      <c r="E22" s="182">
        <v>14.5</v>
      </c>
      <c r="F22" s="180">
        <v>20</v>
      </c>
      <c r="G22" s="183">
        <f t="shared" si="16"/>
        <v>100.701527614571</v>
      </c>
      <c r="H22" s="180">
        <v>851</v>
      </c>
      <c r="I22" s="182">
        <f t="shared" si="1"/>
        <v>2.3954</v>
      </c>
      <c r="J22" s="182">
        <f t="shared" si="2"/>
        <v>19.24</v>
      </c>
      <c r="K22" s="182">
        <f t="shared" si="3"/>
        <v>18.85</v>
      </c>
      <c r="L22" s="182">
        <f t="shared" si="14"/>
        <v>26</v>
      </c>
      <c r="M22" s="183">
        <f t="shared" si="4"/>
        <v>129.223102232667</v>
      </c>
      <c r="N22" s="180">
        <v>851</v>
      </c>
      <c r="O22" s="182">
        <f t="shared" si="15"/>
        <v>2.87448</v>
      </c>
      <c r="P22" s="182">
        <f t="shared" si="5"/>
        <v>22.2</v>
      </c>
      <c r="Q22" s="182">
        <f t="shared" si="6"/>
        <v>21.75</v>
      </c>
      <c r="R22" s="180">
        <f t="shared" si="7"/>
        <v>30</v>
      </c>
      <c r="S22" s="183">
        <f t="shared" si="8"/>
        <v>149.870072855464</v>
      </c>
      <c r="T22" s="180">
        <v>851</v>
      </c>
      <c r="U22" s="182">
        <f t="shared" si="9"/>
        <v>3.07448</v>
      </c>
      <c r="V22" s="182">
        <f t="shared" si="10"/>
        <v>25.16</v>
      </c>
      <c r="W22" s="182">
        <f t="shared" si="11"/>
        <v>24.65</v>
      </c>
      <c r="X22" s="182">
        <f t="shared" si="12"/>
        <v>34</v>
      </c>
      <c r="Y22" s="183">
        <f t="shared" si="13"/>
        <v>168.58217626322</v>
      </c>
    </row>
    <row r="23" spans="1:25">
      <c r="A23" s="180" t="s">
        <v>402</v>
      </c>
      <c r="B23" s="180">
        <v>901</v>
      </c>
      <c r="C23" s="182">
        <f>3.2*0.7</f>
        <v>2.24</v>
      </c>
      <c r="D23" s="182">
        <v>15.6</v>
      </c>
      <c r="E23" s="182">
        <v>15.5</v>
      </c>
      <c r="F23" s="180">
        <v>21</v>
      </c>
      <c r="G23" s="183">
        <f t="shared" si="16"/>
        <v>101.172031076582</v>
      </c>
      <c r="H23" s="180">
        <v>901</v>
      </c>
      <c r="I23" s="182">
        <f t="shared" si="1"/>
        <v>2.6432</v>
      </c>
      <c r="J23" s="182">
        <f t="shared" si="2"/>
        <v>20.28</v>
      </c>
      <c r="K23" s="182">
        <f t="shared" si="3"/>
        <v>20.15</v>
      </c>
      <c r="L23" s="182">
        <f t="shared" si="14"/>
        <v>27.3</v>
      </c>
      <c r="M23" s="183">
        <f t="shared" si="4"/>
        <v>129.76346281909</v>
      </c>
      <c r="N23" s="180">
        <v>901</v>
      </c>
      <c r="O23" s="182">
        <f t="shared" si="15"/>
        <v>3.17184</v>
      </c>
      <c r="P23" s="182">
        <f t="shared" si="5"/>
        <v>23.4</v>
      </c>
      <c r="Q23" s="182">
        <f t="shared" si="6"/>
        <v>23.25</v>
      </c>
      <c r="R23" s="180">
        <f t="shared" si="7"/>
        <v>31.5</v>
      </c>
      <c r="S23" s="183">
        <f t="shared" si="8"/>
        <v>150.525922308546</v>
      </c>
      <c r="T23" s="180">
        <v>901</v>
      </c>
      <c r="U23" s="182">
        <f t="shared" si="9"/>
        <v>3.37184</v>
      </c>
      <c r="V23" s="182">
        <f t="shared" si="10"/>
        <v>26.52</v>
      </c>
      <c r="W23" s="182">
        <f t="shared" si="11"/>
        <v>26.35</v>
      </c>
      <c r="X23" s="182">
        <f t="shared" si="12"/>
        <v>35.7</v>
      </c>
      <c r="Y23" s="183">
        <f t="shared" si="13"/>
        <v>169.136355160932</v>
      </c>
    </row>
    <row r="24" spans="1:25">
      <c r="A24" s="180" t="s">
        <v>403</v>
      </c>
      <c r="B24" s="180">
        <v>951</v>
      </c>
      <c r="C24" s="182">
        <f>3.2*0.7</f>
        <v>2.24</v>
      </c>
      <c r="D24" s="182">
        <v>16.4</v>
      </c>
      <c r="E24" s="182">
        <v>16.5</v>
      </c>
      <c r="F24" s="180">
        <v>22</v>
      </c>
      <c r="G24" s="183">
        <f t="shared" si="16"/>
        <v>100.290220820189</v>
      </c>
      <c r="H24" s="180">
        <v>951</v>
      </c>
      <c r="I24" s="182">
        <f t="shared" si="1"/>
        <v>2.6432</v>
      </c>
      <c r="J24" s="182">
        <f t="shared" si="2"/>
        <v>21.32</v>
      </c>
      <c r="K24" s="182">
        <f t="shared" si="3"/>
        <v>21.45</v>
      </c>
      <c r="L24" s="182">
        <f t="shared" si="14"/>
        <v>28.6</v>
      </c>
      <c r="M24" s="183">
        <f t="shared" si="4"/>
        <v>128.709652996845</v>
      </c>
      <c r="N24" s="180">
        <v>951</v>
      </c>
      <c r="O24" s="182">
        <f t="shared" si="15"/>
        <v>3.17184</v>
      </c>
      <c r="P24" s="182">
        <f t="shared" si="5"/>
        <v>24.6</v>
      </c>
      <c r="Q24" s="182">
        <f t="shared" si="6"/>
        <v>24.75</v>
      </c>
      <c r="R24" s="180">
        <f t="shared" si="7"/>
        <v>33</v>
      </c>
      <c r="S24" s="183">
        <f t="shared" si="8"/>
        <v>149.267987381703</v>
      </c>
      <c r="T24" s="180">
        <v>951</v>
      </c>
      <c r="U24" s="182">
        <f t="shared" si="9"/>
        <v>3.37184</v>
      </c>
      <c r="V24" s="182">
        <f t="shared" si="10"/>
        <v>27.88</v>
      </c>
      <c r="W24" s="182">
        <f t="shared" si="11"/>
        <v>28.05</v>
      </c>
      <c r="X24" s="182">
        <f t="shared" si="12"/>
        <v>37.4</v>
      </c>
      <c r="Y24" s="183">
        <f t="shared" si="13"/>
        <v>167.787440588854</v>
      </c>
    </row>
  </sheetData>
  <mergeCells count="4">
    <mergeCell ref="B2:C2"/>
    <mergeCell ref="H2:I2"/>
    <mergeCell ref="N2:O2"/>
    <mergeCell ref="T2:U2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5"/>
  <sheetViews>
    <sheetView topLeftCell="AG1" workbookViewId="0">
      <selection activeCell="G36" sqref="G36"/>
    </sheetView>
  </sheetViews>
  <sheetFormatPr defaultColWidth="9" defaultRowHeight="16.5"/>
  <cols>
    <col min="1" max="5" width="7.375" style="121" customWidth="1"/>
    <col min="6" max="6" width="9.875" style="121" customWidth="1"/>
    <col min="7" max="8" width="17.875" style="121" customWidth="1"/>
    <col min="9" max="9" width="5.875" style="121" customWidth="1"/>
    <col min="10" max="11" width="10.75" style="150" customWidth="1"/>
    <col min="12" max="12" width="9.5" style="150" customWidth="1"/>
    <col min="13" max="13" width="4.125" style="150" customWidth="1"/>
    <col min="14" max="15" width="7.375" style="121" customWidth="1"/>
    <col min="16" max="16" width="7" style="121" customWidth="1"/>
    <col min="17" max="17" width="7.375" style="122" customWidth="1"/>
    <col min="18" max="18" width="7.375" style="121" customWidth="1"/>
    <col min="19" max="19" width="9.875" style="121" customWidth="1"/>
    <col min="20" max="21" width="16.25" style="121" customWidth="1"/>
    <col min="22" max="23" width="9.875" style="121" customWidth="1"/>
    <col min="24" max="24" width="10.375" style="150" customWidth="1"/>
    <col min="25" max="25" width="4.125" style="150" customWidth="1"/>
    <col min="26" max="28" width="7.375" style="121" customWidth="1"/>
    <col min="29" max="29" width="7.375" style="122" customWidth="1"/>
    <col min="30" max="30" width="7.375" style="121" customWidth="1"/>
    <col min="31" max="31" width="12.625" style="121" customWidth="1"/>
    <col min="32" max="32" width="20.75" style="121" customWidth="1"/>
    <col min="33" max="33" width="12.625" style="121" customWidth="1"/>
    <col min="34" max="34" width="9.875" style="121" customWidth="1"/>
    <col min="35" max="35" width="10.875" style="150" customWidth="1"/>
    <col min="36" max="36" width="12.75" style="150" customWidth="1"/>
    <col min="37" max="37" width="4.125" style="150" customWidth="1"/>
    <col min="38" max="40" width="7.375" style="121" customWidth="1"/>
    <col min="41" max="41" width="7.375" style="122" customWidth="1"/>
    <col min="42" max="42" width="7.375" style="121" customWidth="1"/>
    <col min="43" max="43" width="9.875" style="121" customWidth="1"/>
    <col min="44" max="45" width="18.5" style="121" customWidth="1"/>
    <col min="46" max="46" width="9.875" style="121" customWidth="1"/>
    <col min="47" max="47" width="10.75" style="150" customWidth="1"/>
    <col min="48" max="48" width="15.125" style="150" customWidth="1"/>
    <col min="49" max="49" width="4.125" style="150" customWidth="1"/>
    <col min="50" max="52" width="7.375" style="121" customWidth="1"/>
    <col min="53" max="53" width="7.375" style="122" customWidth="1"/>
    <col min="54" max="54" width="7.375" style="121" customWidth="1"/>
    <col min="55" max="55" width="12.875" style="121" customWidth="1"/>
    <col min="56" max="56" width="18.875" style="121" customWidth="1"/>
    <col min="57" max="57" width="15.625" style="121" customWidth="1"/>
    <col min="58" max="58" width="9.875" style="121" customWidth="1"/>
    <col min="59" max="59" width="10.75" style="150" customWidth="1"/>
    <col min="60" max="60" width="9.875" style="122" customWidth="1"/>
  </cols>
  <sheetData>
    <row r="1" ht="48" customHeight="1" spans="1:61">
      <c r="A1" s="151" t="s">
        <v>372</v>
      </c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3"/>
      <c r="R1" s="152"/>
      <c r="S1" s="152"/>
      <c r="T1" s="152"/>
      <c r="U1" s="152"/>
      <c r="V1" s="152"/>
      <c r="W1" s="152"/>
      <c r="AH1" s="152"/>
      <c r="AP1" s="121">
        <f>AVERAGE(J3*0.05+W3*0.05+AI3*0.8+AU3*0.05+BG3*0.05)</f>
        <v>290.129586075839</v>
      </c>
      <c r="AT1" s="152"/>
      <c r="BF1" s="152"/>
      <c r="BH1" s="153"/>
    </row>
    <row r="2" ht="18" customHeight="1" spans="1:61">
      <c r="A2" s="84" t="s">
        <v>1</v>
      </c>
      <c r="B2" s="84"/>
      <c r="C2" s="84"/>
      <c r="D2" s="84"/>
      <c r="E2" s="84"/>
      <c r="F2" s="84" t="s">
        <v>404</v>
      </c>
      <c r="G2" s="84" t="s">
        <v>373</v>
      </c>
      <c r="H2" s="84" t="s">
        <v>405</v>
      </c>
      <c r="I2" s="84" t="s">
        <v>374</v>
      </c>
      <c r="J2" s="154" t="s">
        <v>375</v>
      </c>
      <c r="K2" s="154" t="s">
        <v>376</v>
      </c>
      <c r="L2" s="155" t="s">
        <v>377</v>
      </c>
      <c r="M2" s="155"/>
      <c r="N2" s="84" t="s">
        <v>3</v>
      </c>
      <c r="O2" s="84"/>
      <c r="P2" s="84"/>
      <c r="Q2" s="156"/>
      <c r="R2" s="84"/>
      <c r="S2" s="84" t="s">
        <v>404</v>
      </c>
      <c r="T2" s="84" t="s">
        <v>373</v>
      </c>
      <c r="U2" s="84" t="s">
        <v>405</v>
      </c>
      <c r="V2" s="84" t="s">
        <v>374</v>
      </c>
      <c r="W2" s="84" t="s">
        <v>375</v>
      </c>
      <c r="X2" s="155" t="s">
        <v>377</v>
      </c>
      <c r="Y2" s="155"/>
      <c r="Z2" s="84" t="s">
        <v>4</v>
      </c>
      <c r="AA2" s="84"/>
      <c r="AB2" s="84"/>
      <c r="AC2" s="156"/>
      <c r="AD2" s="84"/>
      <c r="AE2" s="84" t="s">
        <v>404</v>
      </c>
      <c r="AF2" s="84" t="s">
        <v>373</v>
      </c>
      <c r="AG2" s="84" t="s">
        <v>405</v>
      </c>
      <c r="AH2" s="84" t="s">
        <v>374</v>
      </c>
      <c r="AI2" s="154" t="s">
        <v>375</v>
      </c>
      <c r="AJ2" s="155" t="s">
        <v>377</v>
      </c>
      <c r="AK2" s="155"/>
      <c r="AL2" s="84" t="s">
        <v>5</v>
      </c>
      <c r="AM2" s="84"/>
      <c r="AN2" s="84"/>
      <c r="AO2" s="156"/>
      <c r="AP2" s="84"/>
      <c r="AQ2" s="84" t="s">
        <v>404</v>
      </c>
      <c r="AR2" s="84" t="s">
        <v>373</v>
      </c>
      <c r="AS2" s="84" t="s">
        <v>405</v>
      </c>
      <c r="AT2" s="84" t="s">
        <v>374</v>
      </c>
      <c r="AU2" s="154" t="s">
        <v>375</v>
      </c>
      <c r="AV2" s="155" t="s">
        <v>377</v>
      </c>
      <c r="AW2" s="155"/>
      <c r="AX2" s="84" t="s">
        <v>123</v>
      </c>
      <c r="AY2" s="84"/>
      <c r="AZ2" s="84"/>
      <c r="BA2" s="156"/>
      <c r="BB2" s="84"/>
      <c r="BC2" s="84" t="s">
        <v>404</v>
      </c>
      <c r="BD2" s="84" t="s">
        <v>373</v>
      </c>
      <c r="BE2" s="84" t="s">
        <v>405</v>
      </c>
      <c r="BF2" s="84" t="s">
        <v>374</v>
      </c>
      <c r="BG2" s="154" t="s">
        <v>375</v>
      </c>
      <c r="BH2" s="156" t="s">
        <v>376</v>
      </c>
    </row>
    <row r="3" spans="1:61">
      <c r="A3" s="121" t="s">
        <v>7</v>
      </c>
      <c r="B3" s="121" t="s">
        <v>8</v>
      </c>
      <c r="C3" s="121" t="s">
        <v>9</v>
      </c>
      <c r="D3" s="121" t="s">
        <v>10</v>
      </c>
      <c r="E3" s="121" t="s">
        <v>11</v>
      </c>
      <c r="F3" s="121">
        <f>AVERAGE(F5:F54)</f>
        <v>386.527436577729</v>
      </c>
      <c r="G3" s="121">
        <f>AVERAGE(G5:G54)</f>
        <v>386.527436577729</v>
      </c>
      <c r="J3" s="150">
        <f>AVERAGE(J4:J54)</f>
        <v>228.752893163485</v>
      </c>
      <c r="L3" s="176">
        <v>450</v>
      </c>
      <c r="M3" s="155"/>
      <c r="N3" s="121" t="s">
        <v>7</v>
      </c>
      <c r="O3" s="121" t="s">
        <v>8</v>
      </c>
      <c r="P3" s="121" t="s">
        <v>9</v>
      </c>
      <c r="Q3" s="121" t="s">
        <v>10</v>
      </c>
      <c r="R3" s="121" t="s">
        <v>11</v>
      </c>
      <c r="S3" s="121">
        <f>AVERAGE(S5:S54)</f>
        <v>437.180217807682</v>
      </c>
      <c r="T3" s="121">
        <f>AVERAGE(T5:T54)</f>
        <v>437.180217807682</v>
      </c>
      <c r="W3" s="150">
        <f>AVERAGE(W4:W54)</f>
        <v>291.973121649748</v>
      </c>
      <c r="X3" s="177">
        <v>539</v>
      </c>
      <c r="Y3" s="155"/>
      <c r="Z3" s="121" t="s">
        <v>7</v>
      </c>
      <c r="AA3" s="121" t="s">
        <v>8</v>
      </c>
      <c r="AB3" s="121" t="s">
        <v>9</v>
      </c>
      <c r="AC3" s="121" t="s">
        <v>10</v>
      </c>
      <c r="AD3" s="121" t="s">
        <v>11</v>
      </c>
      <c r="AE3" s="121">
        <f>AVERAGE(AE6:AE54)</f>
        <v>555.784784302472</v>
      </c>
      <c r="AF3" s="121">
        <f>AVERAGE(AF6:AF54)</f>
        <v>555.784784302472</v>
      </c>
      <c r="AI3" s="150">
        <f>AVERAGE(AI5:AI54)</f>
        <v>298.596515046357</v>
      </c>
      <c r="AJ3" s="176">
        <v>670</v>
      </c>
      <c r="AK3" s="155"/>
      <c r="AL3" s="121" t="s">
        <v>7</v>
      </c>
      <c r="AM3" s="121" t="s">
        <v>8</v>
      </c>
      <c r="AN3" s="121" t="s">
        <v>9</v>
      </c>
      <c r="AO3" s="121" t="s">
        <v>10</v>
      </c>
      <c r="AP3" s="121" t="s">
        <v>11</v>
      </c>
      <c r="AQ3" s="121">
        <f>AVERAGE(AQ5:AQ54)</f>
        <v>635.094789309947</v>
      </c>
      <c r="AU3" s="150">
        <f>AVERAGE(AU4:AU54)</f>
        <v>249.981483181519</v>
      </c>
      <c r="AV3" s="176">
        <v>730</v>
      </c>
      <c r="AW3" s="155"/>
      <c r="AX3" s="121" t="s">
        <v>7</v>
      </c>
      <c r="AY3" s="121" t="s">
        <v>8</v>
      </c>
      <c r="AZ3" s="121" t="s">
        <v>102</v>
      </c>
      <c r="BA3" s="121" t="s">
        <v>406</v>
      </c>
      <c r="BB3" s="121" t="s">
        <v>11</v>
      </c>
      <c r="BC3" s="121">
        <f>AVERAGE(BC5:BC54)</f>
        <v>680.026025517107</v>
      </c>
      <c r="BF3" s="150">
        <f t="shared" ref="BF3:BH3" si="0">AVERAGE(BF4:BF54)</f>
        <v>250</v>
      </c>
      <c r="BG3" s="150">
        <f t="shared" si="0"/>
        <v>254.339982780316</v>
      </c>
      <c r="BH3" s="150">
        <f t="shared" si="0"/>
        <v>9.42678243592257</v>
      </c>
      <c r="BI3" s="176">
        <v>772</v>
      </c>
    </row>
    <row r="4" spans="1:61">
      <c r="A4" s="121">
        <v>0</v>
      </c>
      <c r="B4" s="122">
        <f>'【国内】常规用户招募-数据源 （正职）'!B4</f>
        <v>0</v>
      </c>
      <c r="C4" s="122">
        <f>'【国内】常规用户招募-数据源 （正职）'!D4*0.6</f>
        <v>0</v>
      </c>
      <c r="D4" s="122">
        <f>0</f>
        <v>0</v>
      </c>
      <c r="E4" s="122">
        <v>0</v>
      </c>
      <c r="F4" s="122" t="e">
        <f>(B4*5900+C4*3400+D4*1200+E4*300)/A4</f>
        <v>#DIV/0!</v>
      </c>
      <c r="G4" s="122"/>
      <c r="H4" s="122"/>
      <c r="I4" s="121">
        <v>250</v>
      </c>
      <c r="J4" s="150">
        <v>200</v>
      </c>
      <c r="K4" s="150">
        <f>J4-I4</f>
        <v>-50</v>
      </c>
      <c r="L4" s="159">
        <v>690</v>
      </c>
      <c r="M4" s="155"/>
      <c r="N4" s="121">
        <v>0</v>
      </c>
      <c r="O4" s="122">
        <f>'【国内】常规用户招募-数据源 （正职）'!M4*1.05</f>
        <v>0</v>
      </c>
      <c r="P4" s="122">
        <f>'【国内】常规用户招募-数据源 （正职）'!O4*0.6</f>
        <v>0</v>
      </c>
      <c r="Q4" s="122">
        <f>(T4*N4-O4*5900-P4*3400-R4*300)/1200</f>
        <v>0</v>
      </c>
      <c r="R4" s="122">
        <f>'【国内】常规用户招募-数据源 （正职）'!P4*0.98</f>
        <v>0</v>
      </c>
      <c r="S4" s="121">
        <f>O4*7200+Q4*3100+R4*300</f>
        <v>0</v>
      </c>
      <c r="T4" s="122">
        <f>'【国内】常规用户招募-数据源 （正职）'!Q4</f>
        <v>0</v>
      </c>
      <c r="U4" s="122"/>
      <c r="V4" s="121">
        <v>250</v>
      </c>
      <c r="W4" s="150">
        <v>250</v>
      </c>
      <c r="X4" s="159">
        <v>690</v>
      </c>
      <c r="Y4" s="155"/>
      <c r="Z4" s="121">
        <v>0</v>
      </c>
      <c r="AA4" s="121">
        <f>'【国内】常规用户招募-数据源 （正职）'!W4</f>
        <v>0</v>
      </c>
      <c r="AB4" s="122">
        <f>'【国内】常规用户招募-数据源 （正职）'!Y4*0.6</f>
        <v>0</v>
      </c>
      <c r="AC4" s="122">
        <f>(AF4*Z4-AA4*5900-AB4*3400-AD4*300)/1200</f>
        <v>0</v>
      </c>
      <c r="AD4" s="122">
        <f>'【国内】常规用户招募-数据源 （正职）'!Z4</f>
        <v>0</v>
      </c>
      <c r="AE4" s="122">
        <f>AA4*7200+AC4*3100+AD4*300</f>
        <v>0</v>
      </c>
      <c r="AF4" s="122">
        <f>'【国内】常规用户招募-数据源 （正职）'!AA4</f>
        <v>0</v>
      </c>
      <c r="AG4" s="122"/>
      <c r="AH4" s="121">
        <v>0</v>
      </c>
      <c r="AI4" s="150">
        <v>0</v>
      </c>
      <c r="AJ4" s="150">
        <v>700</v>
      </c>
      <c r="AK4" s="155"/>
      <c r="AL4" s="121">
        <v>0</v>
      </c>
      <c r="AM4" s="122">
        <f>'【国内】常规用户招募-数据源 （正职）'!AG4*1.08</f>
        <v>0</v>
      </c>
      <c r="AN4" s="122">
        <f>'【国内】常规用户招募-数据源 （正职）'!AI4*0.6</f>
        <v>0</v>
      </c>
      <c r="AO4" s="122">
        <f>(AR4*AL4-AM4*5900-AN4*3400-AP4*300)/1200</f>
        <v>0</v>
      </c>
      <c r="AP4" s="122">
        <f>'【国内】常规用户招募-数据源 （正职）'!AJ4*1.08</f>
        <v>0</v>
      </c>
      <c r="AQ4" s="122" t="e">
        <f>(AM4*5900+AN4*3400+AO4*1200+AP4*300)/AL4</f>
        <v>#DIV/0!</v>
      </c>
      <c r="AT4" s="121">
        <v>250</v>
      </c>
      <c r="AU4" s="150">
        <v>0</v>
      </c>
      <c r="AV4" s="150">
        <v>720</v>
      </c>
      <c r="AW4" s="155"/>
      <c r="AX4" s="121">
        <v>0</v>
      </c>
      <c r="AY4" s="122">
        <f>'【国内】常规用户招募-数据源 （正职）'!AQ4*1.08</f>
        <v>0</v>
      </c>
      <c r="AZ4" s="122">
        <f>'【国内】常规用户招募-数据源 （正职）'!AS4*0.6</f>
        <v>0</v>
      </c>
      <c r="BA4" s="122">
        <f>(BD4*AX4-AY4*5900-AZ4*3400-BB4*300)/1200</f>
        <v>0</v>
      </c>
      <c r="BB4" s="122">
        <f>'【国内】常规用户招募-数据源 （正职）'!AT4*1.1</f>
        <v>0</v>
      </c>
      <c r="BC4" s="121">
        <f>AY4*7200+BA4*3100+BB4*300</f>
        <v>0</v>
      </c>
      <c r="BD4" s="121">
        <f>'【国内】常规用户招募-数据源 （正职）'!AU4</f>
        <v>0</v>
      </c>
      <c r="BF4" s="121">
        <v>250</v>
      </c>
      <c r="BG4" s="150">
        <v>0</v>
      </c>
    </row>
    <row r="5" spans="1:61">
      <c r="A5" s="121">
        <v>1</v>
      </c>
      <c r="B5" s="122">
        <f>'【国内】常规用户招募-数据源 （正职）'!B5</f>
        <v>0</v>
      </c>
      <c r="C5" s="122">
        <f>'【国内】常规用户招募-数据源 （正职）'!D5*0.6</f>
        <v>0</v>
      </c>
      <c r="D5" s="122">
        <f>(G5*A5-B5*5900-C5*3400-E5*300)/1200</f>
        <v>0</v>
      </c>
      <c r="E5" s="122">
        <f>'【国内】常规用户招募-数据源 （正职）'!E5</f>
        <v>0.3</v>
      </c>
      <c r="F5" s="122">
        <f>(B5*5900+C5*3400+D5*1200+E5*300)/A5</f>
        <v>90</v>
      </c>
      <c r="G5" s="122">
        <f>'【国内】常规用户招募-数据源 （正职）'!F5</f>
        <v>90</v>
      </c>
      <c r="H5" s="122">
        <f>G5-F5</f>
        <v>0</v>
      </c>
      <c r="I5" s="121">
        <v>200</v>
      </c>
      <c r="J5" s="150">
        <f>(F5+I5*A5)/A5</f>
        <v>290</v>
      </c>
      <c r="K5" s="150">
        <f t="shared" ref="K5:K36" si="1">J5-I5</f>
        <v>90</v>
      </c>
      <c r="L5" s="159">
        <v>690</v>
      </c>
      <c r="M5" s="155"/>
      <c r="N5" s="121">
        <v>1</v>
      </c>
      <c r="O5" s="122">
        <f>'【国内】常规用户招募-数据源 （正职）'!M5*1.05</f>
        <v>0</v>
      </c>
      <c r="P5" s="122">
        <f>'【国内】常规用户招募-数据源 （正职）'!O5*0.6</f>
        <v>0.06</v>
      </c>
      <c r="Q5" s="122">
        <f>(T5*N5-O5*5900-P5*3400-R5*300)/1200</f>
        <v>0.114833333333333</v>
      </c>
      <c r="R5" s="122">
        <f>'【国内】常规用户招募-数据源 （正职）'!P5*0.98</f>
        <v>0.294</v>
      </c>
      <c r="S5" s="122">
        <f>(O5*5900+P5*3400+Q5*1200+R5*300)/N5</f>
        <v>430</v>
      </c>
      <c r="T5" s="122">
        <f>'【国内】常规用户招募-数据源 （正职）'!Q5</f>
        <v>430</v>
      </c>
      <c r="U5" s="122">
        <f>T5-S5</f>
        <v>0</v>
      </c>
      <c r="V5" s="121">
        <v>250</v>
      </c>
      <c r="W5" s="150">
        <f>(S5+V5*N5)/N5</f>
        <v>680</v>
      </c>
      <c r="X5" s="159">
        <v>690</v>
      </c>
      <c r="Y5" s="155"/>
      <c r="Z5" s="121">
        <v>1</v>
      </c>
      <c r="AA5" s="122">
        <f>'【国内】常规用户招募-数据源 （正职）'!W5</f>
        <v>0</v>
      </c>
      <c r="AB5" s="122">
        <f>'【国内】常规用户招募-数据源 （正职）'!Y5*0.6</f>
        <v>0.06</v>
      </c>
      <c r="AC5" s="122">
        <f t="shared" ref="AC5:AC36" si="2">(AF5*Z5-AA5*5900-AB5*3400-AD5*300)/1200</f>
        <v>0.0933333333333333</v>
      </c>
      <c r="AD5" s="122">
        <f>'【国内】常规用户招募-数据源 （正职）'!Z5*1.2</f>
        <v>0.48</v>
      </c>
      <c r="AE5" s="122">
        <f>(AA5*5900+AB5*3400+AC5*1200+AD5*300)/Z5</f>
        <v>460</v>
      </c>
      <c r="AF5" s="122">
        <f>'【国内】常规用户招募-数据源 （正职）'!AA5</f>
        <v>460</v>
      </c>
      <c r="AG5" s="122">
        <f>AF5-AE5</f>
        <v>0</v>
      </c>
      <c r="AH5" s="121">
        <v>250</v>
      </c>
      <c r="AI5" s="150">
        <f>(AE5+AH5*Z5)/Z5</f>
        <v>710</v>
      </c>
      <c r="AJ5" s="150">
        <v>700</v>
      </c>
      <c r="AK5" s="155"/>
      <c r="AL5" s="121">
        <v>1</v>
      </c>
      <c r="AM5" s="122">
        <f>'【国内】常规用户招募-数据源 （正职）'!AG5*1.08</f>
        <v>0</v>
      </c>
      <c r="AN5" s="122">
        <f>'【国内】常规用户招募-数据源 （正职）'!AI5*0.6</f>
        <v>0.0672</v>
      </c>
      <c r="AO5" s="122">
        <f t="shared" ref="AO5:AO36" si="3">(AR5*AL5-AM5*5900-AN5*3400-AP5*300)/1200</f>
        <v>0.118933333333333</v>
      </c>
      <c r="AP5" s="122">
        <f>'【国内】常规用户招募-数据源 （正职）'!AJ5*1.08</f>
        <v>0.432</v>
      </c>
      <c r="AQ5" s="122">
        <f>(AM5*5900+AN5*3400+AO5*1200+AP5*300)/AL5</f>
        <v>500.8</v>
      </c>
      <c r="AR5" s="122">
        <f>'【国内】常规用户招募-数据源 （正职）'!AK5</f>
        <v>500.8</v>
      </c>
      <c r="AS5" s="122">
        <f>AR5-AQ5</f>
        <v>0</v>
      </c>
      <c r="AT5" s="121">
        <v>250</v>
      </c>
      <c r="AU5" s="150">
        <f>(AQ5+200*AL5)/AL5</f>
        <v>700.8</v>
      </c>
      <c r="AV5" s="150">
        <v>720</v>
      </c>
      <c r="AW5" s="155"/>
      <c r="AX5" s="121">
        <v>1</v>
      </c>
      <c r="AY5" s="122">
        <f>'【国内】常规用户招募-数据源 （正职）'!AQ5*1.08</f>
        <v>0</v>
      </c>
      <c r="AZ5" s="122">
        <f>'【国内】常规用户招募-数据源 （正职）'!AS5*0.6</f>
        <v>0.075</v>
      </c>
      <c r="BA5" s="122">
        <f t="shared" ref="BA5:BA36" si="4">(BD5*AX5-AY5*5900-AZ5*3400-BB5*300)/1200</f>
        <v>0.131666666666667</v>
      </c>
      <c r="BB5" s="122">
        <f>'【国内】常规用户招募-数据源 （正职）'!AT5*1.1</f>
        <v>0.44</v>
      </c>
      <c r="BC5" s="122">
        <f>(AY5*5900+AZ5*3400+BA5*1200+BB5*300)/AX5</f>
        <v>545</v>
      </c>
      <c r="BD5" s="122">
        <f>'【国内】常规用户招募-数据源 （正职）'!AU5</f>
        <v>545</v>
      </c>
      <c r="BE5" s="122">
        <f>BD5-BC5</f>
        <v>0</v>
      </c>
      <c r="BF5" s="121">
        <v>250</v>
      </c>
      <c r="BG5" s="150">
        <f>(BC5+200*AX5)/AX5</f>
        <v>745</v>
      </c>
      <c r="BH5" s="122">
        <f>BG5-BF5</f>
        <v>495</v>
      </c>
    </row>
    <row r="6" s="148" customFormat="1" spans="1:61">
      <c r="A6" s="121">
        <v>2</v>
      </c>
      <c r="B6" s="122">
        <f>'【国内】常规用户招募-数据源 （正职）'!B6</f>
        <v>0</v>
      </c>
      <c r="C6" s="122">
        <f>'【国内】常规用户招募-数据源 （正职）'!D6*0.6</f>
        <v>0.12</v>
      </c>
      <c r="D6" s="122">
        <f t="shared" ref="D6:D37" si="5">(G6*A6-B6*5900-C6*3400-E6*300)/1200</f>
        <v>0.226666666666667</v>
      </c>
      <c r="E6" s="122">
        <f>'【国内】常规用户招募-数据源 （正职）'!E6</f>
        <v>0.3</v>
      </c>
      <c r="F6" s="122">
        <f t="shared" ref="F6:F37" si="6">(B6*5900+C6*3400+D6*1200+E6*300)/A6</f>
        <v>385</v>
      </c>
      <c r="G6" s="122">
        <f>'【国内】常规用户招募-数据源 （正职）'!F6</f>
        <v>385</v>
      </c>
      <c r="H6" s="122">
        <f t="shared" ref="H6:H37" si="7">G6-F6</f>
        <v>0</v>
      </c>
      <c r="I6" s="121">
        <v>200</v>
      </c>
      <c r="J6" s="150">
        <f>(F6+I6*A6)/A6</f>
        <v>392.5</v>
      </c>
      <c r="K6" s="150">
        <f t="shared" si="1"/>
        <v>192.5</v>
      </c>
      <c r="L6" s="159">
        <v>690</v>
      </c>
      <c r="M6" s="155"/>
      <c r="N6" s="121">
        <v>2</v>
      </c>
      <c r="O6" s="122">
        <f>'【国内】常规用户招募-数据源 （正职）'!M6*1.05</f>
        <v>0</v>
      </c>
      <c r="P6" s="122">
        <f>'【国内】常规用户招募-数据源 （正职）'!O6*0.6</f>
        <v>0.18</v>
      </c>
      <c r="Q6" s="122">
        <f t="shared" ref="Q6:Q37" si="8">(T6*N6-O6*5900-P6*3400-R6*300)/1200</f>
        <v>0.342</v>
      </c>
      <c r="R6" s="122">
        <f>'【国内】常规用户招募-数据源 （正职）'!P6*0.98</f>
        <v>0.392</v>
      </c>
      <c r="S6" s="122">
        <f t="shared" ref="S6:S37" si="9">(O6*5900+P6*3400+Q6*1200+R6*300)/N6</f>
        <v>570</v>
      </c>
      <c r="T6" s="122">
        <f>'【国内】常规用户招募-数据源 （正职）'!Q6</f>
        <v>570</v>
      </c>
      <c r="U6" s="122">
        <f>T6-S6</f>
        <v>0</v>
      </c>
      <c r="V6" s="121">
        <v>250</v>
      </c>
      <c r="W6" s="150">
        <f t="shared" ref="W6:W37" si="10">(S6+V6*N6)/N6</f>
        <v>535</v>
      </c>
      <c r="X6" s="159">
        <v>690</v>
      </c>
      <c r="Y6" s="155"/>
      <c r="Z6" s="121">
        <v>2</v>
      </c>
      <c r="AA6" s="122">
        <f>'【国内】常规用户招募-数据源 （正职）'!W6</f>
        <v>0</v>
      </c>
      <c r="AB6" s="122">
        <f>'【国内】常规用户招募-数据源 （正职）'!Y6*0.6</f>
        <v>0.18</v>
      </c>
      <c r="AC6" s="122">
        <f t="shared" si="2"/>
        <v>0.315</v>
      </c>
      <c r="AD6" s="122">
        <f>'【国内】常规用户招募-数据源 （正职）'!Z6*1.2</f>
        <v>0.6</v>
      </c>
      <c r="AE6" s="122">
        <f t="shared" ref="AE6:AE37" si="11">(AA6*5900+AB6*3400+AC6*1200+AD6*300)/Z6</f>
        <v>585</v>
      </c>
      <c r="AF6" s="122">
        <f>'【国内】常规用户招募-数据源 （正职）'!AA6</f>
        <v>585</v>
      </c>
      <c r="AG6" s="122">
        <f t="shared" ref="AG6:AG37" si="12">AF6-AE6</f>
        <v>0</v>
      </c>
      <c r="AH6" s="121">
        <v>250</v>
      </c>
      <c r="AI6" s="150">
        <f>(AE6+AH6*Z6)/Z6</f>
        <v>542.5</v>
      </c>
      <c r="AJ6" s="150">
        <v>700</v>
      </c>
      <c r="AK6" s="155"/>
      <c r="AL6" s="121">
        <v>2</v>
      </c>
      <c r="AM6" s="122">
        <f>'【国内】常规用户招募-数据源 （正职）'!AG6*1.08</f>
        <v>0</v>
      </c>
      <c r="AN6" s="122">
        <f>'【国内】常规用户招募-数据源 （正职）'!AI6*0.6</f>
        <v>0.2016</v>
      </c>
      <c r="AO6" s="122">
        <f t="shared" si="3"/>
        <v>0.3708</v>
      </c>
      <c r="AP6" s="122">
        <f>'【国内】常规用户招募-数据源 （正职）'!AJ6*1.08</f>
        <v>0.54</v>
      </c>
      <c r="AQ6" s="122">
        <f t="shared" ref="AQ6:AQ37" si="13">(AM6*5900+AN6*3400+AO6*1200+AP6*300)/AL6</f>
        <v>646.2</v>
      </c>
      <c r="AR6" s="122">
        <f>'【国内】常规用户招募-数据源 （正职）'!AK6</f>
        <v>646.2</v>
      </c>
      <c r="AS6" s="122">
        <f t="shared" ref="AS6:AS37" si="14">AR6-AQ6</f>
        <v>0</v>
      </c>
      <c r="AT6" s="121">
        <v>250</v>
      </c>
      <c r="AU6" s="150">
        <f>(AQ6+200*AL6)/AL6</f>
        <v>523.1</v>
      </c>
      <c r="AV6" s="150">
        <v>720</v>
      </c>
      <c r="AW6" s="155"/>
      <c r="AX6" s="121">
        <v>2</v>
      </c>
      <c r="AY6" s="122">
        <f>'【国内】常规用户招募-数据源 （正职）'!AQ6*1.08</f>
        <v>0</v>
      </c>
      <c r="AZ6" s="122">
        <f>'【国内】常规用户招募-数据源 （正职）'!AS6*0.6</f>
        <v>0.225</v>
      </c>
      <c r="BA6" s="122">
        <f t="shared" si="4"/>
        <v>0.4125</v>
      </c>
      <c r="BB6" s="122">
        <f>'【国内】常规用户招募-数据源 （正职）'!AT6*1.1</f>
        <v>0.55</v>
      </c>
      <c r="BC6" s="122">
        <f t="shared" ref="BC6:BC37" si="15">(AY6*5900+AZ6*3400+BA6*1200+BB6*300)/AX6</f>
        <v>712.5</v>
      </c>
      <c r="BD6" s="122">
        <f>'【国内】常规用户招募-数据源 （正职）'!AU6</f>
        <v>712.5</v>
      </c>
      <c r="BE6" s="122">
        <f t="shared" ref="BE6:BE54" si="16">BD6-BC6</f>
        <v>0</v>
      </c>
      <c r="BF6" s="121">
        <v>250</v>
      </c>
      <c r="BG6" s="150">
        <f t="shared" ref="BG6:BG37" si="17">(BC6+200*AX6)/AX6</f>
        <v>556.25</v>
      </c>
      <c r="BH6" s="122">
        <f t="shared" ref="BH6:BH37" si="18">BG6-BF6</f>
        <v>306.25</v>
      </c>
    </row>
    <row r="7" spans="1:61">
      <c r="A7" s="121">
        <v>3</v>
      </c>
      <c r="B7" s="122">
        <f>'【国内】常规用户招募-数据源 （正职）'!B7</f>
        <v>0</v>
      </c>
      <c r="C7" s="122">
        <f>'【国内】常规用户招募-数据源 （正职）'!D7*0.6</f>
        <v>0.12</v>
      </c>
      <c r="D7" s="122">
        <f t="shared" si="5"/>
        <v>0.226666666666667</v>
      </c>
      <c r="E7" s="122">
        <f>'【国内】常规用户招募-数据源 （正职）'!E7</f>
        <v>0.5</v>
      </c>
      <c r="F7" s="122">
        <f t="shared" si="6"/>
        <v>276.666666666667</v>
      </c>
      <c r="G7" s="122">
        <f>'【国内】常规用户招募-数据源 （正职）'!F7</f>
        <v>276.666666666667</v>
      </c>
      <c r="H7" s="122">
        <f t="shared" si="7"/>
        <v>0</v>
      </c>
      <c r="I7" s="121">
        <v>200</v>
      </c>
      <c r="J7" s="150">
        <f t="shared" ref="J7:J37" si="19">(F7+I7*A7)/A7</f>
        <v>292.222222222222</v>
      </c>
      <c r="K7" s="150">
        <f t="shared" si="1"/>
        <v>92.2222222222222</v>
      </c>
      <c r="L7" s="159">
        <v>690</v>
      </c>
      <c r="M7" s="155"/>
      <c r="N7" s="121">
        <v>3</v>
      </c>
      <c r="O7" s="122">
        <f>'【国内】常规用户招募-数据源 （正职）'!M7*1.05</f>
        <v>0</v>
      </c>
      <c r="P7" s="122">
        <f>'【国内】常规用户招募-数据源 （正职）'!O7*0.6</f>
        <v>0.24</v>
      </c>
      <c r="Q7" s="122">
        <f t="shared" si="8"/>
        <v>0.456333333333333</v>
      </c>
      <c r="R7" s="122">
        <f>'【国内】常规用户招募-数据源 （正职）'!P7*0.98</f>
        <v>0.588</v>
      </c>
      <c r="S7" s="122">
        <f t="shared" si="9"/>
        <v>513.333333333333</v>
      </c>
      <c r="T7" s="122">
        <f>'【国内】常规用户招募-数据源 （正职）'!Q7</f>
        <v>513.333333333333</v>
      </c>
      <c r="U7" s="122">
        <f t="shared" ref="U7:U37" si="20">T7-S7</f>
        <v>0</v>
      </c>
      <c r="V7" s="121">
        <v>250</v>
      </c>
      <c r="W7" s="150">
        <f t="shared" si="10"/>
        <v>421.111111111111</v>
      </c>
      <c r="X7" s="159">
        <v>690</v>
      </c>
      <c r="Y7" s="155"/>
      <c r="Z7" s="121">
        <v>3</v>
      </c>
      <c r="AA7" s="122">
        <f>'【国内】常规用户招募-数据源 （正职）'!W7</f>
        <v>0</v>
      </c>
      <c r="AB7" s="122">
        <f>'【国内】常规用户招募-数据源 （正职）'!Y7*0.6</f>
        <v>0.24</v>
      </c>
      <c r="AC7" s="122">
        <f t="shared" si="2"/>
        <v>0.423333333333333</v>
      </c>
      <c r="AD7" s="122">
        <f>'【国内】常规用户招募-数据源 （正职）'!Z7*1.2</f>
        <v>0.72</v>
      </c>
      <c r="AE7" s="122">
        <f t="shared" si="11"/>
        <v>513.333333333333</v>
      </c>
      <c r="AF7" s="122">
        <f>'【国内】常规用户招募-数据源 （正职）'!AA7</f>
        <v>513.333333333333</v>
      </c>
      <c r="AG7" s="122">
        <f t="shared" si="12"/>
        <v>0</v>
      </c>
      <c r="AH7" s="121">
        <v>250</v>
      </c>
      <c r="AI7" s="150">
        <f t="shared" ref="AI7:AI37" si="21">(AE7+AH7*Z7)/Z7</f>
        <v>421.111111111111</v>
      </c>
      <c r="AJ7" s="150">
        <v>700</v>
      </c>
      <c r="AK7" s="155"/>
      <c r="AL7" s="121">
        <v>3</v>
      </c>
      <c r="AM7" s="122">
        <f>'【国内】常规用户招募-数据源 （正职）'!AG7*1.08</f>
        <v>0</v>
      </c>
      <c r="AN7" s="122">
        <f>'【国内】常规用户招募-数据源 （正职）'!AI7*0.6</f>
        <v>0.3</v>
      </c>
      <c r="AO7" s="122">
        <f t="shared" si="3"/>
        <v>0.552666666666667</v>
      </c>
      <c r="AP7" s="122">
        <f>'【国内】常规用户招募-数据源 （正职）'!AJ7*1.08</f>
        <v>0.756</v>
      </c>
      <c r="AQ7" s="122">
        <f t="shared" si="13"/>
        <v>636.666666666667</v>
      </c>
      <c r="AR7" s="122">
        <f>'【国内】常规用户招募-数据源 （正职）'!AK7</f>
        <v>636.666666666667</v>
      </c>
      <c r="AS7" s="122">
        <f t="shared" si="14"/>
        <v>0</v>
      </c>
      <c r="AT7" s="121">
        <v>250</v>
      </c>
      <c r="AU7" s="150">
        <f t="shared" ref="AU7:AU37" si="22">(AQ7+200*AL7)/AL7</f>
        <v>412.222222222222</v>
      </c>
      <c r="AV7" s="150">
        <v>720</v>
      </c>
      <c r="AW7" s="155"/>
      <c r="AX7" s="121">
        <v>3</v>
      </c>
      <c r="AY7" s="122">
        <f>'【国内】常规用户招募-数据源 （正职）'!AQ7*1.08</f>
        <v>0</v>
      </c>
      <c r="AZ7" s="122">
        <f>'【国内】常规用户招募-数据源 （正职）'!AS7*0.6</f>
        <v>0.3</v>
      </c>
      <c r="BA7" s="122">
        <f t="shared" si="4"/>
        <v>0.546666666666667</v>
      </c>
      <c r="BB7" s="122">
        <f>'【国内】常规用户招募-数据源 （正职）'!AT7*1.1</f>
        <v>0.88</v>
      </c>
      <c r="BC7" s="122">
        <f t="shared" si="15"/>
        <v>646.666666666667</v>
      </c>
      <c r="BD7" s="122">
        <f>'【国内】常规用户招募-数据源 （正职）'!AU7</f>
        <v>646.666666666667</v>
      </c>
      <c r="BE7" s="122">
        <f t="shared" si="16"/>
        <v>0</v>
      </c>
      <c r="BF7" s="121">
        <v>250</v>
      </c>
      <c r="BG7" s="150">
        <f t="shared" si="17"/>
        <v>415.555555555555</v>
      </c>
      <c r="BH7" s="122">
        <f t="shared" si="18"/>
        <v>165.555555555555</v>
      </c>
    </row>
    <row r="8" spans="1:61">
      <c r="A8" s="121">
        <v>4</v>
      </c>
      <c r="B8" s="122">
        <f>'【国内】常规用户招募-数据源 （正职）'!B8</f>
        <v>0</v>
      </c>
      <c r="C8" s="122">
        <f>'【国内】常规用户招募-数据源 （正职）'!D8*0.6</f>
        <v>0.3</v>
      </c>
      <c r="D8" s="122">
        <f t="shared" si="5"/>
        <v>0.566666666666667</v>
      </c>
      <c r="E8" s="122">
        <f>'【国内】常规用户招募-数据源 （正职）'!E8</f>
        <v>0.5</v>
      </c>
      <c r="F8" s="122">
        <f t="shared" si="6"/>
        <v>462.5</v>
      </c>
      <c r="G8" s="122">
        <f>'【国内】常规用户招募-数据源 （正职）'!F8</f>
        <v>462.5</v>
      </c>
      <c r="H8" s="122">
        <f t="shared" si="7"/>
        <v>0</v>
      </c>
      <c r="I8" s="121">
        <v>200</v>
      </c>
      <c r="J8" s="150">
        <f t="shared" si="19"/>
        <v>315.625</v>
      </c>
      <c r="K8" s="150">
        <f t="shared" si="1"/>
        <v>115.625</v>
      </c>
      <c r="L8" s="159">
        <v>690</v>
      </c>
      <c r="M8" s="155"/>
      <c r="N8" s="121">
        <v>4</v>
      </c>
      <c r="O8" s="122">
        <f>'【国内】常规用户招募-数据源 （正职）'!M8*1.05</f>
        <v>0</v>
      </c>
      <c r="P8" s="122">
        <f>'【国内】常规用户招募-数据源 （正职）'!O8*0.6</f>
        <v>0.33</v>
      </c>
      <c r="Q8" s="122">
        <f t="shared" si="8"/>
        <v>0.627333333333333</v>
      </c>
      <c r="R8" s="122">
        <f>'【国内】常规用户招募-数据源 （正职）'!P8*0.98</f>
        <v>0.784</v>
      </c>
      <c r="S8" s="122">
        <f t="shared" si="9"/>
        <v>527.5</v>
      </c>
      <c r="T8" s="122">
        <f>'【国内】常规用户招募-数据源 （正职）'!Q8</f>
        <v>527.5</v>
      </c>
      <c r="U8" s="122">
        <f t="shared" si="20"/>
        <v>0</v>
      </c>
      <c r="V8" s="121">
        <v>250</v>
      </c>
      <c r="W8" s="150">
        <f t="shared" si="10"/>
        <v>381.875</v>
      </c>
      <c r="X8" s="159">
        <v>690</v>
      </c>
      <c r="Y8" s="155"/>
      <c r="Z8" s="121">
        <v>4</v>
      </c>
      <c r="AA8" s="122">
        <f>'【国内】常规用户招募-数据源 （正职）'!W8</f>
        <v>0</v>
      </c>
      <c r="AB8" s="122">
        <f>'【国内】常规用户招募-数据源 （正职）'!Y8*0.6</f>
        <v>0.36</v>
      </c>
      <c r="AC8" s="122">
        <f t="shared" si="2"/>
        <v>0.635</v>
      </c>
      <c r="AD8" s="122">
        <f>'【国内】常规用户招募-数据源 （正职）'!Z8*1.2</f>
        <v>1.08</v>
      </c>
      <c r="AE8" s="122">
        <f t="shared" si="11"/>
        <v>577.5</v>
      </c>
      <c r="AF8" s="122">
        <f>'【国内】常规用户招募-数据源 （正职）'!AA8</f>
        <v>577.5</v>
      </c>
      <c r="AG8" s="122">
        <f t="shared" si="12"/>
        <v>0</v>
      </c>
      <c r="AH8" s="121">
        <v>250</v>
      </c>
      <c r="AI8" s="150">
        <f t="shared" si="21"/>
        <v>394.375</v>
      </c>
      <c r="AJ8" s="150">
        <v>700</v>
      </c>
      <c r="AK8" s="155"/>
      <c r="AL8" s="121">
        <v>4</v>
      </c>
      <c r="AM8" s="122">
        <f>'【国内】常规用户招募-数据源 （正职）'!AG8*1.08</f>
        <v>0</v>
      </c>
      <c r="AN8" s="122">
        <f>'【国内】常规用户招募-数据源 （正职）'!AI8*0.6</f>
        <v>0.4032</v>
      </c>
      <c r="AO8" s="122">
        <f t="shared" si="3"/>
        <v>0.7416</v>
      </c>
      <c r="AP8" s="122">
        <f>'【国内】常规用户招募-数据源 （正职）'!AJ8*1.08</f>
        <v>1.08</v>
      </c>
      <c r="AQ8" s="122">
        <f t="shared" si="13"/>
        <v>646.2</v>
      </c>
      <c r="AR8" s="122">
        <f>'【国内】常规用户招募-数据源 （正职）'!AK8</f>
        <v>646.2</v>
      </c>
      <c r="AS8" s="122">
        <f t="shared" si="14"/>
        <v>0</v>
      </c>
      <c r="AT8" s="121">
        <v>250</v>
      </c>
      <c r="AU8" s="150">
        <f t="shared" si="22"/>
        <v>361.55</v>
      </c>
      <c r="AV8" s="150">
        <v>720</v>
      </c>
      <c r="AW8" s="155"/>
      <c r="AX8" s="121">
        <v>4</v>
      </c>
      <c r="AY8" s="122">
        <f>'【国内】常规用户招募-数据源 （正职）'!AQ8*1.08</f>
        <v>0</v>
      </c>
      <c r="AZ8" s="122">
        <f>'【国内】常规用户招募-数据源 （正职）'!AS8*0.6</f>
        <v>0.45</v>
      </c>
      <c r="BA8" s="122">
        <f t="shared" si="4"/>
        <v>0.825</v>
      </c>
      <c r="BB8" s="122">
        <f>'【国内】常规用户招募-数据源 （正职）'!AT8*1.1</f>
        <v>1.1</v>
      </c>
      <c r="BC8" s="122">
        <f t="shared" si="15"/>
        <v>712.5</v>
      </c>
      <c r="BD8" s="122">
        <f>'【国内】常规用户招募-数据源 （正职）'!AU8</f>
        <v>712.5</v>
      </c>
      <c r="BE8" s="122">
        <f t="shared" si="16"/>
        <v>0</v>
      </c>
      <c r="BF8" s="121">
        <v>250</v>
      </c>
      <c r="BG8" s="150">
        <f t="shared" si="17"/>
        <v>378.125</v>
      </c>
      <c r="BH8" s="122">
        <f t="shared" si="18"/>
        <v>128.125</v>
      </c>
    </row>
    <row r="9" spans="1:61">
      <c r="A9" s="121">
        <v>5</v>
      </c>
      <c r="B9" s="122">
        <f>'【国内】常规用户招募-数据源 （正职）'!B9</f>
        <v>0</v>
      </c>
      <c r="C9" s="122">
        <f>'【国内】常规用户招募-数据源 （正职）'!D9*0.6</f>
        <v>0.3</v>
      </c>
      <c r="D9" s="122">
        <f t="shared" si="5"/>
        <v>0.566666666666667</v>
      </c>
      <c r="E9" s="122">
        <f>'【国内】常规用户招募-数据源 （正职）'!E9</f>
        <v>0.7</v>
      </c>
      <c r="F9" s="122">
        <f t="shared" si="6"/>
        <v>382</v>
      </c>
      <c r="G9" s="122">
        <f>'【国内】常规用户招募-数据源 （正职）'!F9</f>
        <v>382</v>
      </c>
      <c r="H9" s="122">
        <f t="shared" si="7"/>
        <v>0</v>
      </c>
      <c r="I9" s="121">
        <v>200</v>
      </c>
      <c r="J9" s="150">
        <f t="shared" si="19"/>
        <v>276.4</v>
      </c>
      <c r="K9" s="150">
        <f t="shared" si="1"/>
        <v>76.4</v>
      </c>
      <c r="L9" s="159">
        <v>690</v>
      </c>
      <c r="M9" s="155"/>
      <c r="N9" s="121">
        <v>5</v>
      </c>
      <c r="O9" s="122">
        <f>'【国内】常规用户招募-数据源 （正职）'!M9*1.05</f>
        <v>0</v>
      </c>
      <c r="P9" s="122">
        <f>'【国内】常规用户招募-数据源 （正职）'!O9*0.6</f>
        <v>0.48</v>
      </c>
      <c r="Q9" s="122">
        <f t="shared" si="8"/>
        <v>0.912166666666667</v>
      </c>
      <c r="R9" s="122">
        <f>'【国内】常规用户招募-数据源 （正职）'!P9*0.98</f>
        <v>1.078</v>
      </c>
      <c r="S9" s="122">
        <f t="shared" si="9"/>
        <v>610</v>
      </c>
      <c r="T9" s="122">
        <f>'【国内】常规用户招募-数据源 （正职）'!Q9</f>
        <v>610</v>
      </c>
      <c r="U9" s="122">
        <f t="shared" si="20"/>
        <v>0</v>
      </c>
      <c r="V9" s="121">
        <v>250</v>
      </c>
      <c r="W9" s="150">
        <f t="shared" si="10"/>
        <v>372</v>
      </c>
      <c r="X9" s="159">
        <v>690</v>
      </c>
      <c r="Y9" s="155"/>
      <c r="Z9" s="121">
        <v>5</v>
      </c>
      <c r="AA9" s="122">
        <f>'【国内】常规用户招募-数据源 （正职）'!W9</f>
        <v>0</v>
      </c>
      <c r="AB9" s="122">
        <f>'【国内】常规用户招募-数据源 （正职）'!Y9*0.6</f>
        <v>0.48</v>
      </c>
      <c r="AC9" s="122">
        <f t="shared" si="2"/>
        <v>0.851666666666667</v>
      </c>
      <c r="AD9" s="122">
        <f>'【国内】常规用户招募-数据源 （正职）'!Z9*1.2</f>
        <v>1.32</v>
      </c>
      <c r="AE9" s="122">
        <f t="shared" si="11"/>
        <v>610</v>
      </c>
      <c r="AF9" s="122">
        <f>'【国内】常规用户招募-数据源 （正职）'!AA9</f>
        <v>610</v>
      </c>
      <c r="AG9" s="122">
        <f t="shared" si="12"/>
        <v>0</v>
      </c>
      <c r="AH9" s="121">
        <v>250</v>
      </c>
      <c r="AI9" s="150">
        <f t="shared" si="21"/>
        <v>372</v>
      </c>
      <c r="AJ9" s="150">
        <v>700</v>
      </c>
      <c r="AK9" s="155"/>
      <c r="AL9" s="121">
        <v>5</v>
      </c>
      <c r="AM9" s="122">
        <f>'【国内】常规用户招募-数据源 （正职）'!AG9*1.08</f>
        <v>0</v>
      </c>
      <c r="AN9" s="122">
        <f>'【国内】常规用户招募-数据源 （正职）'!AI9*0.6</f>
        <v>0.5376</v>
      </c>
      <c r="AO9" s="122">
        <f t="shared" si="3"/>
        <v>0.991466666666667</v>
      </c>
      <c r="AP9" s="122">
        <f>'【国内】常规用户招募-数据源 （正职）'!AJ9*1.08</f>
        <v>1.296</v>
      </c>
      <c r="AQ9" s="122">
        <f t="shared" si="13"/>
        <v>681.28</v>
      </c>
      <c r="AR9" s="122">
        <f>'【国内】常规用户招募-数据源 （正职）'!AK9</f>
        <v>681.28</v>
      </c>
      <c r="AS9" s="122">
        <f t="shared" si="14"/>
        <v>0</v>
      </c>
      <c r="AT9" s="121">
        <v>250</v>
      </c>
      <c r="AU9" s="150">
        <f t="shared" si="22"/>
        <v>336.256</v>
      </c>
      <c r="AV9" s="150">
        <v>720</v>
      </c>
      <c r="AW9" s="155"/>
      <c r="AX9" s="121">
        <v>5</v>
      </c>
      <c r="AY9" s="122">
        <f>'【国内】常规用户招募-数据源 （正职）'!AQ9*1.08</f>
        <v>0</v>
      </c>
      <c r="AZ9" s="122">
        <f>'【国内】常规用户招募-数据源 （正职）'!AS9*0.6</f>
        <v>0.6</v>
      </c>
      <c r="BA9" s="122">
        <f t="shared" si="4"/>
        <v>1.10083333333333</v>
      </c>
      <c r="BB9" s="122">
        <f>'【国内】常规用户招募-数据源 （正职）'!AT9*1.1</f>
        <v>1.43</v>
      </c>
      <c r="BC9" s="122">
        <f t="shared" si="15"/>
        <v>758</v>
      </c>
      <c r="BD9" s="122">
        <f>'【国内】常规用户招募-数据源 （正职）'!AU9</f>
        <v>758</v>
      </c>
      <c r="BE9" s="122">
        <f t="shared" si="16"/>
        <v>0</v>
      </c>
      <c r="BF9" s="121">
        <v>250</v>
      </c>
      <c r="BG9" s="150">
        <f t="shared" si="17"/>
        <v>351.6</v>
      </c>
      <c r="BH9" s="122">
        <f t="shared" si="18"/>
        <v>101.6</v>
      </c>
    </row>
    <row r="10" s="148" customFormat="1" spans="1:61">
      <c r="A10" s="121">
        <v>6</v>
      </c>
      <c r="B10" s="122">
        <f>'【国内】常规用户招募-数据源 （正职）'!B10</f>
        <v>0</v>
      </c>
      <c r="C10" s="122">
        <f>'【国内】常规用户招募-数据源 （正职）'!D10*0.6</f>
        <v>0.48</v>
      </c>
      <c r="D10" s="122">
        <f t="shared" si="5"/>
        <v>0.906666666666667</v>
      </c>
      <c r="E10" s="122">
        <f>'【国内】常规用户招募-数据源 （正职）'!E10</f>
        <v>1</v>
      </c>
      <c r="F10" s="122">
        <f t="shared" si="6"/>
        <v>503.333333333333</v>
      </c>
      <c r="G10" s="122">
        <f>'【国内】常规用户招募-数据源 （正职）'!F10</f>
        <v>503.333333333333</v>
      </c>
      <c r="H10" s="122">
        <f t="shared" si="7"/>
        <v>0</v>
      </c>
      <c r="I10" s="121">
        <v>200</v>
      </c>
      <c r="J10" s="150">
        <f t="shared" si="19"/>
        <v>283.888888888889</v>
      </c>
      <c r="K10" s="150">
        <f t="shared" si="1"/>
        <v>83.8888888888889</v>
      </c>
      <c r="L10" s="159">
        <v>690</v>
      </c>
      <c r="M10" s="155"/>
      <c r="N10" s="121">
        <v>6</v>
      </c>
      <c r="O10" s="122">
        <f>'【国内】常规用户招募-数据源 （正职）'!M10*1.05</f>
        <v>0</v>
      </c>
      <c r="P10" s="122">
        <f>'【国内】常规用户招募-数据源 （正职）'!O10*0.6</f>
        <v>0.54</v>
      </c>
      <c r="Q10" s="122">
        <f t="shared" si="8"/>
        <v>1.027</v>
      </c>
      <c r="R10" s="122">
        <f>'【国内】常规用户招募-数据源 （正职）'!P10*0.98</f>
        <v>1.372</v>
      </c>
      <c r="S10" s="122">
        <f t="shared" si="9"/>
        <v>580</v>
      </c>
      <c r="T10" s="122">
        <f>'【国内】常规用户招募-数据源 （正职）'!Q10</f>
        <v>580</v>
      </c>
      <c r="U10" s="122">
        <f t="shared" si="20"/>
        <v>0</v>
      </c>
      <c r="V10" s="121">
        <v>250</v>
      </c>
      <c r="W10" s="150">
        <f t="shared" si="10"/>
        <v>346.666666666667</v>
      </c>
      <c r="X10" s="159">
        <v>690</v>
      </c>
      <c r="Y10" s="155"/>
      <c r="Z10" s="121">
        <v>6</v>
      </c>
      <c r="AA10" s="122">
        <f>'【国内】常规用户招募-数据源 （正职）'!W10</f>
        <v>0</v>
      </c>
      <c r="AB10" s="122">
        <f>'【国内】常规用户招募-数据源 （正职）'!Y10*0.6</f>
        <v>0.54</v>
      </c>
      <c r="AC10" s="122">
        <f t="shared" si="2"/>
        <v>0.96</v>
      </c>
      <c r="AD10" s="122">
        <f>'【国内】常规用户招募-数据源 （正职）'!Z10*1.2</f>
        <v>1.44</v>
      </c>
      <c r="AE10" s="122">
        <f t="shared" si="11"/>
        <v>570</v>
      </c>
      <c r="AF10" s="122">
        <f>'【国内】常规用户招募-数据源 （正职）'!AA10</f>
        <v>570</v>
      </c>
      <c r="AG10" s="122">
        <f t="shared" si="12"/>
        <v>0</v>
      </c>
      <c r="AH10" s="121">
        <v>250</v>
      </c>
      <c r="AI10" s="150">
        <f t="shared" si="21"/>
        <v>345</v>
      </c>
      <c r="AJ10" s="150">
        <v>700</v>
      </c>
      <c r="AK10" s="155"/>
      <c r="AL10" s="121">
        <v>6</v>
      </c>
      <c r="AM10" s="122">
        <f>'【国内】常规用户招募-数据源 （正职）'!AG10*1.08</f>
        <v>0</v>
      </c>
      <c r="AN10" s="122">
        <f>'【国内】常规用户招募-数据源 （正职）'!AI10*0.6</f>
        <v>0.6048</v>
      </c>
      <c r="AO10" s="122">
        <f t="shared" si="3"/>
        <v>1.1144</v>
      </c>
      <c r="AP10" s="122">
        <f>'【国内】常规用户招募-数据源 （正职）'!AJ10*1.08</f>
        <v>1.512</v>
      </c>
      <c r="AQ10" s="122">
        <f t="shared" si="13"/>
        <v>641.2</v>
      </c>
      <c r="AR10" s="122">
        <f>'【国内】常规用户招募-数据源 （正职）'!AK10</f>
        <v>641.2</v>
      </c>
      <c r="AS10" s="122">
        <f t="shared" si="14"/>
        <v>0</v>
      </c>
      <c r="AT10" s="121">
        <v>250</v>
      </c>
      <c r="AU10" s="150">
        <f t="shared" si="22"/>
        <v>306.866666666667</v>
      </c>
      <c r="AV10" s="150">
        <v>720</v>
      </c>
      <c r="AW10" s="155"/>
      <c r="AX10" s="121">
        <v>6</v>
      </c>
      <c r="AY10" s="122">
        <f>'【国内】常规用户招募-数据源 （正职）'!AQ10*1.08</f>
        <v>0</v>
      </c>
      <c r="AZ10" s="122">
        <f>'【国内】常规用户招募-数据源 （正职）'!AS10*0.6</f>
        <v>0.675</v>
      </c>
      <c r="BA10" s="122">
        <f t="shared" si="4"/>
        <v>1.24</v>
      </c>
      <c r="BB10" s="122">
        <f>'【国内】常规用户招募-数据源 （正职）'!AT10*1.1</f>
        <v>1.54</v>
      </c>
      <c r="BC10" s="122">
        <f t="shared" si="15"/>
        <v>707.5</v>
      </c>
      <c r="BD10" s="122">
        <f>'【国内】常规用户招募-数据源 （正职）'!AU10</f>
        <v>707.5</v>
      </c>
      <c r="BE10" s="122">
        <f t="shared" si="16"/>
        <v>0</v>
      </c>
      <c r="BF10" s="121">
        <v>250</v>
      </c>
      <c r="BG10" s="150">
        <f t="shared" si="17"/>
        <v>317.916666666667</v>
      </c>
      <c r="BH10" s="122">
        <f t="shared" si="18"/>
        <v>67.9166666666667</v>
      </c>
    </row>
    <row r="11" spans="1:61">
      <c r="A11" s="121">
        <v>7</v>
      </c>
      <c r="B11" s="122">
        <f>'【国内】常规用户招募-数据源 （正职）'!B11</f>
        <v>0</v>
      </c>
      <c r="C11" s="122">
        <f>'【国内】常规用户招募-数据源 （正职）'!D11*0.6</f>
        <v>0.54</v>
      </c>
      <c r="D11" s="122">
        <f t="shared" si="5"/>
        <v>1.02</v>
      </c>
      <c r="E11" s="122">
        <f>'【国内】常规用户招募-数据源 （正职）'!E11</f>
        <v>1</v>
      </c>
      <c r="F11" s="122">
        <f t="shared" si="6"/>
        <v>480</v>
      </c>
      <c r="G11" s="122">
        <f>'【国内】常规用户招募-数据源 （正职）'!F11</f>
        <v>480</v>
      </c>
      <c r="H11" s="122">
        <f t="shared" si="7"/>
        <v>0</v>
      </c>
      <c r="I11" s="121">
        <v>200</v>
      </c>
      <c r="J11" s="150">
        <f t="shared" si="19"/>
        <v>268.571428571429</v>
      </c>
      <c r="K11" s="150">
        <f t="shared" si="1"/>
        <v>68.5714285714286</v>
      </c>
      <c r="L11" s="159">
        <v>690</v>
      </c>
      <c r="M11" s="155"/>
      <c r="N11" s="121">
        <v>7</v>
      </c>
      <c r="O11" s="122">
        <f>'【国内】常规用户招募-数据源 （正职）'!M11*1.05</f>
        <v>0</v>
      </c>
      <c r="P11" s="122">
        <f>'【国内】常规用户招募-数据源 （正职）'!O11*0.6</f>
        <v>0.6</v>
      </c>
      <c r="Q11" s="122">
        <f t="shared" si="8"/>
        <v>1.14083333333333</v>
      </c>
      <c r="R11" s="122">
        <f>'【国内】常规用户招募-数据源 （正职）'!P11*0.98</f>
        <v>1.47</v>
      </c>
      <c r="S11" s="122">
        <f t="shared" si="9"/>
        <v>550</v>
      </c>
      <c r="T11" s="122">
        <f>'【国内】常规用户招募-数据源 （正职）'!Q11</f>
        <v>550</v>
      </c>
      <c r="U11" s="122">
        <f t="shared" si="20"/>
        <v>0</v>
      </c>
      <c r="V11" s="121">
        <v>250</v>
      </c>
      <c r="W11" s="150">
        <f t="shared" si="10"/>
        <v>328.571428571429</v>
      </c>
      <c r="X11" s="159">
        <v>690</v>
      </c>
      <c r="Y11" s="155"/>
      <c r="Z11" s="121">
        <v>7</v>
      </c>
      <c r="AA11" s="122">
        <f>'【国内】常规用户招募-数据源 （正职）'!W11</f>
        <v>0</v>
      </c>
      <c r="AB11" s="122">
        <f>'【国内】常规用户招募-数据源 （正职）'!Y11*0.6</f>
        <v>0.66</v>
      </c>
      <c r="AC11" s="122">
        <f t="shared" si="2"/>
        <v>1.17166666666667</v>
      </c>
      <c r="AD11" s="122">
        <f>'【国内】常规用户招募-数据源 （正职）'!Z11*1.2</f>
        <v>1.8</v>
      </c>
      <c r="AE11" s="122">
        <f t="shared" si="11"/>
        <v>598.571428571429</v>
      </c>
      <c r="AF11" s="122">
        <f>'【国内】常规用户招募-数据源 （正职）'!AA11</f>
        <v>598.571428571429</v>
      </c>
      <c r="AG11" s="122">
        <f t="shared" si="12"/>
        <v>0</v>
      </c>
      <c r="AH11" s="121">
        <v>250</v>
      </c>
      <c r="AI11" s="150">
        <f t="shared" si="21"/>
        <v>335.510204081633</v>
      </c>
      <c r="AJ11" s="150">
        <v>700</v>
      </c>
      <c r="AK11" s="155"/>
      <c r="AL11" s="121">
        <v>7</v>
      </c>
      <c r="AM11" s="122">
        <f>'【国内】常规用户招募-数据源 （正职）'!AG11*1.08</f>
        <v>0</v>
      </c>
      <c r="AN11" s="122">
        <f>'【国内】常规用户招募-数据源 （正职）'!AI11*0.6</f>
        <v>0.7392</v>
      </c>
      <c r="AO11" s="122">
        <f t="shared" si="3"/>
        <v>1.37226666666667</v>
      </c>
      <c r="AP11" s="122">
        <f>'【国内】常规用户招募-数据源 （正职）'!AJ11*1.08</f>
        <v>1.296</v>
      </c>
      <c r="AQ11" s="122">
        <f t="shared" si="13"/>
        <v>649.828571428572</v>
      </c>
      <c r="AR11" s="122">
        <f>'【国内】常规用户招募-数据源 （正职）'!AK11</f>
        <v>649.828571428572</v>
      </c>
      <c r="AS11" s="122">
        <f t="shared" si="14"/>
        <v>0</v>
      </c>
      <c r="AT11" s="121">
        <v>250</v>
      </c>
      <c r="AU11" s="150">
        <f t="shared" si="22"/>
        <v>292.832653061225</v>
      </c>
      <c r="AV11" s="150">
        <v>720</v>
      </c>
      <c r="AW11" s="155"/>
      <c r="AX11" s="121">
        <v>7</v>
      </c>
      <c r="AY11" s="122">
        <f>'【国内】常规用户招募-数据源 （正职）'!AQ11*1.08</f>
        <v>0</v>
      </c>
      <c r="AZ11" s="122">
        <f>'【国内】常规用户招募-数据源 （正职）'!AS11*0.6</f>
        <v>0.825</v>
      </c>
      <c r="BA11" s="122">
        <f t="shared" si="4"/>
        <v>1.52833333333333</v>
      </c>
      <c r="BB11" s="122">
        <f>'【国内】常规用户招募-数据源 （正职）'!AT11*1.1</f>
        <v>1.32</v>
      </c>
      <c r="BC11" s="122">
        <f t="shared" si="15"/>
        <v>719.285714285714</v>
      </c>
      <c r="BD11" s="122">
        <f>'【国内】常规用户招募-数据源 （正职）'!AU11</f>
        <v>719.285714285714</v>
      </c>
      <c r="BE11" s="122">
        <f t="shared" si="16"/>
        <v>0</v>
      </c>
      <c r="BF11" s="121">
        <v>250</v>
      </c>
      <c r="BG11" s="150">
        <f t="shared" si="17"/>
        <v>302.755102040816</v>
      </c>
      <c r="BH11" s="122">
        <f t="shared" si="18"/>
        <v>52.7551020408163</v>
      </c>
    </row>
    <row r="12" spans="1:61">
      <c r="A12" s="121">
        <v>8</v>
      </c>
      <c r="B12" s="122">
        <f>'【国内】常规用户招募-数据源 （正职）'!B12</f>
        <v>0</v>
      </c>
      <c r="C12" s="122">
        <f>'【国内】常规用户招募-数据源 （正职）'!D12*0.6</f>
        <v>0.54</v>
      </c>
      <c r="D12" s="122">
        <f t="shared" si="5"/>
        <v>1.02</v>
      </c>
      <c r="E12" s="122">
        <f>'【国内】常规用户招募-数据源 （正职）'!E12</f>
        <v>1</v>
      </c>
      <c r="F12" s="122">
        <f t="shared" si="6"/>
        <v>420</v>
      </c>
      <c r="G12" s="122">
        <f>'【国内】常规用户招募-数据源 （正职）'!F12</f>
        <v>420</v>
      </c>
      <c r="H12" s="122">
        <f t="shared" si="7"/>
        <v>0</v>
      </c>
      <c r="I12" s="121">
        <v>200</v>
      </c>
      <c r="J12" s="150">
        <f t="shared" si="19"/>
        <v>252.5</v>
      </c>
      <c r="K12" s="150">
        <f t="shared" si="1"/>
        <v>52.5</v>
      </c>
      <c r="L12" s="159">
        <v>690</v>
      </c>
      <c r="M12" s="155"/>
      <c r="N12" s="121">
        <v>8</v>
      </c>
      <c r="O12" s="122">
        <f>'【国内】常规用户招募-数据源 （正职）'!M12*1.05</f>
        <v>0</v>
      </c>
      <c r="P12" s="122">
        <f>'【国内】常规用户招募-数据源 （正职）'!O12*0.6</f>
        <v>0.66</v>
      </c>
      <c r="Q12" s="122">
        <f t="shared" si="8"/>
        <v>1.25416666666667</v>
      </c>
      <c r="R12" s="122">
        <f>'【国内】常规用户招募-数据源 （正职）'!P12*0.98</f>
        <v>1.47</v>
      </c>
      <c r="S12" s="122">
        <f t="shared" si="9"/>
        <v>523.75</v>
      </c>
      <c r="T12" s="122">
        <f>'【国内】常规用户招募-数据源 （正职）'!Q12</f>
        <v>523.75</v>
      </c>
      <c r="U12" s="122">
        <f t="shared" si="20"/>
        <v>0</v>
      </c>
      <c r="V12" s="121">
        <v>250</v>
      </c>
      <c r="W12" s="150">
        <f t="shared" si="10"/>
        <v>315.46875</v>
      </c>
      <c r="X12" s="159">
        <v>690</v>
      </c>
      <c r="Y12" s="155"/>
      <c r="Z12" s="121">
        <v>8</v>
      </c>
      <c r="AA12" s="122">
        <f>'【国内】常规用户招募-数据源 （正职）'!W12</f>
        <v>0</v>
      </c>
      <c r="AB12" s="122">
        <f>'【国内】常规用户招募-数据源 （正职）'!Y12*0.6</f>
        <v>0.78</v>
      </c>
      <c r="AC12" s="122">
        <f t="shared" si="2"/>
        <v>1.39833333333333</v>
      </c>
      <c r="AD12" s="122">
        <f>'【国内】常规用户招募-数据源 （正职）'!Z12*1.2</f>
        <v>1.8</v>
      </c>
      <c r="AE12" s="122">
        <f t="shared" si="11"/>
        <v>608.75</v>
      </c>
      <c r="AF12" s="122">
        <f>'【国内】常规用户招募-数据源 （正职）'!AA12</f>
        <v>608.75</v>
      </c>
      <c r="AG12" s="122">
        <f t="shared" si="12"/>
        <v>0</v>
      </c>
      <c r="AH12" s="121">
        <v>250</v>
      </c>
      <c r="AI12" s="150">
        <f t="shared" si="21"/>
        <v>326.09375</v>
      </c>
      <c r="AJ12" s="150">
        <v>700</v>
      </c>
      <c r="AK12" s="155"/>
      <c r="AL12" s="121">
        <v>8</v>
      </c>
      <c r="AM12" s="122">
        <f>'【国内】常规用户招募-数据源 （正职）'!AG12*1.08</f>
        <v>0</v>
      </c>
      <c r="AN12" s="122">
        <f>'【国内】常规用户招募-数据源 （正职）'!AI12*0.6</f>
        <v>0.8736</v>
      </c>
      <c r="AO12" s="122">
        <f t="shared" si="3"/>
        <v>1.61613333333333</v>
      </c>
      <c r="AP12" s="122">
        <f>'【国内】常规用户招募-数据源 （正职）'!AJ12*1.08</f>
        <v>1.836</v>
      </c>
      <c r="AQ12" s="122">
        <f t="shared" si="13"/>
        <v>682.55</v>
      </c>
      <c r="AR12" s="122">
        <f>'【国内】常规用户招募-数据源 （正职）'!AK12</f>
        <v>682.55</v>
      </c>
      <c r="AS12" s="122">
        <f t="shared" si="14"/>
        <v>0</v>
      </c>
      <c r="AT12" s="121">
        <v>250</v>
      </c>
      <c r="AU12" s="150">
        <f t="shared" si="22"/>
        <v>285.31875</v>
      </c>
      <c r="AV12" s="150">
        <v>720</v>
      </c>
      <c r="AW12" s="155"/>
      <c r="AX12" s="121">
        <v>8</v>
      </c>
      <c r="AY12" s="122">
        <f>'【国内】常规用户招募-数据源 （正职）'!AQ12*1.08</f>
        <v>0</v>
      </c>
      <c r="AZ12" s="122">
        <f>'【国内】常规用户招募-数据源 （正职）'!AS12*0.6</f>
        <v>0.975</v>
      </c>
      <c r="BA12" s="122">
        <f t="shared" si="4"/>
        <v>1.79916666666667</v>
      </c>
      <c r="BB12" s="122">
        <f>'【国内】常规用户招募-数据源 （正职）'!AT12*1.1</f>
        <v>1.87</v>
      </c>
      <c r="BC12" s="122">
        <f t="shared" si="15"/>
        <v>754.375</v>
      </c>
      <c r="BD12" s="122">
        <f>'【国内】常规用户招募-数据源 （正职）'!AU12</f>
        <v>754.375</v>
      </c>
      <c r="BE12" s="122">
        <f t="shared" si="16"/>
        <v>0</v>
      </c>
      <c r="BF12" s="121">
        <v>250</v>
      </c>
      <c r="BG12" s="150">
        <f t="shared" si="17"/>
        <v>294.296875</v>
      </c>
      <c r="BH12" s="122">
        <f t="shared" si="18"/>
        <v>44.296875</v>
      </c>
    </row>
    <row r="13" ht="17.1" customHeight="1" spans="1:61">
      <c r="A13" s="121">
        <v>9</v>
      </c>
      <c r="B13" s="122">
        <f>'【国内】常规用户招募-数据源 （正职）'!B13</f>
        <v>0</v>
      </c>
      <c r="C13" s="122">
        <f>'【国内】常规用户招募-数据源 （正职）'!D13*0.6</f>
        <v>0.54</v>
      </c>
      <c r="D13" s="122">
        <f t="shared" si="5"/>
        <v>1.02</v>
      </c>
      <c r="E13" s="122">
        <f>'【国内】常规用户招募-数据源 （正职）'!E13</f>
        <v>1.5</v>
      </c>
      <c r="F13" s="122">
        <f t="shared" si="6"/>
        <v>390</v>
      </c>
      <c r="G13" s="122">
        <f>'【国内】常规用户招募-数据源 （正职）'!F13</f>
        <v>390</v>
      </c>
      <c r="H13" s="122">
        <f t="shared" si="7"/>
        <v>0</v>
      </c>
      <c r="I13" s="121">
        <v>200</v>
      </c>
      <c r="J13" s="150">
        <f t="shared" si="19"/>
        <v>243.333333333333</v>
      </c>
      <c r="K13" s="150">
        <f t="shared" si="1"/>
        <v>43.3333333333333</v>
      </c>
      <c r="L13" s="159">
        <v>690</v>
      </c>
      <c r="M13" s="155"/>
      <c r="N13" s="121">
        <v>9</v>
      </c>
      <c r="O13" s="122">
        <f>'【国内】常规用户招募-数据源 （正职）'!M13*1.05</f>
        <v>0</v>
      </c>
      <c r="P13" s="122">
        <f>'【国内】常规用户招募-数据源 （正职）'!O13*0.6</f>
        <v>0.66</v>
      </c>
      <c r="Q13" s="122">
        <f t="shared" si="8"/>
        <v>1.25416666666667</v>
      </c>
      <c r="R13" s="122">
        <f>'【国内】常规用户招募-数据源 （正职）'!P13*0.98</f>
        <v>1.47</v>
      </c>
      <c r="S13" s="122">
        <f t="shared" si="9"/>
        <v>465.555555555556</v>
      </c>
      <c r="T13" s="122">
        <f>'【国内】常规用户招募-数据源 （正职）'!Q13</f>
        <v>465.555555555556</v>
      </c>
      <c r="U13" s="122">
        <f t="shared" si="20"/>
        <v>0</v>
      </c>
      <c r="V13" s="121">
        <v>250</v>
      </c>
      <c r="W13" s="150">
        <f t="shared" si="10"/>
        <v>301.728395061728</v>
      </c>
      <c r="X13" s="159">
        <v>690</v>
      </c>
      <c r="Y13" s="155"/>
      <c r="Z13" s="121">
        <v>9</v>
      </c>
      <c r="AA13" s="122">
        <f>'【国内】常规用户招募-数据源 （正职）'!W13</f>
        <v>0</v>
      </c>
      <c r="AB13" s="122">
        <f>'【国内】常规用户招募-数据源 （正职）'!Y13*0.6</f>
        <v>0.84</v>
      </c>
      <c r="AC13" s="122">
        <f t="shared" si="2"/>
        <v>1.50666666666667</v>
      </c>
      <c r="AD13" s="122">
        <f>'【国内】常规用户招募-数据源 （正职）'!Z13*1.2</f>
        <v>1.92</v>
      </c>
      <c r="AE13" s="122">
        <f t="shared" si="11"/>
        <v>582.222222222222</v>
      </c>
      <c r="AF13" s="122">
        <f>'【国内】常规用户招募-数据源 （正职）'!AA13</f>
        <v>582.222222222222</v>
      </c>
      <c r="AG13" s="122">
        <f t="shared" si="12"/>
        <v>0</v>
      </c>
      <c r="AH13" s="121">
        <v>250</v>
      </c>
      <c r="AI13" s="150">
        <f t="shared" si="21"/>
        <v>314.691358024691</v>
      </c>
      <c r="AJ13" s="150">
        <v>700</v>
      </c>
      <c r="AK13" s="155"/>
      <c r="AL13" s="121">
        <v>9</v>
      </c>
      <c r="AM13" s="122">
        <f>'【国内】常规用户招募-数据源 （正职）'!AG13*1.08</f>
        <v>0</v>
      </c>
      <c r="AN13" s="122">
        <f>'【国内】常规用户招募-数据源 （正职）'!AI13*0.6</f>
        <v>0.9408</v>
      </c>
      <c r="AO13" s="122">
        <f t="shared" si="3"/>
        <v>1.74106666666667</v>
      </c>
      <c r="AP13" s="122">
        <f>'【国内】常规用户招募-数据源 （正职）'!AJ13*1.08</f>
        <v>1.944</v>
      </c>
      <c r="AQ13" s="122">
        <f t="shared" si="13"/>
        <v>652.355555555555</v>
      </c>
      <c r="AR13" s="122">
        <f>'【国内】常规用户招募-数据源 （正职）'!AK13</f>
        <v>652.355555555555</v>
      </c>
      <c r="AS13" s="122">
        <f t="shared" si="14"/>
        <v>0</v>
      </c>
      <c r="AT13" s="121">
        <v>250</v>
      </c>
      <c r="AU13" s="150">
        <f t="shared" si="22"/>
        <v>272.483950617284</v>
      </c>
      <c r="AV13" s="150">
        <v>720</v>
      </c>
      <c r="AW13" s="155"/>
      <c r="AX13" s="121">
        <v>9</v>
      </c>
      <c r="AY13" s="122">
        <f>'【国内】常规用户招募-数据源 （正职）'!AQ13*1.08</f>
        <v>0</v>
      </c>
      <c r="AZ13" s="122">
        <f>'【国内】常规用户招募-数据源 （正职）'!AS13*0.6</f>
        <v>1.05</v>
      </c>
      <c r="BA13" s="122">
        <f t="shared" si="4"/>
        <v>1.93833333333333</v>
      </c>
      <c r="BB13" s="122">
        <f>'【国内】常规用户招募-数据源 （正职）'!AT13*1.1</f>
        <v>1.98</v>
      </c>
      <c r="BC13" s="122">
        <f t="shared" si="15"/>
        <v>721.111111111111</v>
      </c>
      <c r="BD13" s="122">
        <f>'【国内】常规用户招募-数据源 （正职）'!AU13</f>
        <v>721.111111111111</v>
      </c>
      <c r="BE13" s="122">
        <f t="shared" si="16"/>
        <v>0</v>
      </c>
      <c r="BF13" s="121">
        <v>250</v>
      </c>
      <c r="BG13" s="150">
        <f t="shared" si="17"/>
        <v>280.123456790123</v>
      </c>
      <c r="BH13" s="122">
        <f t="shared" si="18"/>
        <v>30.1234567901235</v>
      </c>
    </row>
    <row r="14" s="149" customFormat="1" spans="1:61">
      <c r="A14" s="167">
        <v>10</v>
      </c>
      <c r="B14" s="122">
        <f>'【国内】常规用户招募-数据源 （正职）'!B14*1.3</f>
        <v>0</v>
      </c>
      <c r="C14" s="122">
        <f>'【国内】常规用户招募-数据源 （正职）'!D14*0.6</f>
        <v>0.6</v>
      </c>
      <c r="D14" s="122">
        <f t="shared" si="5"/>
        <v>1.13333333333333</v>
      </c>
      <c r="E14" s="122">
        <f>'【国内】常规用户招募-数据源 （正职）'!E14</f>
        <v>1.5</v>
      </c>
      <c r="F14" s="122">
        <f t="shared" si="6"/>
        <v>385</v>
      </c>
      <c r="G14" s="122">
        <f>'【国内】常规用户招募-数据源 （正职）'!F14</f>
        <v>385</v>
      </c>
      <c r="H14" s="122">
        <f t="shared" si="7"/>
        <v>0</v>
      </c>
      <c r="I14" s="167">
        <v>200</v>
      </c>
      <c r="J14" s="169">
        <f t="shared" si="19"/>
        <v>238.5</v>
      </c>
      <c r="K14" s="150">
        <f t="shared" si="1"/>
        <v>38.5</v>
      </c>
      <c r="L14" s="170">
        <v>690</v>
      </c>
      <c r="M14" s="171"/>
      <c r="N14" s="167">
        <v>10</v>
      </c>
      <c r="O14" s="122">
        <f>'【国内】常规用户招募-数据源 （正职）'!M14*1.3</f>
        <v>0</v>
      </c>
      <c r="P14" s="122">
        <f>'【国内】常规用户招募-数据源 （正职）'!O14*0.6</f>
        <v>0.72</v>
      </c>
      <c r="Q14" s="122">
        <f t="shared" si="8"/>
        <v>1.3685</v>
      </c>
      <c r="R14" s="122">
        <f>'【国内】常规用户招募-数据源 （正职）'!P14*0.98</f>
        <v>1.666</v>
      </c>
      <c r="S14" s="122">
        <f t="shared" si="9"/>
        <v>459</v>
      </c>
      <c r="T14" s="122">
        <f>'【国内】常规用户招募-数据源 （正职）'!Q14</f>
        <v>459</v>
      </c>
      <c r="U14" s="122">
        <f t="shared" si="20"/>
        <v>0</v>
      </c>
      <c r="V14" s="167">
        <v>250</v>
      </c>
      <c r="W14" s="150">
        <f t="shared" si="10"/>
        <v>295.9</v>
      </c>
      <c r="X14" s="170">
        <v>690</v>
      </c>
      <c r="Y14" s="171"/>
      <c r="Z14" s="167">
        <v>10</v>
      </c>
      <c r="AA14" s="122">
        <f>'【国内】常规用户招募-数据源 （正职）'!W14*1.3</f>
        <v>0</v>
      </c>
      <c r="AB14" s="122">
        <f>'【国内】常规用户招募-数据源 （正职）'!Y14*0.6</f>
        <v>0.9</v>
      </c>
      <c r="AC14" s="122">
        <f t="shared" si="2"/>
        <v>1.62</v>
      </c>
      <c r="AD14" s="122">
        <f>'【国内】常规用户招募-数据源 （正职）'!Z14*1.2</f>
        <v>1.92</v>
      </c>
      <c r="AE14" s="122">
        <f t="shared" si="11"/>
        <v>558</v>
      </c>
      <c r="AF14" s="122">
        <f>'【国内】常规用户招募-数据源 （正职）'!AA14</f>
        <v>558</v>
      </c>
      <c r="AG14" s="122">
        <f t="shared" si="12"/>
        <v>0</v>
      </c>
      <c r="AH14" s="167">
        <v>250</v>
      </c>
      <c r="AI14" s="169">
        <f t="shared" si="21"/>
        <v>305.8</v>
      </c>
      <c r="AJ14" s="169">
        <v>700</v>
      </c>
      <c r="AK14" s="171"/>
      <c r="AL14" s="167">
        <v>10</v>
      </c>
      <c r="AM14" s="122">
        <f>'【国内】常规用户招募-数据源 （正职）'!AG14*1.3</f>
        <v>0.13</v>
      </c>
      <c r="AN14" s="122">
        <f>'【国内】常规用户招募-数据源 （正职）'!AI14*0.6</f>
        <v>0.96</v>
      </c>
      <c r="AO14" s="122">
        <f t="shared" si="3"/>
        <v>1.62783333333333</v>
      </c>
      <c r="AP14" s="122">
        <f>'【国内】常规用户招募-数据源 （正职）'!AJ14*1.08</f>
        <v>2.052</v>
      </c>
      <c r="AQ14" s="122">
        <f t="shared" si="13"/>
        <v>660</v>
      </c>
      <c r="AR14" s="122">
        <f>'【国内】常规用户招募-数据源 （正职）'!AK14</f>
        <v>660</v>
      </c>
      <c r="AS14" s="122">
        <f t="shared" si="14"/>
        <v>0</v>
      </c>
      <c r="AT14" s="167">
        <v>250</v>
      </c>
      <c r="AU14" s="169">
        <f t="shared" si="22"/>
        <v>266</v>
      </c>
      <c r="AV14" s="169">
        <v>720</v>
      </c>
      <c r="AW14" s="171"/>
      <c r="AX14" s="167">
        <v>10</v>
      </c>
      <c r="AY14" s="122">
        <f>'【国内】常规用户招募-数据源 （正职）'!AQ14*1.3</f>
        <v>0.13</v>
      </c>
      <c r="AZ14" s="122">
        <f>'【国内】常规用户招募-数据源 （正职）'!AS14*0.6</f>
        <v>1.125</v>
      </c>
      <c r="BA14" s="122">
        <f t="shared" si="4"/>
        <v>1.9325</v>
      </c>
      <c r="BB14" s="122">
        <f>'【国内】常规用户招募-数据源 （正职）'!AT14*1.1</f>
        <v>1.98</v>
      </c>
      <c r="BC14" s="122">
        <f t="shared" si="15"/>
        <v>750.5</v>
      </c>
      <c r="BD14" s="122">
        <f>'【国内】常规用户招募-数据源 （正职）'!AU14</f>
        <v>750.5</v>
      </c>
      <c r="BE14" s="122">
        <f t="shared" si="16"/>
        <v>0</v>
      </c>
      <c r="BF14" s="167">
        <v>250</v>
      </c>
      <c r="BG14" s="169">
        <f t="shared" si="17"/>
        <v>275.05</v>
      </c>
      <c r="BH14" s="122">
        <f t="shared" si="18"/>
        <v>25.05</v>
      </c>
    </row>
    <row r="15" spans="1:61">
      <c r="A15" s="121">
        <v>11</v>
      </c>
      <c r="B15" s="122">
        <f>'【国内】常规用户招募-数据源 （正职）'!B15*1.3</f>
        <v>0.13</v>
      </c>
      <c r="C15" s="122">
        <f>'【国内】常规用户招募-数据源 （正职）'!D15*0.6</f>
        <v>0.6</v>
      </c>
      <c r="D15" s="122">
        <f t="shared" si="5"/>
        <v>0.985833333333333</v>
      </c>
      <c r="E15" s="122">
        <f>'【国内】常规用户招募-数据源 （正职）'!E15</f>
        <v>1.6</v>
      </c>
      <c r="F15" s="122">
        <f t="shared" si="6"/>
        <v>406.363636363636</v>
      </c>
      <c r="G15" s="122">
        <f>'【国内】常规用户招募-数据源 （正职）'!F15</f>
        <v>406.363636363636</v>
      </c>
      <c r="H15" s="122">
        <f t="shared" si="7"/>
        <v>0</v>
      </c>
      <c r="I15" s="121">
        <v>200</v>
      </c>
      <c r="J15" s="150">
        <f t="shared" si="19"/>
        <v>236.942148760331</v>
      </c>
      <c r="K15" s="150">
        <f t="shared" si="1"/>
        <v>36.9421487603306</v>
      </c>
      <c r="L15" s="159">
        <v>690</v>
      </c>
      <c r="M15" s="155"/>
      <c r="N15" s="121">
        <v>11</v>
      </c>
      <c r="O15" s="122">
        <f>'【国内】常规用户招募-数据源 （正职）'!M15*1.3</f>
        <v>0.13</v>
      </c>
      <c r="P15" s="122">
        <f>'【国内】常规用户招募-数据源 （正职）'!O15*0.6</f>
        <v>0.72</v>
      </c>
      <c r="Q15" s="122">
        <f t="shared" si="8"/>
        <v>1.2215</v>
      </c>
      <c r="R15" s="122">
        <f>'【国内】常规用户招募-数据源 （正职）'!P15*0.98</f>
        <v>1.764</v>
      </c>
      <c r="S15" s="122">
        <f t="shared" si="9"/>
        <v>473.636363636364</v>
      </c>
      <c r="T15" s="122">
        <f>'【国内】常规用户招募-数据源 （正职）'!Q15</f>
        <v>473.636363636364</v>
      </c>
      <c r="U15" s="122">
        <f t="shared" si="20"/>
        <v>0</v>
      </c>
      <c r="V15" s="121">
        <v>250</v>
      </c>
      <c r="W15" s="150">
        <f t="shared" si="10"/>
        <v>293.057851239669</v>
      </c>
      <c r="X15" s="159">
        <v>690</v>
      </c>
      <c r="Y15" s="155"/>
      <c r="Z15" s="121">
        <v>11</v>
      </c>
      <c r="AA15" s="122">
        <f>'【国内】常规用户招募-数据源 （正职）'!W15*1.3</f>
        <v>0.13</v>
      </c>
      <c r="AB15" s="122">
        <f>'【国内】常规用户招募-数据源 （正职）'!Y15*0.6</f>
        <v>0.9</v>
      </c>
      <c r="AC15" s="122">
        <f t="shared" si="2"/>
        <v>1.4575</v>
      </c>
      <c r="AD15" s="122">
        <f>'【国内】常规用户招募-数据源 （正职）'!Z15*1.2</f>
        <v>2.28</v>
      </c>
      <c r="AE15" s="122">
        <f t="shared" si="11"/>
        <v>569.090909090909</v>
      </c>
      <c r="AF15" s="122">
        <f>'【国内】常规用户招募-数据源 （正职）'!AA15</f>
        <v>569.090909090909</v>
      </c>
      <c r="AG15" s="122">
        <f t="shared" si="12"/>
        <v>0</v>
      </c>
      <c r="AH15" s="121">
        <v>250</v>
      </c>
      <c r="AI15" s="150">
        <f t="shared" si="21"/>
        <v>301.735537190083</v>
      </c>
      <c r="AJ15" s="150">
        <v>700</v>
      </c>
      <c r="AK15" s="155"/>
      <c r="AL15" s="121">
        <v>11</v>
      </c>
      <c r="AM15" s="122">
        <f>'【国内】常规用户招募-数据源 （正职）'!AG15*1.3</f>
        <v>0.13</v>
      </c>
      <c r="AN15" s="122">
        <f>'【国内】常规用户招募-数据源 （正职）'!AI15*0.6</f>
        <v>1.008</v>
      </c>
      <c r="AO15" s="122">
        <f t="shared" si="3"/>
        <v>1.7145</v>
      </c>
      <c r="AP15" s="122">
        <f>'【国内】常规用户招募-数据源 （正职）'!AJ15*1.08</f>
        <v>2.268</v>
      </c>
      <c r="AQ15" s="122">
        <f t="shared" si="13"/>
        <v>630.181818181818</v>
      </c>
      <c r="AR15" s="122">
        <f>'【国内】常规用户招募-数据源 （正职）'!AK15</f>
        <v>630.181818181818</v>
      </c>
      <c r="AS15" s="122">
        <f t="shared" si="14"/>
        <v>0</v>
      </c>
      <c r="AT15" s="121">
        <v>250</v>
      </c>
      <c r="AU15" s="150">
        <f t="shared" si="22"/>
        <v>257.289256198347</v>
      </c>
      <c r="AV15" s="150">
        <v>720</v>
      </c>
      <c r="AW15" s="155"/>
      <c r="AX15" s="121">
        <v>11</v>
      </c>
      <c r="AY15" s="122">
        <f>'【国内】常规用户招募-数据源 （正职）'!AQ15*1.3</f>
        <v>0.13</v>
      </c>
      <c r="AZ15" s="122">
        <f>'【国内】常规用户招募-数据源 （正职）'!AS15*0.6</f>
        <v>1.125</v>
      </c>
      <c r="BA15" s="122">
        <f t="shared" si="4"/>
        <v>1.925</v>
      </c>
      <c r="BB15" s="122">
        <f>'【国内】常规用户招募-数据源 （正职）'!AT15*1.1</f>
        <v>2.31</v>
      </c>
      <c r="BC15" s="122">
        <f t="shared" si="15"/>
        <v>690.454545454545</v>
      </c>
      <c r="BD15" s="122">
        <f>'【国内】常规用户招募-数据源 （正职）'!AU15</f>
        <v>690.454545454545</v>
      </c>
      <c r="BE15" s="122">
        <f t="shared" si="16"/>
        <v>0</v>
      </c>
      <c r="BF15" s="121">
        <v>250</v>
      </c>
      <c r="BG15" s="150">
        <f t="shared" si="17"/>
        <v>262.768595041322</v>
      </c>
      <c r="BH15" s="122">
        <f t="shared" si="18"/>
        <v>12.7685950413223</v>
      </c>
    </row>
    <row r="16" spans="1:61">
      <c r="A16" s="121">
        <v>12</v>
      </c>
      <c r="B16" s="122">
        <f>'【国内】常规用户招募-数据源 （正职）'!B16*1.3</f>
        <v>0.13</v>
      </c>
      <c r="C16" s="122">
        <f>'【国内】常规用户招募-数据源 （正职）'!D16*0.6</f>
        <v>0.66</v>
      </c>
      <c r="D16" s="122">
        <f t="shared" si="5"/>
        <v>1.09916666666667</v>
      </c>
      <c r="E16" s="122">
        <f>'【国内】常规用户招募-数据源 （正职）'!E16</f>
        <v>1.6</v>
      </c>
      <c r="F16" s="122">
        <f t="shared" si="6"/>
        <v>400.833333333333</v>
      </c>
      <c r="G16" s="122">
        <f>'【国内】常规用户招募-数据源 （正职）'!F16</f>
        <v>400.833333333333</v>
      </c>
      <c r="H16" s="122">
        <f t="shared" si="7"/>
        <v>0</v>
      </c>
      <c r="I16" s="121">
        <v>200</v>
      </c>
      <c r="J16" s="150">
        <f t="shared" si="19"/>
        <v>233.402777777778</v>
      </c>
      <c r="K16" s="150">
        <f t="shared" si="1"/>
        <v>33.4027777777778</v>
      </c>
      <c r="L16" s="159">
        <v>690</v>
      </c>
      <c r="M16" s="155"/>
      <c r="N16" s="121">
        <v>12</v>
      </c>
      <c r="O16" s="122">
        <f>'【国内】常规用户招募-数据源 （正职）'!M16*1.3</f>
        <v>0.13</v>
      </c>
      <c r="P16" s="122">
        <f>'【国内】常规用户招募-数据源 （正职）'!O16*0.6</f>
        <v>0.78</v>
      </c>
      <c r="Q16" s="122">
        <f t="shared" si="8"/>
        <v>1.33483333333333</v>
      </c>
      <c r="R16" s="122">
        <f>'【国内】常规用户招募-数据源 （正职）'!P16*0.98</f>
        <v>1.764</v>
      </c>
      <c r="S16" s="122">
        <f t="shared" si="9"/>
        <v>462.5</v>
      </c>
      <c r="T16" s="122">
        <f>'【国内】常规用户招募-数据源 （正职）'!Q16</f>
        <v>462.5</v>
      </c>
      <c r="U16" s="122">
        <f t="shared" si="20"/>
        <v>0</v>
      </c>
      <c r="V16" s="121">
        <v>250</v>
      </c>
      <c r="W16" s="150">
        <f t="shared" si="10"/>
        <v>288.541666666667</v>
      </c>
      <c r="X16" s="159">
        <v>690</v>
      </c>
      <c r="Y16" s="155"/>
      <c r="Z16" s="121">
        <v>12</v>
      </c>
      <c r="AA16" s="122">
        <f>'【国内】常规用户招募-数据源 （正职）'!W16*1.3</f>
        <v>0.13</v>
      </c>
      <c r="AB16" s="122">
        <f>'【国内】常规用户招募-数据源 （正职）'!Y16*0.6</f>
        <v>0.96</v>
      </c>
      <c r="AC16" s="122">
        <f t="shared" si="2"/>
        <v>1.56583333333333</v>
      </c>
      <c r="AD16" s="122">
        <f>'【国内】常规用户招募-数据源 （正职）'!Z16*1.2</f>
        <v>2.4</v>
      </c>
      <c r="AE16" s="122">
        <f t="shared" si="11"/>
        <v>552.5</v>
      </c>
      <c r="AF16" s="122">
        <f>'【国内】常规用户招募-数据源 （正职）'!AA16</f>
        <v>552.5</v>
      </c>
      <c r="AG16" s="122">
        <f t="shared" si="12"/>
        <v>0</v>
      </c>
      <c r="AH16" s="121">
        <v>250</v>
      </c>
      <c r="AI16" s="150">
        <f t="shared" si="21"/>
        <v>296.041666666667</v>
      </c>
      <c r="AJ16" s="150">
        <v>700</v>
      </c>
      <c r="AK16" s="155"/>
      <c r="AL16" s="121">
        <v>12</v>
      </c>
      <c r="AM16" s="122">
        <f>'【国内】常规用户招募-数据源 （正职）'!AG16*1.3</f>
        <v>0.13</v>
      </c>
      <c r="AN16" s="122">
        <f>'【国内】常规用户招募-数据源 （正职）'!AI16*0.6</f>
        <v>1.14</v>
      </c>
      <c r="AO16" s="122">
        <f t="shared" si="3"/>
        <v>1.96183333333333</v>
      </c>
      <c r="AP16" s="122">
        <f>'【国内】常规用户招募-数据源 （正职）'!AJ16*1.08</f>
        <v>2.376</v>
      </c>
      <c r="AQ16" s="122">
        <f t="shared" si="13"/>
        <v>642.5</v>
      </c>
      <c r="AR16" s="122">
        <f>'【国内】常规用户招募-数据源 （正职）'!AK16</f>
        <v>642.5</v>
      </c>
      <c r="AS16" s="122">
        <f t="shared" si="14"/>
        <v>0</v>
      </c>
      <c r="AT16" s="121">
        <v>250</v>
      </c>
      <c r="AU16" s="150">
        <f t="shared" si="22"/>
        <v>253.541666666667</v>
      </c>
      <c r="AV16" s="150">
        <v>720</v>
      </c>
      <c r="AW16" s="155"/>
      <c r="AX16" s="121">
        <v>12</v>
      </c>
      <c r="AY16" s="122">
        <f>'【国内】常规用户招募-数据源 （正职）'!AQ16*1.3</f>
        <v>0.13</v>
      </c>
      <c r="AZ16" s="122">
        <f>'【国内】常规用户招募-数据源 （正职）'!AS16*0.6</f>
        <v>1.2</v>
      </c>
      <c r="BA16" s="122">
        <f t="shared" si="4"/>
        <v>2.06416666666667</v>
      </c>
      <c r="BB16" s="122">
        <f>'【国内】常规用户招募-数据源 （正职）'!AT16*1.1</f>
        <v>2.42</v>
      </c>
      <c r="BC16" s="122">
        <f t="shared" si="15"/>
        <v>670.833333333333</v>
      </c>
      <c r="BD16" s="122">
        <f>'【国内】常规用户招募-数据源 （正职）'!AU16</f>
        <v>670.833333333333</v>
      </c>
      <c r="BE16" s="122">
        <f t="shared" si="16"/>
        <v>0</v>
      </c>
      <c r="BF16" s="121">
        <v>250</v>
      </c>
      <c r="BG16" s="150">
        <f t="shared" si="17"/>
        <v>255.902777777778</v>
      </c>
      <c r="BH16" s="122">
        <f t="shared" si="18"/>
        <v>5.9027777777778</v>
      </c>
    </row>
    <row r="17" spans="1:60">
      <c r="A17" s="121">
        <v>13</v>
      </c>
      <c r="B17" s="122">
        <f>'【国内】常规用户招募-数据源 （正职）'!B17*1.3</f>
        <v>0.13</v>
      </c>
      <c r="C17" s="122">
        <f>'【国内】常规用户招募-数据源 （正职）'!D17*0.6</f>
        <v>0.66</v>
      </c>
      <c r="D17" s="122">
        <f t="shared" si="5"/>
        <v>1.09916666666667</v>
      </c>
      <c r="E17" s="122">
        <f>'【国内】常规用户招募-数据源 （正职）'!E17</f>
        <v>1.7</v>
      </c>
      <c r="F17" s="122">
        <f t="shared" si="6"/>
        <v>372.307692307692</v>
      </c>
      <c r="G17" s="122">
        <f>'【国内】常规用户招募-数据源 （正职）'!F17</f>
        <v>372.307692307692</v>
      </c>
      <c r="H17" s="122">
        <f t="shared" si="7"/>
        <v>0</v>
      </c>
      <c r="I17" s="121">
        <v>200</v>
      </c>
      <c r="J17" s="150">
        <f t="shared" si="19"/>
        <v>228.639053254438</v>
      </c>
      <c r="K17" s="150">
        <f t="shared" si="1"/>
        <v>28.6390532544379</v>
      </c>
      <c r="L17" s="159">
        <v>690</v>
      </c>
      <c r="M17" s="155"/>
      <c r="N17" s="121">
        <v>13</v>
      </c>
      <c r="O17" s="122">
        <f>'【国内】常规用户招募-数据源 （正职）'!M17*1.3</f>
        <v>0.13</v>
      </c>
      <c r="P17" s="122">
        <f>'【国内】常规用户招募-数据源 （正职）'!O17*0.6</f>
        <v>0.78</v>
      </c>
      <c r="Q17" s="122">
        <f t="shared" si="8"/>
        <v>1.33533333333333</v>
      </c>
      <c r="R17" s="122">
        <f>'【国内】常规用户招募-数据源 （正职）'!P17*0.98</f>
        <v>1.862</v>
      </c>
      <c r="S17" s="122">
        <f t="shared" si="9"/>
        <v>429.230769230769</v>
      </c>
      <c r="T17" s="122">
        <f>'【国内】常规用户招募-数据源 （正职）'!Q17</f>
        <v>429.230769230769</v>
      </c>
      <c r="U17" s="122">
        <f t="shared" si="20"/>
        <v>0</v>
      </c>
      <c r="V17" s="121">
        <v>250</v>
      </c>
      <c r="W17" s="150">
        <f t="shared" si="10"/>
        <v>283.01775147929</v>
      </c>
      <c r="X17" s="159">
        <v>690</v>
      </c>
      <c r="Y17" s="155"/>
      <c r="Z17" s="121">
        <v>13</v>
      </c>
      <c r="AA17" s="122">
        <f>'【国内】常规用户招募-数据源 （正职）'!W17*1.3</f>
        <v>0.13</v>
      </c>
      <c r="AB17" s="122">
        <f>'【国内】常规用户招募-数据源 （正职）'!Y17*0.6</f>
        <v>0.96</v>
      </c>
      <c r="AC17" s="122">
        <f t="shared" si="2"/>
        <v>1.56083333333333</v>
      </c>
      <c r="AD17" s="122">
        <f>'【国内】常规用户招募-数据源 （正职）'!Z17*1.2</f>
        <v>2.52</v>
      </c>
      <c r="AE17" s="122">
        <f t="shared" si="11"/>
        <v>512.307692307692</v>
      </c>
      <c r="AF17" s="122">
        <f>'【国内】常规用户招募-数据源 （正职）'!AA17</f>
        <v>512.307692307692</v>
      </c>
      <c r="AG17" s="122">
        <f t="shared" si="12"/>
        <v>0</v>
      </c>
      <c r="AH17" s="121">
        <v>250</v>
      </c>
      <c r="AI17" s="150">
        <f t="shared" si="21"/>
        <v>289.408284023669</v>
      </c>
      <c r="AJ17" s="150">
        <v>700</v>
      </c>
      <c r="AK17" s="155"/>
      <c r="AL17" s="121">
        <v>13</v>
      </c>
      <c r="AM17" s="122">
        <f>'【国内】常规用户招募-数据源 （正职）'!AG17*1.3</f>
        <v>0.13</v>
      </c>
      <c r="AN17" s="122">
        <f>'【国内】常规用户招募-数据源 （正职）'!AI17*0.6</f>
        <v>1.2</v>
      </c>
      <c r="AO17" s="122">
        <f t="shared" si="3"/>
        <v>2.07316666666667</v>
      </c>
      <c r="AP17" s="122">
        <f>'【国内】常规用户招募-数据源 （正职）'!AJ17*1.08</f>
        <v>2.484</v>
      </c>
      <c r="AQ17" s="122">
        <f t="shared" si="13"/>
        <v>621.538461538461</v>
      </c>
      <c r="AR17" s="122">
        <f>'【国内】常规用户招募-数据源 （正职）'!AK17</f>
        <v>621.538461538462</v>
      </c>
      <c r="AS17" s="122">
        <f t="shared" si="14"/>
        <v>0</v>
      </c>
      <c r="AT17" s="121">
        <v>250</v>
      </c>
      <c r="AU17" s="150">
        <f t="shared" si="22"/>
        <v>247.810650887574</v>
      </c>
      <c r="AV17" s="150">
        <v>720</v>
      </c>
      <c r="AW17" s="155"/>
      <c r="AX17" s="121">
        <v>13</v>
      </c>
      <c r="AY17" s="122">
        <f>'【国内】常规用户招募-数据源 （正职）'!AQ17*1.3</f>
        <v>0.13</v>
      </c>
      <c r="AZ17" s="122">
        <f>'【国内】常规用户招募-数据源 （正职）'!AS17*0.6</f>
        <v>1.2</v>
      </c>
      <c r="BA17" s="122">
        <f t="shared" si="4"/>
        <v>2.06166666666667</v>
      </c>
      <c r="BB17" s="122">
        <f>'【国内】常规用户招募-数据源 （正职）'!AT17*1.1</f>
        <v>2.53</v>
      </c>
      <c r="BC17" s="122">
        <f t="shared" si="15"/>
        <v>621.538461538462</v>
      </c>
      <c r="BD17" s="122">
        <f>'【国内】常规用户招募-数据源 （正职）'!AU17</f>
        <v>621.538461538462</v>
      </c>
      <c r="BE17" s="122">
        <f t="shared" si="16"/>
        <v>0</v>
      </c>
      <c r="BF17" s="121">
        <v>250</v>
      </c>
      <c r="BG17" s="150">
        <f t="shared" si="17"/>
        <v>247.810650887574</v>
      </c>
      <c r="BH17" s="122">
        <f t="shared" si="18"/>
        <v>-2.18934911242604</v>
      </c>
    </row>
    <row r="18" spans="1:60">
      <c r="A18" s="121">
        <v>14</v>
      </c>
      <c r="B18" s="122">
        <f>'【国内】常规用户招募-数据源 （正职）'!B18*1.3</f>
        <v>0.13</v>
      </c>
      <c r="C18" s="122">
        <f>'【国内】常规用户招募-数据源 （正职）'!D18*0.6</f>
        <v>0.72</v>
      </c>
      <c r="D18" s="122">
        <f t="shared" si="5"/>
        <v>1.2125</v>
      </c>
      <c r="E18" s="122">
        <f>'【国内】常规用户招募-数据源 （正职）'!E18</f>
        <v>1.7</v>
      </c>
      <c r="F18" s="122">
        <f t="shared" si="6"/>
        <v>370</v>
      </c>
      <c r="G18" s="122">
        <f>'【国内】常规用户招募-数据源 （正职）'!F18</f>
        <v>370</v>
      </c>
      <c r="H18" s="122">
        <f t="shared" si="7"/>
        <v>0</v>
      </c>
      <c r="I18" s="121">
        <v>200</v>
      </c>
      <c r="J18" s="150">
        <f t="shared" si="19"/>
        <v>226.428571428571</v>
      </c>
      <c r="K18" s="150">
        <f t="shared" si="1"/>
        <v>26.4285714285714</v>
      </c>
      <c r="L18" s="159">
        <v>690</v>
      </c>
      <c r="M18" s="155"/>
      <c r="N18" s="121">
        <v>14</v>
      </c>
      <c r="O18" s="122">
        <f>'【国内】常规用户招募-数据源 （正职）'!M18*1.3</f>
        <v>0.13</v>
      </c>
      <c r="P18" s="122">
        <f>'【国内】常规用户招募-数据源 （正职）'!O18*0.6</f>
        <v>0.84</v>
      </c>
      <c r="Q18" s="122">
        <f t="shared" si="8"/>
        <v>1.44866666666667</v>
      </c>
      <c r="R18" s="122">
        <f>'【国内】常规用户招募-数据源 （正职）'!P18*0.98</f>
        <v>1.862</v>
      </c>
      <c r="S18" s="122">
        <f t="shared" si="9"/>
        <v>422.857142857143</v>
      </c>
      <c r="T18" s="122">
        <f>'【国内】常规用户招募-数据源 （正职）'!Q18</f>
        <v>422.857142857143</v>
      </c>
      <c r="U18" s="122">
        <f t="shared" si="20"/>
        <v>0</v>
      </c>
      <c r="V18" s="121">
        <v>250</v>
      </c>
      <c r="W18" s="150">
        <f t="shared" si="10"/>
        <v>280.204081632653</v>
      </c>
      <c r="X18" s="159">
        <v>690</v>
      </c>
      <c r="Y18" s="155"/>
      <c r="Z18" s="121">
        <v>14</v>
      </c>
      <c r="AA18" s="122">
        <f>'【国内】常规用户招募-数据源 （正职）'!W18*1.3</f>
        <v>0.13</v>
      </c>
      <c r="AB18" s="122">
        <f>'【国内】常规用户招募-数据源 （正职）'!Y18*0.6</f>
        <v>1.02</v>
      </c>
      <c r="AC18" s="122">
        <f t="shared" si="2"/>
        <v>1.67416666666667</v>
      </c>
      <c r="AD18" s="122">
        <f>'【国内】常规用户招募-数据源 （正职）'!Z18*1.2</f>
        <v>2.52</v>
      </c>
      <c r="AE18" s="122">
        <f t="shared" si="11"/>
        <v>500</v>
      </c>
      <c r="AF18" s="122">
        <f>'【国内】常规用户招募-数据源 （正职）'!AA18</f>
        <v>500</v>
      </c>
      <c r="AG18" s="122">
        <f t="shared" si="12"/>
        <v>0</v>
      </c>
      <c r="AH18" s="121">
        <v>250</v>
      </c>
      <c r="AI18" s="150">
        <f t="shared" si="21"/>
        <v>285.714285714286</v>
      </c>
      <c r="AJ18" s="150">
        <v>700</v>
      </c>
      <c r="AK18" s="155"/>
      <c r="AL18" s="121">
        <v>14</v>
      </c>
      <c r="AM18" s="122">
        <f>'【国内】常规用户招募-数据源 （正职）'!AG18*1.3</f>
        <v>0.13</v>
      </c>
      <c r="AN18" s="122">
        <f>'【国内】常规用户招募-数据源 （正职）'!AI18*0.6</f>
        <v>1.32</v>
      </c>
      <c r="AO18" s="122">
        <f t="shared" si="3"/>
        <v>2.29983333333333</v>
      </c>
      <c r="AP18" s="122">
        <f>'【国内】常规用户招募-数据源 （正职）'!AJ18*1.08</f>
        <v>2.484</v>
      </c>
      <c r="AQ18" s="122">
        <f t="shared" si="13"/>
        <v>625.714285714286</v>
      </c>
      <c r="AR18" s="122">
        <f>'【国内】常规用户招募-数据源 （正职）'!AK18</f>
        <v>625.714285714286</v>
      </c>
      <c r="AS18" s="122">
        <f t="shared" si="14"/>
        <v>0</v>
      </c>
      <c r="AT18" s="121">
        <v>250</v>
      </c>
      <c r="AU18" s="150">
        <f t="shared" si="22"/>
        <v>244.69387755102</v>
      </c>
      <c r="AV18" s="150">
        <v>720</v>
      </c>
      <c r="AW18" s="155"/>
      <c r="AX18" s="121">
        <v>14</v>
      </c>
      <c r="AY18" s="122">
        <f>'【国内】常规用户招募-数据源 （正职）'!AQ18*1.3</f>
        <v>0.13</v>
      </c>
      <c r="AZ18" s="122">
        <f>'【国内】常规用户招募-数据源 （正职）'!AS18*0.6</f>
        <v>1.275</v>
      </c>
      <c r="BA18" s="122">
        <f t="shared" si="4"/>
        <v>2.20333333333333</v>
      </c>
      <c r="BB18" s="122">
        <f>'【国内】常规用户招募-数据源 （正职）'!AT18*1.1</f>
        <v>2.53</v>
      </c>
      <c r="BC18" s="122">
        <f t="shared" si="15"/>
        <v>607.5</v>
      </c>
      <c r="BD18" s="122">
        <f>'【国内】常规用户招募-数据源 （正职）'!AU18</f>
        <v>607.5</v>
      </c>
      <c r="BE18" s="122">
        <f t="shared" si="16"/>
        <v>0</v>
      </c>
      <c r="BF18" s="121">
        <v>250</v>
      </c>
      <c r="BG18" s="150">
        <f t="shared" si="17"/>
        <v>243.392857142857</v>
      </c>
      <c r="BH18" s="122">
        <f t="shared" si="18"/>
        <v>-6.60714285714286</v>
      </c>
    </row>
    <row r="19" s="148" customFormat="1" spans="1:60">
      <c r="A19" s="121">
        <v>15</v>
      </c>
      <c r="B19" s="122">
        <f>'【国内】常规用户招募-数据源 （正职）'!B19*1.3</f>
        <v>0.13</v>
      </c>
      <c r="C19" s="122">
        <f>'【国内】常规用户招募-数据源 （正职）'!D19*0.6</f>
        <v>0.84</v>
      </c>
      <c r="D19" s="122">
        <f t="shared" si="5"/>
        <v>1.43916666666667</v>
      </c>
      <c r="E19" s="122">
        <f>'【国内】常规用户招募-数据源 （正职）'!E19</f>
        <v>1.9</v>
      </c>
      <c r="F19" s="122">
        <f t="shared" si="6"/>
        <v>394.666666666667</v>
      </c>
      <c r="G19" s="122">
        <f>'【国内】常规用户招募-数据源 （正职）'!F19</f>
        <v>394.666666666667</v>
      </c>
      <c r="H19" s="122">
        <f t="shared" si="7"/>
        <v>0</v>
      </c>
      <c r="I19" s="121">
        <v>200</v>
      </c>
      <c r="J19" s="150">
        <f t="shared" si="19"/>
        <v>226.311111111111</v>
      </c>
      <c r="K19" s="150">
        <f t="shared" si="1"/>
        <v>26.3111111111111</v>
      </c>
      <c r="L19" s="159">
        <v>690</v>
      </c>
      <c r="M19" s="155"/>
      <c r="N19" s="121">
        <v>15</v>
      </c>
      <c r="O19" s="122">
        <f>'【国内】常规用户招募-数据源 （正职）'!M19*1.3</f>
        <v>0.13</v>
      </c>
      <c r="P19" s="122">
        <f>'【国内】常规用户招募-数据源 （正职）'!O19*0.6</f>
        <v>0.9</v>
      </c>
      <c r="Q19" s="122">
        <f t="shared" si="8"/>
        <v>1.5625</v>
      </c>
      <c r="R19" s="122">
        <f>'【国内】常规用户招募-数据源 （正职）'!P19*0.98</f>
        <v>1.96</v>
      </c>
      <c r="S19" s="122">
        <f t="shared" si="9"/>
        <v>419.333333333333</v>
      </c>
      <c r="T19" s="122">
        <f>'【国内】常规用户招募-数据源 （正职）'!Q19</f>
        <v>419.333333333333</v>
      </c>
      <c r="U19" s="122">
        <f t="shared" si="20"/>
        <v>0</v>
      </c>
      <c r="V19" s="121">
        <v>250</v>
      </c>
      <c r="W19" s="150">
        <f t="shared" si="10"/>
        <v>277.955555555556</v>
      </c>
      <c r="X19" s="159">
        <v>690</v>
      </c>
      <c r="Y19" s="155"/>
      <c r="Z19" s="121">
        <v>15</v>
      </c>
      <c r="AA19" s="122">
        <f>'【国内】常规用户招募-数据源 （正职）'!W19*1.3</f>
        <v>0.13</v>
      </c>
      <c r="AB19" s="122">
        <f>'【国内】常规用户招募-数据源 （正职）'!Y19*0.6</f>
        <v>1.14</v>
      </c>
      <c r="AC19" s="122">
        <f t="shared" si="2"/>
        <v>1.89583333333333</v>
      </c>
      <c r="AD19" s="122">
        <f>'【国内】常规用户招募-数据源 （正职）'!Z19*1.2</f>
        <v>2.64</v>
      </c>
      <c r="AE19" s="122">
        <f t="shared" si="11"/>
        <v>514</v>
      </c>
      <c r="AF19" s="122">
        <f>'【国内】常规用户招募-数据源 （正职）'!AA19</f>
        <v>514</v>
      </c>
      <c r="AG19" s="122">
        <f t="shared" si="12"/>
        <v>0</v>
      </c>
      <c r="AH19" s="121">
        <v>250</v>
      </c>
      <c r="AI19" s="150">
        <f t="shared" si="21"/>
        <v>284.266666666667</v>
      </c>
      <c r="AJ19" s="150">
        <v>700</v>
      </c>
      <c r="AK19" s="155"/>
      <c r="AL19" s="121">
        <v>15</v>
      </c>
      <c r="AM19" s="122">
        <f>'【国内】常规用户招募-数据源 （正职）'!AG19*1.3</f>
        <v>0.13</v>
      </c>
      <c r="AN19" s="122">
        <f>'【国内】常规用户招募-数据源 （正职）'!AI19*0.6</f>
        <v>1.38</v>
      </c>
      <c r="AO19" s="122">
        <f t="shared" si="3"/>
        <v>2.40916666666667</v>
      </c>
      <c r="AP19" s="122">
        <f>'【国内】常规用户招募-数据源 （正职）'!AJ19*1.08</f>
        <v>2.7</v>
      </c>
      <c r="AQ19" s="122">
        <f t="shared" si="13"/>
        <v>610.666666666667</v>
      </c>
      <c r="AR19" s="122">
        <f>'【国内】常规用户招募-数据源 （正职）'!AK19</f>
        <v>610.666666666667</v>
      </c>
      <c r="AS19" s="122">
        <f t="shared" si="14"/>
        <v>0</v>
      </c>
      <c r="AT19" s="121">
        <v>250</v>
      </c>
      <c r="AU19" s="150">
        <f t="shared" si="22"/>
        <v>240.711111111111</v>
      </c>
      <c r="AV19" s="150">
        <v>720</v>
      </c>
      <c r="AW19" s="155"/>
      <c r="AX19" s="121">
        <v>15</v>
      </c>
      <c r="AY19" s="122">
        <f>'【国内】常规用户招募-数据源 （正职）'!AQ19*1.3</f>
        <v>0.13</v>
      </c>
      <c r="AZ19" s="122">
        <f>'【国内】常规用户招募-数据源 （正职）'!AS19*0.6</f>
        <v>1.425</v>
      </c>
      <c r="BA19" s="122">
        <f t="shared" si="4"/>
        <v>2.47416666666667</v>
      </c>
      <c r="BB19" s="122">
        <f>'【国内】常规用户招募-数据源 （正职）'!AT19*1.1</f>
        <v>3.08</v>
      </c>
      <c r="BC19" s="122">
        <f t="shared" si="15"/>
        <v>633.666666666667</v>
      </c>
      <c r="BD19" s="122">
        <f>'【国内】常规用户招募-数据源 （正职）'!AU19</f>
        <v>633.666666666667</v>
      </c>
      <c r="BE19" s="122">
        <f t="shared" si="16"/>
        <v>0</v>
      </c>
      <c r="BF19" s="121">
        <v>250</v>
      </c>
      <c r="BG19" s="150">
        <f t="shared" si="17"/>
        <v>242.244444444444</v>
      </c>
      <c r="BH19" s="122">
        <f t="shared" si="18"/>
        <v>-7.75555555555556</v>
      </c>
    </row>
    <row r="20" spans="1:60">
      <c r="A20" s="121">
        <v>16</v>
      </c>
      <c r="B20" s="122">
        <f>'【国内】常规用户招募-数据源 （正职）'!B20*1.3</f>
        <v>0.13</v>
      </c>
      <c r="C20" s="122">
        <f>'【国内】常规用户招募-数据源 （正职）'!D20*0.6</f>
        <v>0.9</v>
      </c>
      <c r="D20" s="122">
        <f t="shared" si="5"/>
        <v>1.5525</v>
      </c>
      <c r="E20" s="122">
        <f>'【国内】常规用户招募-数据源 （正职）'!E20</f>
        <v>1.9</v>
      </c>
      <c r="F20" s="122">
        <f t="shared" si="6"/>
        <v>391.25</v>
      </c>
      <c r="G20" s="122">
        <f>'【国内】常规用户招募-数据源 （正职）'!F20</f>
        <v>391.25</v>
      </c>
      <c r="H20" s="122">
        <f t="shared" si="7"/>
        <v>0</v>
      </c>
      <c r="I20" s="121">
        <v>200</v>
      </c>
      <c r="J20" s="150">
        <f t="shared" si="19"/>
        <v>224.453125</v>
      </c>
      <c r="K20" s="150">
        <f t="shared" si="1"/>
        <v>24.453125</v>
      </c>
      <c r="L20" s="159">
        <v>690</v>
      </c>
      <c r="M20" s="155"/>
      <c r="N20" s="121">
        <v>16</v>
      </c>
      <c r="O20" s="122">
        <f>'【国内】常规用户招募-数据源 （正职）'!M20*1.3</f>
        <v>0.13</v>
      </c>
      <c r="P20" s="122">
        <f>'【国内】常规用户招募-数据源 （正职）'!O20*0.6</f>
        <v>0.96</v>
      </c>
      <c r="Q20" s="122">
        <f t="shared" si="8"/>
        <v>1.67633333333333</v>
      </c>
      <c r="R20" s="122">
        <f>'【国内】常规用户招募-数据源 （正职）'!P20*0.98</f>
        <v>2.058</v>
      </c>
      <c r="S20" s="122">
        <f t="shared" si="9"/>
        <v>416.25</v>
      </c>
      <c r="T20" s="122">
        <f>'【国内】常规用户招募-数据源 （正职）'!Q20</f>
        <v>416.25</v>
      </c>
      <c r="U20" s="122">
        <f t="shared" si="20"/>
        <v>0</v>
      </c>
      <c r="V20" s="121">
        <v>250</v>
      </c>
      <c r="W20" s="150">
        <f t="shared" si="10"/>
        <v>276.015625</v>
      </c>
      <c r="X20" s="159">
        <v>690</v>
      </c>
      <c r="Y20" s="155"/>
      <c r="Z20" s="175">
        <v>16</v>
      </c>
      <c r="AA20" s="122">
        <f>'【国内】常规用户招募-数据源 （正职）'!W20*1.3</f>
        <v>0.26</v>
      </c>
      <c r="AB20" s="122">
        <f>'【国内】常规用户招募-数据源 （正职）'!Y20*0.6</f>
        <v>1.26</v>
      </c>
      <c r="AC20" s="122">
        <f t="shared" si="2"/>
        <v>1.96</v>
      </c>
      <c r="AD20" s="122">
        <f>'【国内】常规用户招募-数据源 （正职）'!Z20*1.2</f>
        <v>3</v>
      </c>
      <c r="AE20" s="122">
        <f t="shared" si="11"/>
        <v>566.875</v>
      </c>
      <c r="AF20" s="122">
        <f>'【国内】常规用户招募-数据源 （正职）'!AA20</f>
        <v>566.875</v>
      </c>
      <c r="AG20" s="122">
        <f t="shared" si="12"/>
        <v>0</v>
      </c>
      <c r="AH20" s="121">
        <v>250</v>
      </c>
      <c r="AI20" s="150">
        <f t="shared" si="21"/>
        <v>285.4296875</v>
      </c>
      <c r="AJ20" s="150">
        <v>700</v>
      </c>
      <c r="AK20" s="155"/>
      <c r="AL20" s="175">
        <v>16</v>
      </c>
      <c r="AM20" s="122">
        <f>'【国内】常规用户招募-数据源 （正职）'!AG20*1.3</f>
        <v>0.26</v>
      </c>
      <c r="AN20" s="122">
        <f>'【国内】常规用户招募-数据源 （正职）'!AI20*0.6</f>
        <v>1.44</v>
      </c>
      <c r="AO20" s="122">
        <f t="shared" si="3"/>
        <v>2.369</v>
      </c>
      <c r="AP20" s="122">
        <f>'【国内】常规用户招募-数据源 （正职）'!AJ20*1.08</f>
        <v>3.024</v>
      </c>
      <c r="AQ20" s="122">
        <f t="shared" si="13"/>
        <v>636.25</v>
      </c>
      <c r="AR20" s="122">
        <f>'【国内】常规用户招募-数据源 （正职）'!AK20</f>
        <v>636.25</v>
      </c>
      <c r="AS20" s="122">
        <f t="shared" si="14"/>
        <v>0</v>
      </c>
      <c r="AT20" s="121">
        <v>250</v>
      </c>
      <c r="AU20" s="150">
        <f t="shared" si="22"/>
        <v>239.765625</v>
      </c>
      <c r="AV20" s="150">
        <v>720</v>
      </c>
      <c r="AW20" s="155"/>
      <c r="AX20" s="121">
        <v>16</v>
      </c>
      <c r="AY20" s="122">
        <f>'【国内】常规用户招募-数据源 （正职）'!AQ20*1.3</f>
        <v>0.26</v>
      </c>
      <c r="AZ20" s="122">
        <f>'【国内】常规用户招募-数据源 （正职）'!AS20*0.6</f>
        <v>1.575</v>
      </c>
      <c r="BA20" s="122">
        <f t="shared" si="4"/>
        <v>2.61</v>
      </c>
      <c r="BB20" s="122">
        <f>'【国内】常规用户招募-数据源 （正职）'!AT20*1.1</f>
        <v>3.08</v>
      </c>
      <c r="BC20" s="122">
        <f t="shared" si="15"/>
        <v>684.0625</v>
      </c>
      <c r="BD20" s="122">
        <f>'【国内】常规用户招募-数据源 （正职）'!AU20</f>
        <v>684.0625</v>
      </c>
      <c r="BE20" s="122">
        <f t="shared" si="16"/>
        <v>0</v>
      </c>
      <c r="BF20" s="121">
        <v>250</v>
      </c>
      <c r="BG20" s="150">
        <f t="shared" si="17"/>
        <v>242.75390625</v>
      </c>
      <c r="BH20" s="122">
        <f t="shared" si="18"/>
        <v>-7.24609375</v>
      </c>
    </row>
    <row r="21" spans="1:60">
      <c r="A21" s="121">
        <v>17</v>
      </c>
      <c r="B21" s="122">
        <f>'【国内】常规用户招募-数据源 （正职）'!B21*1.3</f>
        <v>0.13</v>
      </c>
      <c r="C21" s="122">
        <f>'【国内】常规用户招募-数据源 （正职）'!D21*0.6</f>
        <v>0.96</v>
      </c>
      <c r="D21" s="122">
        <f t="shared" si="5"/>
        <v>1.66583333333333</v>
      </c>
      <c r="E21" s="122">
        <f>'【国内】常规用户招募-数据源 （正职）'!E21</f>
        <v>2</v>
      </c>
      <c r="F21" s="122">
        <f t="shared" si="6"/>
        <v>390</v>
      </c>
      <c r="G21" s="122">
        <f>'【国内】常规用户招募-数据源 （正职）'!F21</f>
        <v>390</v>
      </c>
      <c r="H21" s="122">
        <f t="shared" si="7"/>
        <v>0</v>
      </c>
      <c r="I21" s="121">
        <v>200</v>
      </c>
      <c r="J21" s="150">
        <f t="shared" si="19"/>
        <v>222.941176470588</v>
      </c>
      <c r="K21" s="150">
        <f t="shared" si="1"/>
        <v>22.9411764705882</v>
      </c>
      <c r="L21" s="159">
        <v>690</v>
      </c>
      <c r="M21" s="155"/>
      <c r="N21" s="121">
        <v>17</v>
      </c>
      <c r="O21" s="122">
        <f>'【国内】常规用户招募-数据源 （正职）'!M21*1.3</f>
        <v>0.13</v>
      </c>
      <c r="P21" s="122">
        <f>'【国内】常规用户招募-数据源 （正职）'!O21*0.6</f>
        <v>1.02</v>
      </c>
      <c r="Q21" s="122">
        <f t="shared" si="8"/>
        <v>1.79066666666667</v>
      </c>
      <c r="R21" s="122">
        <f>'【国内】常规用户招募-数据源 （正职）'!P21*0.98</f>
        <v>2.254</v>
      </c>
      <c r="S21" s="122">
        <f t="shared" si="9"/>
        <v>415.294117647059</v>
      </c>
      <c r="T21" s="122">
        <f>'【国内】常规用户招募-数据源 （正职）'!Q21</f>
        <v>415.294117647059</v>
      </c>
      <c r="U21" s="122">
        <f t="shared" si="20"/>
        <v>0</v>
      </c>
      <c r="V21" s="121">
        <v>250</v>
      </c>
      <c r="W21" s="150">
        <f t="shared" si="10"/>
        <v>274.429065743945</v>
      </c>
      <c r="X21" s="159">
        <v>690</v>
      </c>
      <c r="Y21" s="155"/>
      <c r="Z21" s="121">
        <v>17</v>
      </c>
      <c r="AA21" s="122">
        <f>'【国内】常规用户招募-数据源 （正职）'!W21*1.3</f>
        <v>0.26</v>
      </c>
      <c r="AB21" s="122">
        <f>'【国内】常规用户招募-数据源 （正职）'!Y21*0.6</f>
        <v>1.32</v>
      </c>
      <c r="AC21" s="122">
        <f t="shared" si="2"/>
        <v>2.07333333333333</v>
      </c>
      <c r="AD21" s="122">
        <f>'【国内】常规用户招募-数据源 （正职）'!Z21*1.2</f>
        <v>3</v>
      </c>
      <c r="AE21" s="122">
        <f t="shared" si="11"/>
        <v>553.529411764706</v>
      </c>
      <c r="AF21" s="122">
        <f>'【国内】常规用户招募-数据源 （正职）'!AA21</f>
        <v>553.529411764706</v>
      </c>
      <c r="AG21" s="122">
        <f t="shared" si="12"/>
        <v>0</v>
      </c>
      <c r="AH21" s="121">
        <v>250</v>
      </c>
      <c r="AI21" s="150">
        <f t="shared" si="21"/>
        <v>282.560553633218</v>
      </c>
      <c r="AJ21" s="150">
        <v>700</v>
      </c>
      <c r="AK21" s="155"/>
      <c r="AL21" s="121">
        <v>17</v>
      </c>
      <c r="AM21" s="122">
        <f>'【国内】常规用户招募-数据源 （正职）'!AG21*1.3</f>
        <v>0.26</v>
      </c>
      <c r="AN21" s="122">
        <f>'【国内】常规用户招募-数据源 （正职）'!AI21*0.6</f>
        <v>1.5</v>
      </c>
      <c r="AO21" s="122">
        <f t="shared" si="3"/>
        <v>2.48233333333333</v>
      </c>
      <c r="AP21" s="122">
        <f>'【国内】常规用户招募-数据源 （正职）'!AJ21*1.08</f>
        <v>3.024</v>
      </c>
      <c r="AQ21" s="122">
        <f t="shared" si="13"/>
        <v>618.823529411765</v>
      </c>
      <c r="AR21" s="122">
        <f>'【国内】常规用户招募-数据源 （正职）'!AK21</f>
        <v>618.823529411765</v>
      </c>
      <c r="AS21" s="122">
        <f t="shared" si="14"/>
        <v>0</v>
      </c>
      <c r="AT21" s="121">
        <v>250</v>
      </c>
      <c r="AU21" s="150">
        <f t="shared" si="22"/>
        <v>236.401384083045</v>
      </c>
      <c r="AV21" s="150">
        <v>720</v>
      </c>
      <c r="AW21" s="155"/>
      <c r="AX21" s="121">
        <v>17</v>
      </c>
      <c r="AY21" s="122">
        <f>'【国内】常规用户招募-数据源 （正职）'!AQ21*1.3</f>
        <v>0.26</v>
      </c>
      <c r="AZ21" s="122">
        <f>'【国内】常规用户招募-数据源 （正职）'!AS21*0.6</f>
        <v>1.65</v>
      </c>
      <c r="BA21" s="122">
        <f t="shared" si="4"/>
        <v>2.75166666666667</v>
      </c>
      <c r="BB21" s="122">
        <f>'【国内】常规用户招募-数据源 （正职）'!AT21*1.1</f>
        <v>3.08</v>
      </c>
      <c r="BC21" s="122">
        <f t="shared" si="15"/>
        <v>668.823529411765</v>
      </c>
      <c r="BD21" s="122">
        <f>'【国内】常规用户招募-数据源 （正职）'!AU21</f>
        <v>668.823529411765</v>
      </c>
      <c r="BE21" s="122">
        <f t="shared" si="16"/>
        <v>0</v>
      </c>
      <c r="BF21" s="121">
        <v>250</v>
      </c>
      <c r="BG21" s="150">
        <f t="shared" si="17"/>
        <v>239.342560553633</v>
      </c>
      <c r="BH21" s="122">
        <f t="shared" si="18"/>
        <v>-10.6574394463668</v>
      </c>
    </row>
    <row r="22" spans="1:60">
      <c r="A22" s="121">
        <v>18</v>
      </c>
      <c r="B22" s="122">
        <f>'【国内】常规用户招募-数据源 （正职）'!B22*1.3</f>
        <v>0.13</v>
      </c>
      <c r="C22" s="122">
        <f>'【国内】常规用户招募-数据源 （正职）'!D22*0.6</f>
        <v>1.08</v>
      </c>
      <c r="D22" s="122">
        <f t="shared" si="5"/>
        <v>1.8925</v>
      </c>
      <c r="E22" s="122">
        <f>'【国内】常规用户招募-数据源 （正职）'!E22</f>
        <v>2</v>
      </c>
      <c r="F22" s="122">
        <f t="shared" si="6"/>
        <v>406.111111111111</v>
      </c>
      <c r="G22" s="122">
        <f>'【国内】常规用户招募-数据源 （正职）'!F22</f>
        <v>406.111111111111</v>
      </c>
      <c r="H22" s="122">
        <f t="shared" si="7"/>
        <v>0</v>
      </c>
      <c r="I22" s="121">
        <v>200</v>
      </c>
      <c r="J22" s="150">
        <f t="shared" si="19"/>
        <v>222.561728395062</v>
      </c>
      <c r="K22" s="150">
        <f t="shared" si="1"/>
        <v>22.5617283950617</v>
      </c>
      <c r="L22" s="159">
        <v>690</v>
      </c>
      <c r="M22" s="155"/>
      <c r="N22" s="121">
        <v>18</v>
      </c>
      <c r="O22" s="122">
        <f>'【国内】常规用户招募-数据源 （正职）'!M22*1.3</f>
        <v>0.13</v>
      </c>
      <c r="P22" s="122">
        <f>'【国内】常规用户招募-数据源 （正职）'!O22*0.6</f>
        <v>1.14</v>
      </c>
      <c r="Q22" s="122">
        <f t="shared" si="8"/>
        <v>2.01733333333333</v>
      </c>
      <c r="R22" s="122">
        <f>'【国内】常规用户招募-数据源 （正职）'!P22*0.98</f>
        <v>2.254</v>
      </c>
      <c r="S22" s="122">
        <f t="shared" si="9"/>
        <v>430</v>
      </c>
      <c r="T22" s="122">
        <f>'【国内】常规用户招募-数据源 （正职）'!Q22</f>
        <v>430</v>
      </c>
      <c r="U22" s="122">
        <f t="shared" si="20"/>
        <v>0</v>
      </c>
      <c r="V22" s="121">
        <v>250</v>
      </c>
      <c r="W22" s="150">
        <f t="shared" si="10"/>
        <v>273.888888888889</v>
      </c>
      <c r="X22" s="159">
        <v>690</v>
      </c>
      <c r="Y22" s="155"/>
      <c r="Z22" s="121">
        <v>18</v>
      </c>
      <c r="AA22" s="122">
        <f>'【国内】常规用户招募-数据源 （正职）'!W22*1.3</f>
        <v>0.26</v>
      </c>
      <c r="AB22" s="122">
        <f>'【国内】常规用户招募-数据源 （正职）'!Y22*0.6</f>
        <v>1.38</v>
      </c>
      <c r="AC22" s="122">
        <f t="shared" si="2"/>
        <v>2.18666666666667</v>
      </c>
      <c r="AD22" s="122">
        <f>'【国内】常规用户招募-数据源 （正职）'!Z22*1.2</f>
        <v>3</v>
      </c>
      <c r="AE22" s="122">
        <f t="shared" si="11"/>
        <v>541.666666666667</v>
      </c>
      <c r="AF22" s="122">
        <f>'【国内】常规用户招募-数据源 （正职）'!AA22</f>
        <v>541.666666666667</v>
      </c>
      <c r="AG22" s="122">
        <f t="shared" si="12"/>
        <v>0</v>
      </c>
      <c r="AH22" s="121">
        <v>250</v>
      </c>
      <c r="AI22" s="150">
        <f t="shared" si="21"/>
        <v>280.092592592593</v>
      </c>
      <c r="AJ22" s="150">
        <v>700</v>
      </c>
      <c r="AK22" s="155"/>
      <c r="AL22" s="121">
        <v>18</v>
      </c>
      <c r="AM22" s="122">
        <f>'【国内】常规用户招募-数据源 （正职）'!AG22*1.3</f>
        <v>0.26</v>
      </c>
      <c r="AN22" s="122">
        <f>'【国内】常规用户招募-数据源 （正职）'!AI22*0.6</f>
        <v>1.62</v>
      </c>
      <c r="AO22" s="122">
        <f t="shared" si="3"/>
        <v>2.705</v>
      </c>
      <c r="AP22" s="122">
        <f>'【国内】常规用户招募-数据源 （正职）'!AJ22*1.08</f>
        <v>3.24</v>
      </c>
      <c r="AQ22" s="122">
        <f t="shared" si="13"/>
        <v>625.555555555556</v>
      </c>
      <c r="AR22" s="122">
        <f>'【国内】常规用户招募-数据源 （正职）'!AK22</f>
        <v>625.555555555556</v>
      </c>
      <c r="AS22" s="122">
        <f t="shared" si="14"/>
        <v>0</v>
      </c>
      <c r="AT22" s="121">
        <v>250</v>
      </c>
      <c r="AU22" s="150">
        <f t="shared" si="22"/>
        <v>234.753086419753</v>
      </c>
      <c r="AV22" s="150">
        <v>720</v>
      </c>
      <c r="AW22" s="155"/>
      <c r="AX22" s="121">
        <v>18</v>
      </c>
      <c r="AY22" s="122">
        <f>'【国内】常规用户招募-数据源 （正职）'!AQ22*1.3</f>
        <v>0.26</v>
      </c>
      <c r="AZ22" s="122">
        <f>'【国内】常规用户招募-数据源 （正职）'!AS22*0.6</f>
        <v>1.725</v>
      </c>
      <c r="BA22" s="122">
        <f t="shared" si="4"/>
        <v>2.89333333333333</v>
      </c>
      <c r="BB22" s="122">
        <f>'【国内】常规用户招募-数据源 （正职）'!AT22*1.1</f>
        <v>3.08</v>
      </c>
      <c r="BC22" s="122">
        <f t="shared" si="15"/>
        <v>655.277777777778</v>
      </c>
      <c r="BD22" s="122">
        <f>'【国内】常规用户招募-数据源 （正职）'!AU22</f>
        <v>655.277777777778</v>
      </c>
      <c r="BE22" s="122">
        <f t="shared" si="16"/>
        <v>0</v>
      </c>
      <c r="BF22" s="121">
        <v>250</v>
      </c>
      <c r="BG22" s="150">
        <f t="shared" si="17"/>
        <v>236.404320987654</v>
      </c>
      <c r="BH22" s="122">
        <f t="shared" si="18"/>
        <v>-13.5956790123457</v>
      </c>
    </row>
    <row r="23" spans="1:60">
      <c r="A23" s="121">
        <v>19</v>
      </c>
      <c r="B23" s="122">
        <f>'【国内】常规用户招募-数据源 （正职）'!B23*1.3</f>
        <v>0.13</v>
      </c>
      <c r="C23" s="122">
        <f>'【国内】常规用户招募-数据源 （正职）'!D23*0.6</f>
        <v>1.14</v>
      </c>
      <c r="D23" s="122">
        <f t="shared" si="5"/>
        <v>2.00583333333333</v>
      </c>
      <c r="E23" s="122">
        <f>'【国内】常规用户招募-数据源 （正职）'!E23</f>
        <v>2.2</v>
      </c>
      <c r="F23" s="122">
        <f t="shared" si="6"/>
        <v>405.789473684211</v>
      </c>
      <c r="G23" s="122">
        <f>'【国内】常规用户招募-数据源 （正职）'!F23</f>
        <v>405.789473684211</v>
      </c>
      <c r="H23" s="122">
        <f t="shared" si="7"/>
        <v>0</v>
      </c>
      <c r="I23" s="121">
        <v>200</v>
      </c>
      <c r="J23" s="150">
        <f t="shared" si="19"/>
        <v>221.357340720222</v>
      </c>
      <c r="K23" s="150">
        <f t="shared" si="1"/>
        <v>21.3573407202216</v>
      </c>
      <c r="L23" s="159">
        <v>690</v>
      </c>
      <c r="M23" s="155"/>
      <c r="N23" s="121">
        <v>19</v>
      </c>
      <c r="O23" s="122">
        <f>'【国内】常规用户招募-数据源 （正职）'!M23*1.3</f>
        <v>0.13</v>
      </c>
      <c r="P23" s="122">
        <f>'【国内】常规用户招募-数据源 （正职）'!O23*0.6</f>
        <v>1.2</v>
      </c>
      <c r="Q23" s="122">
        <f t="shared" si="8"/>
        <v>2.13166666666667</v>
      </c>
      <c r="R23" s="122">
        <f>'【国内】常规用户招募-数据源 （正职）'!P23*0.98</f>
        <v>2.45</v>
      </c>
      <c r="S23" s="122">
        <f t="shared" si="9"/>
        <v>428.421052631579</v>
      </c>
      <c r="T23" s="122">
        <f>'【国内】常规用户招募-数据源 （正职）'!Q23</f>
        <v>428.421052631579</v>
      </c>
      <c r="U23" s="122">
        <f t="shared" si="20"/>
        <v>0</v>
      </c>
      <c r="V23" s="121">
        <v>250</v>
      </c>
      <c r="W23" s="150">
        <f t="shared" si="10"/>
        <v>272.548476454294</v>
      </c>
      <c r="X23" s="159">
        <v>690</v>
      </c>
      <c r="Y23" s="155"/>
      <c r="Z23" s="121">
        <v>19</v>
      </c>
      <c r="AA23" s="122">
        <f>'【国内】常规用户招募-数据源 （正职）'!W23*1.3</f>
        <v>0.26</v>
      </c>
      <c r="AB23" s="122">
        <f>'【国内】常规用户招募-数据源 （正职）'!Y23*0.6</f>
        <v>1.5</v>
      </c>
      <c r="AC23" s="122">
        <f t="shared" si="2"/>
        <v>2.40333333333333</v>
      </c>
      <c r="AD23" s="122">
        <f>'【国内】常规用户招募-数据源 （正职）'!Z23*1.2</f>
        <v>3.24</v>
      </c>
      <c r="AE23" s="122">
        <f t="shared" si="11"/>
        <v>552.105263157895</v>
      </c>
      <c r="AF23" s="122">
        <f>'【国内】常规用户招募-数据源 （正职）'!AA23</f>
        <v>552.105263157895</v>
      </c>
      <c r="AG23" s="122">
        <f t="shared" si="12"/>
        <v>0</v>
      </c>
      <c r="AH23" s="121">
        <v>250</v>
      </c>
      <c r="AI23" s="150">
        <f t="shared" si="21"/>
        <v>279.058171745152</v>
      </c>
      <c r="AJ23" s="150">
        <v>700</v>
      </c>
      <c r="AK23" s="155"/>
      <c r="AL23" s="121">
        <v>19</v>
      </c>
      <c r="AM23" s="122">
        <f>'【国内】常规用户招募-数据源 （正职）'!AG23*1.3</f>
        <v>0.26</v>
      </c>
      <c r="AN23" s="122">
        <f>'【国内】常规用户招募-数据源 （正职）'!AI23*0.6</f>
        <v>1.68</v>
      </c>
      <c r="AO23" s="122">
        <f t="shared" si="3"/>
        <v>2.81833333333333</v>
      </c>
      <c r="AP23" s="122">
        <f>'【国内】常规用户招募-数据源 （正职）'!AJ23*1.08</f>
        <v>3.24</v>
      </c>
      <c r="AQ23" s="122">
        <f t="shared" si="13"/>
        <v>610.526315789474</v>
      </c>
      <c r="AR23" s="122">
        <f>'【国内】常规用户招募-数据源 （正职）'!AK23</f>
        <v>610.526315789474</v>
      </c>
      <c r="AS23" s="122">
        <f t="shared" si="14"/>
        <v>0</v>
      </c>
      <c r="AT23" s="121">
        <v>250</v>
      </c>
      <c r="AU23" s="150">
        <f t="shared" si="22"/>
        <v>232.13296398892</v>
      </c>
      <c r="AV23" s="150">
        <v>720</v>
      </c>
      <c r="AW23" s="155"/>
      <c r="AX23" s="121">
        <v>19</v>
      </c>
      <c r="AY23" s="122">
        <f>'【国内】常规用户招募-数据源 （正职）'!AQ23*1.3</f>
        <v>0.26</v>
      </c>
      <c r="AZ23" s="122">
        <f>'【国内】常规用户招募-数据源 （正职）'!AS23*0.6</f>
        <v>1.875</v>
      </c>
      <c r="BA23" s="122">
        <f t="shared" si="4"/>
        <v>3.17166666666667</v>
      </c>
      <c r="BB23" s="122">
        <f>'【国内】常规用户招募-数据源 （正职）'!AT23*1.1</f>
        <v>3.3</v>
      </c>
      <c r="BC23" s="122">
        <f t="shared" si="15"/>
        <v>668.684210526316</v>
      </c>
      <c r="BD23" s="122">
        <f>'【国内】常规用户招募-数据源 （正职）'!AU23</f>
        <v>668.684210526316</v>
      </c>
      <c r="BE23" s="122">
        <f t="shared" si="16"/>
        <v>0</v>
      </c>
      <c r="BF23" s="121">
        <v>250</v>
      </c>
      <c r="BG23" s="150">
        <f t="shared" si="17"/>
        <v>235.193905817175</v>
      </c>
      <c r="BH23" s="122">
        <f t="shared" si="18"/>
        <v>-14.8060941828255</v>
      </c>
    </row>
    <row r="24" s="149" customFormat="1" spans="1:60">
      <c r="A24" s="167">
        <v>20</v>
      </c>
      <c r="B24" s="122">
        <f>'【国内】常规用户招募-数据源 （正职）'!B24*1.3</f>
        <v>0.13</v>
      </c>
      <c r="C24" s="122">
        <f>'【国内】常规用户招募-数据源 （正职）'!D24*0.6</f>
        <v>1.2</v>
      </c>
      <c r="D24" s="122">
        <f t="shared" si="5"/>
        <v>2.11916666666667</v>
      </c>
      <c r="E24" s="122">
        <f>'【国内】常规用户招募-数据源 （正职）'!E24</f>
        <v>2.2</v>
      </c>
      <c r="F24" s="122">
        <f t="shared" si="6"/>
        <v>402.5</v>
      </c>
      <c r="G24" s="122">
        <f>'【国内】常规用户招募-数据源 （正职）'!F24</f>
        <v>402.5</v>
      </c>
      <c r="H24" s="122">
        <f t="shared" si="7"/>
        <v>0</v>
      </c>
      <c r="I24" s="167">
        <v>200</v>
      </c>
      <c r="J24" s="169">
        <f t="shared" si="19"/>
        <v>220.125</v>
      </c>
      <c r="K24" s="150">
        <f t="shared" si="1"/>
        <v>20.125</v>
      </c>
      <c r="L24" s="170">
        <v>690</v>
      </c>
      <c r="M24" s="171"/>
      <c r="N24" s="167">
        <v>20</v>
      </c>
      <c r="O24" s="122">
        <f>'【国内】常规用户招募-数据源 （正职）'!M24*1.3</f>
        <v>0.26</v>
      </c>
      <c r="P24" s="122">
        <f>'【国内】常规用户招募-数据源 （正职）'!O24*0.6</f>
        <v>1.26</v>
      </c>
      <c r="Q24" s="122">
        <f t="shared" si="8"/>
        <v>2.0975</v>
      </c>
      <c r="R24" s="122">
        <f>'【国内】常规用户招募-数据源 （正职）'!P24*0.98</f>
        <v>2.45</v>
      </c>
      <c r="S24" s="122">
        <f t="shared" si="9"/>
        <v>453.5</v>
      </c>
      <c r="T24" s="122">
        <f>'【国内】常规用户招募-数据源 （正职）'!Q24</f>
        <v>453.5</v>
      </c>
      <c r="U24" s="122">
        <f t="shared" si="20"/>
        <v>0</v>
      </c>
      <c r="V24" s="167">
        <v>250</v>
      </c>
      <c r="W24" s="150">
        <f t="shared" si="10"/>
        <v>272.675</v>
      </c>
      <c r="X24" s="170">
        <v>690</v>
      </c>
      <c r="Y24" s="171"/>
      <c r="Z24" s="167">
        <v>20</v>
      </c>
      <c r="AA24" s="122">
        <f>'【国内】常规用户招募-数据源 （正职）'!W24*1.3</f>
        <v>0.26</v>
      </c>
      <c r="AB24" s="122">
        <f>'【国内】常规用户招募-数据源 （正职）'!Y24*0.6</f>
        <v>1.56</v>
      </c>
      <c r="AC24" s="122">
        <f t="shared" si="2"/>
        <v>2.50166666666667</v>
      </c>
      <c r="AD24" s="122">
        <f>'【国内】常规用户招募-数据源 （正职）'!Z24*1.2</f>
        <v>3.6</v>
      </c>
      <c r="AE24" s="122">
        <f t="shared" si="11"/>
        <v>546</v>
      </c>
      <c r="AF24" s="122">
        <f>'【国内】常规用户招募-数据源 （正职）'!AA24</f>
        <v>546</v>
      </c>
      <c r="AG24" s="122">
        <f t="shared" si="12"/>
        <v>0</v>
      </c>
      <c r="AH24" s="167">
        <v>250</v>
      </c>
      <c r="AI24" s="169">
        <f t="shared" si="21"/>
        <v>277.3</v>
      </c>
      <c r="AJ24" s="169">
        <v>700</v>
      </c>
      <c r="AK24" s="171"/>
      <c r="AL24" s="167">
        <v>20</v>
      </c>
      <c r="AM24" s="122">
        <f>'【国内】常规用户招募-数据源 （正职）'!AG24*1.3</f>
        <v>0.39</v>
      </c>
      <c r="AN24" s="122">
        <f>'【国内】常规用户招募-数据源 （正职）'!AI24*0.6</f>
        <v>1.74</v>
      </c>
      <c r="AO24" s="122">
        <f t="shared" si="3"/>
        <v>2.77816666666667</v>
      </c>
      <c r="AP24" s="122">
        <f>'【国内】常规用户招募-数据源 （正职）'!AJ24*1.08</f>
        <v>3.564</v>
      </c>
      <c r="AQ24" s="122">
        <f t="shared" si="13"/>
        <v>631</v>
      </c>
      <c r="AR24" s="122">
        <f>'【国内】常规用户招募-数据源 （正职）'!AK24</f>
        <v>631</v>
      </c>
      <c r="AS24" s="122">
        <f t="shared" si="14"/>
        <v>0</v>
      </c>
      <c r="AT24" s="167">
        <v>250</v>
      </c>
      <c r="AU24" s="169">
        <f t="shared" si="22"/>
        <v>231.55</v>
      </c>
      <c r="AV24" s="169">
        <v>720</v>
      </c>
      <c r="AW24" s="171"/>
      <c r="AX24" s="167">
        <v>20</v>
      </c>
      <c r="AY24" s="122">
        <f>'【国内】常规用户招募-数据源 （正职）'!AQ24*1.3</f>
        <v>0.39</v>
      </c>
      <c r="AZ24" s="122">
        <f>'【国内】常规用户招募-数据源 （正职）'!AS24*0.6</f>
        <v>1.95</v>
      </c>
      <c r="BA24" s="122">
        <f t="shared" si="4"/>
        <v>3.29083333333333</v>
      </c>
      <c r="BB24" s="122">
        <v>3.3</v>
      </c>
      <c r="BC24" s="122">
        <f t="shared" si="15"/>
        <v>693.5</v>
      </c>
      <c r="BD24" s="122">
        <f>'【国内】常规用户招募-数据源 （正职）'!AU24</f>
        <v>693.5</v>
      </c>
      <c r="BE24" s="122">
        <f t="shared" si="16"/>
        <v>0</v>
      </c>
      <c r="BF24" s="167">
        <v>250</v>
      </c>
      <c r="BG24" s="169">
        <f t="shared" si="17"/>
        <v>234.675</v>
      </c>
      <c r="BH24" s="122">
        <f t="shared" si="18"/>
        <v>-15.325</v>
      </c>
    </row>
    <row r="25" spans="1:60">
      <c r="A25" s="121">
        <v>21</v>
      </c>
      <c r="B25" s="122">
        <f>'【国内】常规用户招募-数据源 （正职）'!B25*1.3</f>
        <v>0.26</v>
      </c>
      <c r="C25" s="122">
        <f>'【国内】常规用户招募-数据源 （正职）'!D25*0.6</f>
        <v>1.08</v>
      </c>
      <c r="D25" s="122">
        <f t="shared" si="5"/>
        <v>1.745</v>
      </c>
      <c r="E25" s="122">
        <f>'【国内】常规用户招募-数据源 （正职）'!E25</f>
        <v>2.4</v>
      </c>
      <c r="F25" s="122">
        <f t="shared" si="6"/>
        <v>381.904761904762</v>
      </c>
      <c r="G25" s="122">
        <f>'【国内】常规用户招募-数据源 （正职）'!F25</f>
        <v>381.904761904762</v>
      </c>
      <c r="H25" s="122">
        <f t="shared" si="7"/>
        <v>0</v>
      </c>
      <c r="I25" s="121">
        <v>200</v>
      </c>
      <c r="J25" s="150">
        <f t="shared" si="19"/>
        <v>218.185941043084</v>
      </c>
      <c r="K25" s="150">
        <f t="shared" si="1"/>
        <v>18.1859410430839</v>
      </c>
      <c r="L25" s="159">
        <v>690</v>
      </c>
      <c r="M25" s="155"/>
      <c r="N25" s="121">
        <v>21</v>
      </c>
      <c r="O25" s="122">
        <f>'【国内】常规用户招募-数据源 （正职）'!M25*1.3</f>
        <v>0.26</v>
      </c>
      <c r="P25" s="122">
        <f>'【国内】常规用户招募-数据源 （正职）'!O25*0.6</f>
        <v>1.26</v>
      </c>
      <c r="Q25" s="122">
        <f t="shared" si="8"/>
        <v>2.0985</v>
      </c>
      <c r="R25" s="122">
        <f>'【国内】常规用户招募-数据源 （正职）'!P25*0.98</f>
        <v>2.646</v>
      </c>
      <c r="S25" s="122">
        <f t="shared" si="9"/>
        <v>434.761904761905</v>
      </c>
      <c r="T25" s="122">
        <f>'【国内】常规用户招募-数据源 （正职）'!Q25</f>
        <v>434.761904761905</v>
      </c>
      <c r="U25" s="122">
        <f t="shared" si="20"/>
        <v>0</v>
      </c>
      <c r="V25" s="121">
        <v>250</v>
      </c>
      <c r="W25" s="150">
        <f t="shared" si="10"/>
        <v>270.702947845805</v>
      </c>
      <c r="X25" s="159">
        <v>690</v>
      </c>
      <c r="Y25" s="155"/>
      <c r="Z25" s="121">
        <v>21</v>
      </c>
      <c r="AA25" s="122">
        <f>'【国内】常规用户招募-数据源 （正职）'!W25*1.3</f>
        <v>0.39</v>
      </c>
      <c r="AB25" s="122">
        <f>'【国内】常规用户招募-数据源 （正职）'!Y25*0.6</f>
        <v>1.62</v>
      </c>
      <c r="AC25" s="122">
        <f t="shared" si="2"/>
        <v>2.4675</v>
      </c>
      <c r="AD25" s="122">
        <f>'【国内】常规用户招募-数据源 （正职）'!Z25*1.2</f>
        <v>3.6</v>
      </c>
      <c r="AE25" s="122">
        <f t="shared" si="11"/>
        <v>564.285714285714</v>
      </c>
      <c r="AF25" s="122">
        <f>'【国内】常规用户招募-数据源 （正职）'!AA25</f>
        <v>564.285714285714</v>
      </c>
      <c r="AG25" s="122">
        <f t="shared" si="12"/>
        <v>0</v>
      </c>
      <c r="AH25" s="121">
        <v>250</v>
      </c>
      <c r="AI25" s="150">
        <f t="shared" si="21"/>
        <v>276.87074829932</v>
      </c>
      <c r="AJ25" s="150">
        <v>700</v>
      </c>
      <c r="AK25" s="155"/>
      <c r="AL25" s="121">
        <v>21</v>
      </c>
      <c r="AM25" s="122">
        <f>'【国内】常规用户招募-数据源 （正职）'!AG25*1.3</f>
        <v>0.39</v>
      </c>
      <c r="AN25" s="122">
        <f>'【国内】常规用户招募-数据源 （正职）'!AI25*0.6</f>
        <v>1.86</v>
      </c>
      <c r="AO25" s="122">
        <f t="shared" si="3"/>
        <v>3.00483333333333</v>
      </c>
      <c r="AP25" s="122">
        <f>'【国内】常规用户招募-数据源 （正职）'!AJ25*1.08</f>
        <v>3.564</v>
      </c>
      <c r="AQ25" s="122">
        <f t="shared" si="13"/>
        <v>633.333333333333</v>
      </c>
      <c r="AR25" s="122">
        <f>'【国内】常规用户招募-数据源 （正职）'!AK25</f>
        <v>633.333333333333</v>
      </c>
      <c r="AS25" s="122">
        <f t="shared" si="14"/>
        <v>0</v>
      </c>
      <c r="AT25" s="121">
        <v>250</v>
      </c>
      <c r="AU25" s="150">
        <f t="shared" si="22"/>
        <v>230.15873015873</v>
      </c>
      <c r="AV25" s="150">
        <v>720</v>
      </c>
      <c r="AW25" s="155"/>
      <c r="AX25" s="121">
        <v>21</v>
      </c>
      <c r="AY25" s="122">
        <f>'【国内】常规用户招募-数据源 （正职）'!AQ25*1.3</f>
        <v>0.39</v>
      </c>
      <c r="AZ25" s="122">
        <f>'【国内】常规用户招募-数据源 （正职）'!AS25*0.6</f>
        <v>2.1</v>
      </c>
      <c r="BA25" s="122">
        <f t="shared" si="4"/>
        <v>3.43666666666667</v>
      </c>
      <c r="BB25" s="122">
        <f>'【国内】常规用户招募-数据源 （正职）'!AT25*1.1</f>
        <v>3.85</v>
      </c>
      <c r="BC25" s="122">
        <f t="shared" si="15"/>
        <v>700.952380952381</v>
      </c>
      <c r="BD25" s="122">
        <f>'【国内】常规用户招募-数据源 （正职）'!AU25</f>
        <v>700.952380952381</v>
      </c>
      <c r="BE25" s="122">
        <f t="shared" si="16"/>
        <v>0</v>
      </c>
      <c r="BF25" s="121">
        <v>250</v>
      </c>
      <c r="BG25" s="150">
        <f t="shared" si="17"/>
        <v>233.378684807256</v>
      </c>
      <c r="BH25" s="122">
        <f t="shared" si="18"/>
        <v>-16.6213151927438</v>
      </c>
    </row>
    <row r="26" spans="1:60">
      <c r="A26" s="121">
        <v>22</v>
      </c>
      <c r="B26" s="122">
        <f>'【国内】常规用户招募-数据源 （正职）'!B26*1.3</f>
        <v>0.26</v>
      </c>
      <c r="C26" s="122">
        <f>'【国内】常规用户招募-数据源 （正职）'!D26*0.6</f>
        <v>1.2</v>
      </c>
      <c r="D26" s="122">
        <f t="shared" si="5"/>
        <v>1.97166666666667</v>
      </c>
      <c r="E26" s="122">
        <f>'【国内】常规用户招募-数据源 （正职）'!E26</f>
        <v>2.4</v>
      </c>
      <c r="F26" s="122">
        <f t="shared" si="6"/>
        <v>395.454545454545</v>
      </c>
      <c r="G26" s="122">
        <f>'【国内】常规用户招募-数据源 （正职）'!F26</f>
        <v>395.454545454545</v>
      </c>
      <c r="H26" s="122">
        <f t="shared" si="7"/>
        <v>0</v>
      </c>
      <c r="I26" s="121">
        <v>200</v>
      </c>
      <c r="J26" s="150">
        <f t="shared" si="19"/>
        <v>217.97520661157</v>
      </c>
      <c r="K26" s="150">
        <f t="shared" si="1"/>
        <v>17.9752066115702</v>
      </c>
      <c r="L26" s="159">
        <v>690</v>
      </c>
      <c r="M26" s="155"/>
      <c r="N26" s="121">
        <v>22</v>
      </c>
      <c r="O26" s="122">
        <f>'【国内】常规用户招募-数据源 （正职）'!M26*1.3</f>
        <v>0.26</v>
      </c>
      <c r="P26" s="122">
        <f>'【国内】常规用户招募-数据源 （正职）'!O26*0.6</f>
        <v>1.26</v>
      </c>
      <c r="Q26" s="122">
        <f t="shared" si="8"/>
        <v>2.0985</v>
      </c>
      <c r="R26" s="122">
        <f>'【国内】常规用户招募-数据源 （正职）'!P26*0.98</f>
        <v>2.646</v>
      </c>
      <c r="S26" s="122">
        <f t="shared" si="9"/>
        <v>415</v>
      </c>
      <c r="T26" s="122">
        <f>'【国内】常规用户招募-数据源 （正职）'!Q26</f>
        <v>415</v>
      </c>
      <c r="U26" s="122">
        <f t="shared" si="20"/>
        <v>0</v>
      </c>
      <c r="V26" s="121">
        <v>250</v>
      </c>
      <c r="W26" s="150">
        <f t="shared" si="10"/>
        <v>268.863636363636</v>
      </c>
      <c r="X26" s="159">
        <v>690</v>
      </c>
      <c r="Y26" s="155"/>
      <c r="Z26" s="121">
        <v>22</v>
      </c>
      <c r="AA26" s="122">
        <f>'【国内】常规用户招募-数据源 （正职）'!W26*1.3</f>
        <v>0.39</v>
      </c>
      <c r="AB26" s="122">
        <f>'【国内】常规用户招募-数据源 （正职）'!Y26*0.6</f>
        <v>1.8</v>
      </c>
      <c r="AC26" s="122">
        <f t="shared" si="2"/>
        <v>2.8025</v>
      </c>
      <c r="AD26" s="122">
        <f>'【国内】常规用户招募-数据源 （正职）'!Z26*1.2</f>
        <v>3.72</v>
      </c>
      <c r="AE26" s="122">
        <f t="shared" si="11"/>
        <v>586.363636363636</v>
      </c>
      <c r="AF26" s="122">
        <f>'【国内】常规用户招募-数据源 （正职）'!AA26</f>
        <v>586.363636363636</v>
      </c>
      <c r="AG26" s="122">
        <f t="shared" si="12"/>
        <v>0</v>
      </c>
      <c r="AH26" s="121">
        <v>250</v>
      </c>
      <c r="AI26" s="150">
        <f t="shared" si="21"/>
        <v>276.652892561983</v>
      </c>
      <c r="AJ26" s="150">
        <v>700</v>
      </c>
      <c r="AK26" s="155"/>
      <c r="AL26" s="121">
        <v>22</v>
      </c>
      <c r="AM26" s="122">
        <f>'【国内】常规用户招募-数据源 （正职）'!AG26*1.3</f>
        <v>0.39</v>
      </c>
      <c r="AN26" s="122">
        <f>'【国内】常规用户招募-数据源 （正职）'!AI26*0.6</f>
        <v>1.98</v>
      </c>
      <c r="AO26" s="122">
        <f t="shared" si="3"/>
        <v>3.2315</v>
      </c>
      <c r="AP26" s="122">
        <f>'【国内】常规用户招募-数据源 （正职）'!AJ26*1.08</f>
        <v>3.564</v>
      </c>
      <c r="AQ26" s="122">
        <f t="shared" si="13"/>
        <v>635.454545454545</v>
      </c>
      <c r="AR26" s="122">
        <f>'【国内】常规用户招募-数据源 （正职）'!AK26</f>
        <v>635.454545454545</v>
      </c>
      <c r="AS26" s="122">
        <f t="shared" si="14"/>
        <v>0</v>
      </c>
      <c r="AT26" s="121">
        <v>250</v>
      </c>
      <c r="AU26" s="150">
        <f t="shared" si="22"/>
        <v>228.884297520661</v>
      </c>
      <c r="AV26" s="150">
        <v>720</v>
      </c>
      <c r="AW26" s="155"/>
      <c r="AX26" s="121">
        <v>22</v>
      </c>
      <c r="AY26" s="122">
        <f>'【国内】常规用户招募-数据源 （正职）'!AQ26*1.3</f>
        <v>0.39</v>
      </c>
      <c r="AZ26" s="122">
        <f>'【国内】常规用户招募-数据源 （正职）'!AS26*0.6</f>
        <v>2.25</v>
      </c>
      <c r="BA26" s="122">
        <f t="shared" si="4"/>
        <v>3.7175</v>
      </c>
      <c r="BB26" s="122">
        <f>'【国内】常规用户招募-数据源 （正职）'!AT26*1.1</f>
        <v>3.96</v>
      </c>
      <c r="BC26" s="122">
        <f t="shared" si="15"/>
        <v>709.090909090909</v>
      </c>
      <c r="BD26" s="122">
        <f>'【国内】常规用户招募-数据源 （正职）'!AU26</f>
        <v>709.090909090909</v>
      </c>
      <c r="BE26" s="122">
        <f t="shared" si="16"/>
        <v>0</v>
      </c>
      <c r="BF26" s="121">
        <v>250</v>
      </c>
      <c r="BG26" s="150">
        <f t="shared" si="17"/>
        <v>232.231404958678</v>
      </c>
      <c r="BH26" s="122">
        <f t="shared" si="18"/>
        <v>-17.7685950413223</v>
      </c>
    </row>
    <row r="27" spans="1:60">
      <c r="A27" s="121">
        <v>23</v>
      </c>
      <c r="B27" s="122">
        <f>'【国内】常规用户招募-数据源 （正职）'!B27*1.3</f>
        <v>0.26</v>
      </c>
      <c r="C27" s="122">
        <f>'【国内】常规用户招募-数据源 （正职）'!D27*0.6</f>
        <v>1.2</v>
      </c>
      <c r="D27" s="122">
        <f t="shared" si="5"/>
        <v>1.97166666666667</v>
      </c>
      <c r="E27" s="122">
        <f>'【国内】常规用户招募-数据源 （正职）'!E27</f>
        <v>2.6</v>
      </c>
      <c r="F27" s="122">
        <f t="shared" si="6"/>
        <v>380.869565217391</v>
      </c>
      <c r="G27" s="122">
        <f>'【国内】常规用户招募-数据源 （正职）'!F27</f>
        <v>380.869565217391</v>
      </c>
      <c r="H27" s="122">
        <f t="shared" si="7"/>
        <v>0</v>
      </c>
      <c r="I27" s="121">
        <v>200</v>
      </c>
      <c r="J27" s="150">
        <f t="shared" si="19"/>
        <v>216.5595463138</v>
      </c>
      <c r="K27" s="150">
        <f t="shared" si="1"/>
        <v>16.5595463137996</v>
      </c>
      <c r="L27" s="159">
        <v>690</v>
      </c>
      <c r="M27" s="155"/>
      <c r="N27" s="121">
        <v>23</v>
      </c>
      <c r="O27" s="122">
        <f>'【国内】常规用户招募-数据源 （正职）'!M27*1.3</f>
        <v>0.26</v>
      </c>
      <c r="P27" s="122">
        <f>'【国内】常规用户招募-数据源 （正职）'!O27*0.6</f>
        <v>1.32</v>
      </c>
      <c r="Q27" s="122">
        <f t="shared" si="8"/>
        <v>2.21283333333333</v>
      </c>
      <c r="R27" s="122">
        <f>'【国内】常规用户招募-数据源 （正职）'!P27*0.98</f>
        <v>2.842</v>
      </c>
      <c r="S27" s="122">
        <f t="shared" si="9"/>
        <v>414.347826086957</v>
      </c>
      <c r="T27" s="122">
        <f>'【国内】常规用户招募-数据源 （正职）'!Q27</f>
        <v>414.347826086957</v>
      </c>
      <c r="U27" s="122">
        <f t="shared" si="20"/>
        <v>0</v>
      </c>
      <c r="V27" s="121">
        <v>250</v>
      </c>
      <c r="W27" s="150">
        <f t="shared" si="10"/>
        <v>268.015122873346</v>
      </c>
      <c r="X27" s="159">
        <v>690</v>
      </c>
      <c r="Y27" s="155"/>
      <c r="Z27" s="121">
        <v>23</v>
      </c>
      <c r="AA27" s="122">
        <f>'【国内】常规用户招募-数据源 （正职）'!W27*1.3</f>
        <v>0.39</v>
      </c>
      <c r="AB27" s="122">
        <f>'【国内】常规用户招募-数据源 （正职）'!Y27*0.6</f>
        <v>1.86</v>
      </c>
      <c r="AC27" s="122">
        <f t="shared" si="2"/>
        <v>2.90583333333333</v>
      </c>
      <c r="AD27" s="122">
        <f>'【国内】常规用户招募-数据源 （正职）'!Z27*1.2</f>
        <v>3.96</v>
      </c>
      <c r="AE27" s="122">
        <f t="shared" si="11"/>
        <v>578.260869565217</v>
      </c>
      <c r="AF27" s="122">
        <f>'【国内】常规用户招募-数据源 （正职）'!AA27</f>
        <v>578.260869565217</v>
      </c>
      <c r="AG27" s="122">
        <f t="shared" si="12"/>
        <v>0</v>
      </c>
      <c r="AH27" s="121">
        <v>250</v>
      </c>
      <c r="AI27" s="150">
        <f t="shared" si="21"/>
        <v>275.141776937618</v>
      </c>
      <c r="AJ27" s="150">
        <v>700</v>
      </c>
      <c r="AK27" s="155"/>
      <c r="AL27" s="121">
        <v>23</v>
      </c>
      <c r="AM27" s="122">
        <f>'【国内】常规用户招募-数据源 （正职）'!AG27*1.3</f>
        <v>0.39</v>
      </c>
      <c r="AN27" s="122">
        <f>'【国内】常规用户招募-数据源 （正职）'!AI27*0.6</f>
        <v>2.1</v>
      </c>
      <c r="AO27" s="122">
        <f t="shared" si="3"/>
        <v>3.45616666666667</v>
      </c>
      <c r="AP27" s="122">
        <f>'【国内】常规用户招募-数据源 （正职）'!AJ27*1.08</f>
        <v>3.672</v>
      </c>
      <c r="AQ27" s="122">
        <f t="shared" si="13"/>
        <v>638.695652173913</v>
      </c>
      <c r="AR27" s="122">
        <f>'【国内】常规用户招募-数据源 （正职）'!AK27</f>
        <v>638.695652173913</v>
      </c>
      <c r="AS27" s="122">
        <f t="shared" si="14"/>
        <v>0</v>
      </c>
      <c r="AT27" s="121">
        <v>250</v>
      </c>
      <c r="AU27" s="150">
        <f t="shared" si="22"/>
        <v>227.769376181474</v>
      </c>
      <c r="AV27" s="150">
        <v>720</v>
      </c>
      <c r="AW27" s="155"/>
      <c r="AX27" s="121">
        <v>23</v>
      </c>
      <c r="AY27" s="122">
        <f>'【国内】常规用户招募-数据源 （正职）'!AQ27*1.3</f>
        <v>0.39</v>
      </c>
      <c r="AZ27" s="122">
        <f>'【国内】常规用户招募-数据源 （正职）'!AS27*0.6</f>
        <v>2.325</v>
      </c>
      <c r="BA27" s="122">
        <f t="shared" si="4"/>
        <v>3.85416666666667</v>
      </c>
      <c r="BB27" s="122">
        <f>'【国内】常规用户招募-数据源 （正职）'!AT27*1.1</f>
        <v>4.18</v>
      </c>
      <c r="BC27" s="122">
        <f t="shared" si="15"/>
        <v>699.347826086957</v>
      </c>
      <c r="BD27" s="122">
        <f>'【国内】常规用户招募-数据源 （正职）'!AU27</f>
        <v>699.347826086957</v>
      </c>
      <c r="BE27" s="122">
        <f t="shared" si="16"/>
        <v>0</v>
      </c>
      <c r="BF27" s="121">
        <v>250</v>
      </c>
      <c r="BG27" s="150">
        <f t="shared" si="17"/>
        <v>230.406427221172</v>
      </c>
      <c r="BH27" s="122">
        <f t="shared" si="18"/>
        <v>-19.593572778828</v>
      </c>
    </row>
    <row r="28" spans="1:60">
      <c r="A28" s="121">
        <v>24</v>
      </c>
      <c r="B28" s="122">
        <f>'【国内】常规用户招募-数据源 （正职）'!B28*1.3</f>
        <v>0.26</v>
      </c>
      <c r="C28" s="122">
        <f>'【国内】常规用户招募-数据源 （正职）'!D28*0.6</f>
        <v>1.32</v>
      </c>
      <c r="D28" s="122">
        <f t="shared" si="5"/>
        <v>2.19833333333333</v>
      </c>
      <c r="E28" s="122">
        <f>'【国内】常规用户招募-数据源 （正职）'!E28</f>
        <v>2.6</v>
      </c>
      <c r="F28" s="122">
        <f t="shared" si="6"/>
        <v>393.333333333333</v>
      </c>
      <c r="G28" s="122">
        <f>'【国内】常规用户招募-数据源 （正职）'!F28</f>
        <v>393.333333333333</v>
      </c>
      <c r="H28" s="122">
        <f t="shared" si="7"/>
        <v>0</v>
      </c>
      <c r="I28" s="121">
        <v>200</v>
      </c>
      <c r="J28" s="150">
        <f t="shared" si="19"/>
        <v>216.388888888889</v>
      </c>
      <c r="K28" s="150">
        <f t="shared" si="1"/>
        <v>16.3888888888889</v>
      </c>
      <c r="L28" s="159">
        <v>690</v>
      </c>
      <c r="M28" s="155"/>
      <c r="N28" s="121">
        <v>24</v>
      </c>
      <c r="O28" s="122">
        <f>'【国内】常规用户招募-数据源 （正职）'!M28*1.3</f>
        <v>0.26</v>
      </c>
      <c r="P28" s="122">
        <f>'【国内】常规用户招募-数据源 （正职）'!O28*0.6</f>
        <v>1.38</v>
      </c>
      <c r="Q28" s="122">
        <f t="shared" si="8"/>
        <v>2.32616666666667</v>
      </c>
      <c r="R28" s="122">
        <f>'【国内】常规用户招募-数据源 （正职）'!P28*0.98</f>
        <v>2.842</v>
      </c>
      <c r="S28" s="122">
        <f t="shared" si="9"/>
        <v>411.25</v>
      </c>
      <c r="T28" s="122">
        <f>'【国内】常规用户招募-数据源 （正职）'!Q28</f>
        <v>411.25</v>
      </c>
      <c r="U28" s="122">
        <f t="shared" si="20"/>
        <v>0</v>
      </c>
      <c r="V28" s="121">
        <v>250</v>
      </c>
      <c r="W28" s="150">
        <f t="shared" si="10"/>
        <v>267.135416666667</v>
      </c>
      <c r="X28" s="159">
        <v>690</v>
      </c>
      <c r="Y28" s="155"/>
      <c r="Z28" s="121">
        <v>24</v>
      </c>
      <c r="AA28" s="122">
        <f>'【国内】常规用户招募-数据源 （正职）'!W28*1.3</f>
        <v>0.39</v>
      </c>
      <c r="AB28" s="122">
        <f>'【国内】常规用户招募-数据源 （正职）'!Y28*0.6</f>
        <v>1.86</v>
      </c>
      <c r="AC28" s="122">
        <f t="shared" si="2"/>
        <v>2.90083333333333</v>
      </c>
      <c r="AD28" s="122">
        <f>'【国内】常规用户招募-数据源 （正职）'!Z28*1.2</f>
        <v>4.08</v>
      </c>
      <c r="AE28" s="122">
        <f t="shared" si="11"/>
        <v>555.416666666667</v>
      </c>
      <c r="AF28" s="122">
        <f>'【国内】常规用户招募-数据源 （正职）'!AA28</f>
        <v>555.416666666667</v>
      </c>
      <c r="AG28" s="122">
        <f t="shared" si="12"/>
        <v>0</v>
      </c>
      <c r="AH28" s="121">
        <v>250</v>
      </c>
      <c r="AI28" s="150">
        <f t="shared" si="21"/>
        <v>273.142361111111</v>
      </c>
      <c r="AJ28" s="150">
        <v>700</v>
      </c>
      <c r="AK28" s="155"/>
      <c r="AL28" s="121">
        <v>24</v>
      </c>
      <c r="AM28" s="122">
        <f>'【国内】常规用户招募-数据源 （正职）'!AG28*1.3</f>
        <v>0.39</v>
      </c>
      <c r="AN28" s="122">
        <f>'【国内】常规用户招募-数据源 （正职）'!AI28*0.6</f>
        <v>2.16</v>
      </c>
      <c r="AO28" s="122">
        <f t="shared" si="3"/>
        <v>3.5655</v>
      </c>
      <c r="AP28" s="122">
        <f>'【国内】常规用户招募-数据源 （正职）'!AJ28*1.08</f>
        <v>3.888</v>
      </c>
      <c r="AQ28" s="122">
        <f t="shared" si="13"/>
        <v>628.75</v>
      </c>
      <c r="AR28" s="122">
        <f>'【国内】常规用户招募-数据源 （正职）'!AK28</f>
        <v>628.75</v>
      </c>
      <c r="AS28" s="122">
        <f t="shared" si="14"/>
        <v>0</v>
      </c>
      <c r="AT28" s="121">
        <v>250</v>
      </c>
      <c r="AU28" s="150">
        <f t="shared" si="22"/>
        <v>226.197916666667</v>
      </c>
      <c r="AV28" s="150">
        <v>720</v>
      </c>
      <c r="AW28" s="155"/>
      <c r="AX28" s="121">
        <v>24</v>
      </c>
      <c r="AY28" s="122">
        <f>'【国内】常规用户招募-数据源 （正职）'!AQ28*1.3</f>
        <v>0.39</v>
      </c>
      <c r="AZ28" s="122">
        <f>'【国内】常规用户招募-数据源 （正职）'!AS28*0.6</f>
        <v>2.325</v>
      </c>
      <c r="BA28" s="122">
        <f t="shared" si="4"/>
        <v>3.84916666666667</v>
      </c>
      <c r="BB28" s="122">
        <f>'【国内】常规用户招募-数据源 （正职）'!AT28*1.1</f>
        <v>4.4</v>
      </c>
      <c r="BC28" s="122">
        <f t="shared" si="15"/>
        <v>672.708333333333</v>
      </c>
      <c r="BD28" s="122">
        <f>'【国内】常规用户招募-数据源 （正职）'!AU28</f>
        <v>672.708333333333</v>
      </c>
      <c r="BE28" s="122">
        <f t="shared" si="16"/>
        <v>0</v>
      </c>
      <c r="BF28" s="121">
        <v>250</v>
      </c>
      <c r="BG28" s="150">
        <f t="shared" si="17"/>
        <v>228.029513888889</v>
      </c>
      <c r="BH28" s="122">
        <f t="shared" si="18"/>
        <v>-21.9704861111111</v>
      </c>
    </row>
    <row r="29" s="148" customFormat="1" spans="1:60">
      <c r="A29" s="121">
        <v>25</v>
      </c>
      <c r="B29" s="122">
        <f>'【国内】常规用户招募-数据源 （正职）'!B29*1.3</f>
        <v>0.26</v>
      </c>
      <c r="C29" s="122">
        <f>'【国内】常规用户招募-数据源 （正职）'!D29*0.6</f>
        <v>1.32</v>
      </c>
      <c r="D29" s="122">
        <f t="shared" si="5"/>
        <v>2.19833333333333</v>
      </c>
      <c r="E29" s="122">
        <f>'【国内】常规用户招募-数据源 （正职）'!E29</f>
        <v>3</v>
      </c>
      <c r="F29" s="122">
        <f t="shared" si="6"/>
        <v>382.4</v>
      </c>
      <c r="G29" s="122">
        <f>'【国内】常规用户招募-数据源 （正职）'!F29</f>
        <v>382.4</v>
      </c>
      <c r="H29" s="122">
        <f t="shared" si="7"/>
        <v>0</v>
      </c>
      <c r="I29" s="121">
        <v>200</v>
      </c>
      <c r="J29" s="150">
        <f t="shared" si="19"/>
        <v>215.296</v>
      </c>
      <c r="K29" s="150">
        <f t="shared" si="1"/>
        <v>15.296</v>
      </c>
      <c r="L29" s="159">
        <v>690</v>
      </c>
      <c r="M29" s="155"/>
      <c r="N29" s="121">
        <v>25</v>
      </c>
      <c r="O29" s="122">
        <f>'【国内】常规用户招募-数据源 （正职）'!M29*1.3</f>
        <v>0.26</v>
      </c>
      <c r="P29" s="122">
        <f>'【国内】常规用户招募-数据源 （正职）'!O29*0.6</f>
        <v>1.38</v>
      </c>
      <c r="Q29" s="122">
        <f t="shared" si="8"/>
        <v>2.32866666666667</v>
      </c>
      <c r="R29" s="122">
        <f>'【国内】常规用户招募-数据源 （正职）'!P29*0.98</f>
        <v>3.332</v>
      </c>
      <c r="S29" s="122">
        <f t="shared" si="9"/>
        <v>400.8</v>
      </c>
      <c r="T29" s="122">
        <f>'【国内】常规用户招募-数据源 （正职）'!Q29</f>
        <v>400.8</v>
      </c>
      <c r="U29" s="122">
        <f t="shared" si="20"/>
        <v>0</v>
      </c>
      <c r="V29" s="121">
        <v>250</v>
      </c>
      <c r="W29" s="150">
        <f t="shared" si="10"/>
        <v>266.032</v>
      </c>
      <c r="X29" s="159">
        <v>690</v>
      </c>
      <c r="Y29" s="155"/>
      <c r="Z29" s="121">
        <v>25</v>
      </c>
      <c r="AA29" s="122">
        <f>'【国内】常规用户招募-数据源 （正职）'!W29*1.3</f>
        <v>0.39</v>
      </c>
      <c r="AB29" s="122">
        <f>'【国内】常规用户招募-数据源 （正职）'!Y29*0.6</f>
        <v>1.92</v>
      </c>
      <c r="AC29" s="122">
        <f t="shared" si="2"/>
        <v>3.00416666666667</v>
      </c>
      <c r="AD29" s="122">
        <f>'【国内】常规用户招募-数据源 （正职）'!Z29*1.2</f>
        <v>4.32</v>
      </c>
      <c r="AE29" s="122">
        <f t="shared" si="11"/>
        <v>549.2</v>
      </c>
      <c r="AF29" s="122">
        <f>'【国内】常规用户招募-数据源 （正职）'!AA29</f>
        <v>549.2</v>
      </c>
      <c r="AG29" s="122">
        <f t="shared" si="12"/>
        <v>0</v>
      </c>
      <c r="AH29" s="121">
        <v>250</v>
      </c>
      <c r="AI29" s="150">
        <f t="shared" si="21"/>
        <v>271.968</v>
      </c>
      <c r="AJ29" s="150">
        <v>700</v>
      </c>
      <c r="AK29" s="155"/>
      <c r="AL29" s="121">
        <v>25</v>
      </c>
      <c r="AM29" s="122">
        <f>'【国内】常规用户招募-数据源 （正职）'!AG29*1.3</f>
        <v>0.39</v>
      </c>
      <c r="AN29" s="122">
        <f>'【国内】常规用户招募-数据源 （正职）'!AI29*0.6</f>
        <v>2.28</v>
      </c>
      <c r="AO29" s="122">
        <f t="shared" si="3"/>
        <v>3.78016666666667</v>
      </c>
      <c r="AP29" s="122">
        <f>'【国内】常规用户招募-数据源 （正职）'!AJ29*1.08</f>
        <v>4.536</v>
      </c>
      <c r="AQ29" s="122">
        <f t="shared" si="13"/>
        <v>638</v>
      </c>
      <c r="AR29" s="122">
        <f>'【国内】常规用户招募-数据源 （正职）'!AK29</f>
        <v>638</v>
      </c>
      <c r="AS29" s="122">
        <f t="shared" si="14"/>
        <v>0</v>
      </c>
      <c r="AT29" s="121">
        <v>250</v>
      </c>
      <c r="AU29" s="150">
        <f t="shared" si="22"/>
        <v>225.52</v>
      </c>
      <c r="AV29" s="150">
        <v>720</v>
      </c>
      <c r="AW29" s="155"/>
      <c r="AX29" s="121">
        <v>25</v>
      </c>
      <c r="AY29" s="122">
        <f>'【国内】常规用户招募-数据源 （正职）'!AQ29*1.3</f>
        <v>0.39</v>
      </c>
      <c r="AZ29" s="122">
        <f>'【国内】常规用户招募-数据源 （正职）'!AS29*0.6</f>
        <v>2.4</v>
      </c>
      <c r="BA29" s="122">
        <f t="shared" si="4"/>
        <v>3.98583333333333</v>
      </c>
      <c r="BB29" s="122">
        <f>'【国内】常规用户招募-数据源 （正职）'!AT29*1.1</f>
        <v>4.62</v>
      </c>
      <c r="BC29" s="122">
        <f t="shared" si="15"/>
        <v>665.2</v>
      </c>
      <c r="BD29" s="122">
        <f>'【国内】常规用户招募-数据源 （正职）'!AU29</f>
        <v>665.2</v>
      </c>
      <c r="BE29" s="122">
        <f t="shared" si="16"/>
        <v>0</v>
      </c>
      <c r="BF29" s="121">
        <v>250</v>
      </c>
      <c r="BG29" s="150">
        <f t="shared" si="17"/>
        <v>226.608</v>
      </c>
      <c r="BH29" s="122">
        <f t="shared" si="18"/>
        <v>-23.392</v>
      </c>
    </row>
    <row r="30" spans="1:60">
      <c r="A30" s="121">
        <v>26</v>
      </c>
      <c r="B30" s="122">
        <f>'【国内】常规用户招募-数据源 （正职）'!B30*1.3</f>
        <v>0.26</v>
      </c>
      <c r="C30" s="122">
        <f>'【国内】常规用户招募-数据源 （正职）'!D30*0.6</f>
        <v>1.44</v>
      </c>
      <c r="D30" s="122">
        <f t="shared" si="5"/>
        <v>2.425</v>
      </c>
      <c r="E30" s="122">
        <f>'【国内】常规用户招募-数据源 （正职）'!E30</f>
        <v>3</v>
      </c>
      <c r="F30" s="122">
        <f t="shared" si="6"/>
        <v>393.846153846154</v>
      </c>
      <c r="G30" s="122">
        <f>'【国内】常规用户招募-数据源 （正职）'!F30</f>
        <v>393.846153846154</v>
      </c>
      <c r="H30" s="122">
        <f t="shared" si="7"/>
        <v>0</v>
      </c>
      <c r="I30" s="121">
        <v>200</v>
      </c>
      <c r="J30" s="150">
        <f t="shared" si="19"/>
        <v>215.147928994083</v>
      </c>
      <c r="K30" s="150">
        <f t="shared" si="1"/>
        <v>15.1479289940829</v>
      </c>
      <c r="L30" s="159">
        <v>690</v>
      </c>
      <c r="M30" s="155"/>
      <c r="N30" s="121">
        <v>26</v>
      </c>
      <c r="O30" s="122">
        <f>'【国内】常规用户招募-数据源 （正职）'!M30*1.3</f>
        <v>0.26</v>
      </c>
      <c r="P30" s="122">
        <f>'【国内】常规用户招募-数据源 （正职）'!O30*0.6</f>
        <v>1.5</v>
      </c>
      <c r="Q30" s="122">
        <f t="shared" si="8"/>
        <v>2.55533333333333</v>
      </c>
      <c r="R30" s="122">
        <f>'【国内】常规用户招募-数据源 （正职）'!P30*0.98</f>
        <v>3.332</v>
      </c>
      <c r="S30" s="122">
        <f t="shared" si="9"/>
        <v>411.538461538462</v>
      </c>
      <c r="T30" s="122">
        <f>'【国内】常规用户招募-数据源 （正职）'!Q30</f>
        <v>411.538461538462</v>
      </c>
      <c r="U30" s="122">
        <f t="shared" si="20"/>
        <v>0</v>
      </c>
      <c r="V30" s="121">
        <v>250</v>
      </c>
      <c r="W30" s="150">
        <f t="shared" si="10"/>
        <v>265.828402366864</v>
      </c>
      <c r="X30" s="159">
        <v>690</v>
      </c>
      <c r="Y30" s="155"/>
      <c r="Z30" s="121">
        <v>26</v>
      </c>
      <c r="AA30" s="122">
        <f>'【国内】常规用户招募-数据源 （正职）'!W30*1.3</f>
        <v>0.39</v>
      </c>
      <c r="AB30" s="122">
        <f>'【国内】常规用户招募-数据源 （正职）'!Y30*0.6</f>
        <v>1.98</v>
      </c>
      <c r="AC30" s="122">
        <f t="shared" si="2"/>
        <v>3.1025</v>
      </c>
      <c r="AD30" s="122">
        <f>'【国内】常规用户招募-数据源 （正职）'!Z30*1.2</f>
        <v>4.68</v>
      </c>
      <c r="AE30" s="122">
        <f t="shared" si="11"/>
        <v>544.615384615385</v>
      </c>
      <c r="AF30" s="122">
        <f>'【国内】常规用户招募-数据源 （正职）'!AA30</f>
        <v>544.615384615385</v>
      </c>
      <c r="AG30" s="122">
        <f t="shared" si="12"/>
        <v>0</v>
      </c>
      <c r="AH30" s="121">
        <v>250</v>
      </c>
      <c r="AI30" s="150">
        <f t="shared" si="21"/>
        <v>270.94674556213</v>
      </c>
      <c r="AJ30" s="150">
        <v>700</v>
      </c>
      <c r="AK30" s="155"/>
      <c r="AL30" s="121">
        <v>26</v>
      </c>
      <c r="AM30" s="122">
        <f>'【国内】常规用户招募-数据源 （正职）'!AG30*1.3</f>
        <v>0.39</v>
      </c>
      <c r="AN30" s="122">
        <f>'【国内】常规用户招募-数据源 （正职）'!AI30*0.6</f>
        <v>2.34</v>
      </c>
      <c r="AO30" s="122">
        <f t="shared" si="3"/>
        <v>3.8915</v>
      </c>
      <c r="AP30" s="122">
        <f>'【国内】常规用户招募-数据源 （正职）'!AJ30*1.08</f>
        <v>4.644</v>
      </c>
      <c r="AQ30" s="122">
        <f t="shared" si="13"/>
        <v>627.692307692308</v>
      </c>
      <c r="AR30" s="122">
        <f>'【国内】常规用户招募-数据源 （正职）'!AK30</f>
        <v>627.692307692308</v>
      </c>
      <c r="AS30" s="122">
        <f t="shared" si="14"/>
        <v>0</v>
      </c>
      <c r="AT30" s="121">
        <v>250</v>
      </c>
      <c r="AU30" s="150">
        <f t="shared" si="22"/>
        <v>224.14201183432</v>
      </c>
      <c r="AV30" s="150">
        <v>720</v>
      </c>
      <c r="AW30" s="155"/>
      <c r="AX30" s="121">
        <v>26</v>
      </c>
      <c r="AY30" s="122">
        <f>'【国内】常规用户招募-数据源 （正职）'!AQ30*1.3</f>
        <v>0.39</v>
      </c>
      <c r="AZ30" s="122">
        <f>'【国内】常规用户招募-数据源 （正职）'!AS30*0.6</f>
        <v>2.52</v>
      </c>
      <c r="BA30" s="122">
        <f t="shared" si="4"/>
        <v>4.21</v>
      </c>
      <c r="BB30" s="122">
        <f>'【国内】常规用户招募-数据源 （正职）'!AT30*1.1</f>
        <v>4.73</v>
      </c>
      <c r="BC30" s="122">
        <f t="shared" si="15"/>
        <v>666.923076923077</v>
      </c>
      <c r="BD30" s="122">
        <f>'【国内】常规用户招募-数据源 （正职）'!AU30</f>
        <v>666.923076923077</v>
      </c>
      <c r="BE30" s="122">
        <f t="shared" si="16"/>
        <v>0</v>
      </c>
      <c r="BF30" s="121">
        <v>250</v>
      </c>
      <c r="BG30" s="150">
        <f t="shared" si="17"/>
        <v>225.650887573964</v>
      </c>
      <c r="BH30" s="122">
        <f t="shared" si="18"/>
        <v>-24.3491124260355</v>
      </c>
    </row>
    <row r="31" spans="1:60">
      <c r="A31" s="121">
        <v>27</v>
      </c>
      <c r="B31" s="122">
        <f>'【国内】常规用户招募-数据源 （正职）'!B31*1.3</f>
        <v>0.26</v>
      </c>
      <c r="C31" s="122">
        <f>'【国内】常规用户招募-数据源 （正职）'!D31*0.6</f>
        <v>1.44</v>
      </c>
      <c r="D31" s="122">
        <f t="shared" si="5"/>
        <v>2.425</v>
      </c>
      <c r="E31" s="122">
        <f>'【国内】常规用户招募-数据源 （正职）'!E31</f>
        <v>3.2</v>
      </c>
      <c r="F31" s="122">
        <f t="shared" si="6"/>
        <v>381.481481481481</v>
      </c>
      <c r="G31" s="122">
        <f>'【国内】常规用户招募-数据源 （正职）'!F31</f>
        <v>381.481481481481</v>
      </c>
      <c r="H31" s="122">
        <f t="shared" si="7"/>
        <v>0</v>
      </c>
      <c r="I31" s="121">
        <v>200</v>
      </c>
      <c r="J31" s="150">
        <f t="shared" si="19"/>
        <v>214.128943758573</v>
      </c>
      <c r="K31" s="150">
        <f t="shared" si="1"/>
        <v>14.1289437585734</v>
      </c>
      <c r="L31" s="159">
        <v>690</v>
      </c>
      <c r="M31" s="155"/>
      <c r="N31" s="121">
        <v>27</v>
      </c>
      <c r="O31" s="122">
        <f>'【国内】常规用户招募-数据源 （正职）'!M31*1.3</f>
        <v>0.26</v>
      </c>
      <c r="P31" s="122">
        <f>'【国内】常规用户招募-数据源 （正职）'!O31*0.6</f>
        <v>1.5</v>
      </c>
      <c r="Q31" s="122">
        <f t="shared" si="8"/>
        <v>2.55633333333333</v>
      </c>
      <c r="R31" s="122">
        <f>'【国内】常规用户招募-数据源 （正职）'!P31*0.98</f>
        <v>3.528</v>
      </c>
      <c r="S31" s="122">
        <f t="shared" si="9"/>
        <v>398.518518518519</v>
      </c>
      <c r="T31" s="122">
        <f>'【国内】常规用户招募-数据源 （正职）'!Q31</f>
        <v>398.518518518519</v>
      </c>
      <c r="U31" s="122">
        <f t="shared" si="20"/>
        <v>0</v>
      </c>
      <c r="V31" s="121">
        <v>250</v>
      </c>
      <c r="W31" s="150">
        <f t="shared" si="10"/>
        <v>264.759945130315</v>
      </c>
      <c r="X31" s="159">
        <v>690</v>
      </c>
      <c r="Y31" s="155"/>
      <c r="Z31" s="121">
        <v>27</v>
      </c>
      <c r="AA31" s="122">
        <f>'【国内】常规用户招募-数据源 （正职）'!W31*1.3</f>
        <v>0.39</v>
      </c>
      <c r="AB31" s="122">
        <f>'【国内】常规用户招募-数据源 （正职）'!Y31*0.6</f>
        <v>2.1</v>
      </c>
      <c r="AC31" s="122">
        <f t="shared" si="2"/>
        <v>3.32416666666667</v>
      </c>
      <c r="AD31" s="122">
        <f>'【国内】常规用户招募-数据源 （正职）'!Z31*1.2</f>
        <v>4.8</v>
      </c>
      <c r="AE31" s="122">
        <f t="shared" si="11"/>
        <v>550.740740740741</v>
      </c>
      <c r="AF31" s="122">
        <f>'【国内】常规用户招募-数据源 （正职）'!AA31</f>
        <v>550.740740740741</v>
      </c>
      <c r="AG31" s="122">
        <f t="shared" si="12"/>
        <v>0</v>
      </c>
      <c r="AH31" s="121">
        <v>250</v>
      </c>
      <c r="AI31" s="150">
        <f t="shared" si="21"/>
        <v>270.39780521262</v>
      </c>
      <c r="AJ31" s="150">
        <v>700</v>
      </c>
      <c r="AK31" s="155"/>
      <c r="AL31" s="121">
        <v>27</v>
      </c>
      <c r="AM31" s="122">
        <f>'【国内】常规用户招募-数据源 （正职）'!AG31*1.3</f>
        <v>0.39</v>
      </c>
      <c r="AN31" s="122">
        <f>'【国内】常规用户招募-数据源 （正职）'!AI31*0.6</f>
        <v>2.46</v>
      </c>
      <c r="AO31" s="122">
        <f t="shared" si="3"/>
        <v>4.11616666666667</v>
      </c>
      <c r="AP31" s="122">
        <f>'【国内】常规用户招募-数据源 （正职）'!AJ31*1.08</f>
        <v>4.752</v>
      </c>
      <c r="AQ31" s="122">
        <f t="shared" si="13"/>
        <v>630.740740740741</v>
      </c>
      <c r="AR31" s="122">
        <f>'【国内】常规用户招募-数据源 （正职）'!AK31</f>
        <v>630.740740740741</v>
      </c>
      <c r="AS31" s="122">
        <f t="shared" si="14"/>
        <v>0</v>
      </c>
      <c r="AT31" s="121">
        <v>250</v>
      </c>
      <c r="AU31" s="150">
        <f t="shared" si="22"/>
        <v>223.360768175583</v>
      </c>
      <c r="AV31" s="150">
        <v>720</v>
      </c>
      <c r="AW31" s="155"/>
      <c r="AX31" s="121">
        <v>27</v>
      </c>
      <c r="AY31" s="122">
        <f>'【国内】常规用户招募-数据源 （正职）'!AQ31*1.3</f>
        <v>0.39</v>
      </c>
      <c r="AZ31" s="122">
        <f>'【国内】常规用户招募-数据源 （正职）'!AS31*0.6</f>
        <v>2.7</v>
      </c>
      <c r="BA31" s="122">
        <f t="shared" si="4"/>
        <v>4.5475</v>
      </c>
      <c r="BB31" s="122">
        <f>'【国内】常规用户招募-数据源 （正职）'!AT31*1.1</f>
        <v>4.84</v>
      </c>
      <c r="BC31" s="122">
        <f t="shared" si="15"/>
        <v>681.111111111111</v>
      </c>
      <c r="BD31" s="122">
        <f>'【国内】常规用户招募-数据源 （正职）'!AU31</f>
        <v>681.111111111111</v>
      </c>
      <c r="BE31" s="122">
        <f t="shared" si="16"/>
        <v>0</v>
      </c>
      <c r="BF31" s="121">
        <v>250</v>
      </c>
      <c r="BG31" s="150">
        <f t="shared" si="17"/>
        <v>225.22633744856</v>
      </c>
      <c r="BH31" s="122">
        <f t="shared" si="18"/>
        <v>-24.7736625514403</v>
      </c>
    </row>
    <row r="32" spans="1:60">
      <c r="A32" s="121">
        <v>28</v>
      </c>
      <c r="B32" s="122">
        <f>'【国内】常规用户招募-数据源 （正职）'!B32*1.3</f>
        <v>0.26</v>
      </c>
      <c r="C32" s="122">
        <f>'【国内】常规用户招募-数据源 （正职）'!D32*0.6</f>
        <v>1.56</v>
      </c>
      <c r="D32" s="122">
        <f t="shared" si="5"/>
        <v>2.65166666666667</v>
      </c>
      <c r="E32" s="122">
        <f>'【国内】常规用户招募-数据源 （正职）'!E32</f>
        <v>3.2</v>
      </c>
      <c r="F32" s="122">
        <f t="shared" si="6"/>
        <v>392.142857142857</v>
      </c>
      <c r="G32" s="122">
        <f>'【国内】常规用户招募-数据源 （正职）'!F32</f>
        <v>392.142857142857</v>
      </c>
      <c r="H32" s="122">
        <f t="shared" si="7"/>
        <v>0</v>
      </c>
      <c r="I32" s="121">
        <v>200</v>
      </c>
      <c r="J32" s="150">
        <f t="shared" si="19"/>
        <v>214.005102040816</v>
      </c>
      <c r="K32" s="150">
        <f t="shared" si="1"/>
        <v>14.0051020408163</v>
      </c>
      <c r="L32" s="159">
        <v>690</v>
      </c>
      <c r="M32" s="155"/>
      <c r="N32" s="121">
        <v>28</v>
      </c>
      <c r="O32" s="122">
        <f>'【国内】常规用户招募-数据源 （正职）'!M32*1.3</f>
        <v>0.26</v>
      </c>
      <c r="P32" s="122">
        <f>'【国内】常规用户招募-数据源 （正职）'!O32*0.6</f>
        <v>1.62</v>
      </c>
      <c r="Q32" s="122">
        <f t="shared" si="8"/>
        <v>2.783</v>
      </c>
      <c r="R32" s="122">
        <f>'【国内】常规用户招募-数据源 （正职）'!P32*0.98</f>
        <v>3.528</v>
      </c>
      <c r="S32" s="122">
        <f t="shared" si="9"/>
        <v>408.571428571429</v>
      </c>
      <c r="T32" s="122">
        <f>'【国内】常规用户招募-数据源 （正职）'!Q32</f>
        <v>408.571428571429</v>
      </c>
      <c r="U32" s="122">
        <f t="shared" si="20"/>
        <v>0</v>
      </c>
      <c r="V32" s="121">
        <v>250</v>
      </c>
      <c r="W32" s="150">
        <f t="shared" si="10"/>
        <v>264.591836734694</v>
      </c>
      <c r="X32" s="159">
        <v>690</v>
      </c>
      <c r="Y32" s="155"/>
      <c r="Z32" s="121">
        <v>28</v>
      </c>
      <c r="AA32" s="122">
        <f>'【国内】常规用户招募-数据源 （正职）'!W32*1.3</f>
        <v>0.39</v>
      </c>
      <c r="AB32" s="122">
        <f>'【国内】常规用户招募-数据源 （正职）'!Y32*0.6</f>
        <v>2.22</v>
      </c>
      <c r="AC32" s="122">
        <f t="shared" si="2"/>
        <v>3.55083333333333</v>
      </c>
      <c r="AD32" s="122">
        <f>'【国内】常规用户招募-数据源 （正职）'!Z32*1.2</f>
        <v>4.8</v>
      </c>
      <c r="AE32" s="122">
        <f t="shared" si="11"/>
        <v>555.357142857143</v>
      </c>
      <c r="AF32" s="122">
        <f>'【国内】常规用户招募-数据源 （正职）'!AA32</f>
        <v>555.357142857143</v>
      </c>
      <c r="AG32" s="122">
        <f t="shared" si="12"/>
        <v>0</v>
      </c>
      <c r="AH32" s="121">
        <v>250</v>
      </c>
      <c r="AI32" s="150">
        <f t="shared" si="21"/>
        <v>269.834183673469</v>
      </c>
      <c r="AJ32" s="150">
        <v>700</v>
      </c>
      <c r="AK32" s="155"/>
      <c r="AL32" s="121">
        <v>28</v>
      </c>
      <c r="AM32" s="122">
        <f>'【国内】常规用户招募-数据源 （正职）'!AG32*1.3</f>
        <v>0.39</v>
      </c>
      <c r="AN32" s="122">
        <f>'【国内】常规用户招募-数据源 （正职）'!AI32*0.6</f>
        <v>2.52</v>
      </c>
      <c r="AO32" s="122">
        <f t="shared" si="3"/>
        <v>4.2295</v>
      </c>
      <c r="AP32" s="122">
        <f>'【国内】常规用户招募-数据源 （正职）'!AJ32*1.08</f>
        <v>4.752</v>
      </c>
      <c r="AQ32" s="122">
        <f t="shared" si="13"/>
        <v>620.357142857143</v>
      </c>
      <c r="AR32" s="122">
        <f>'【国内】常规用户招募-数据源 （正职）'!AK32</f>
        <v>620.357142857143</v>
      </c>
      <c r="AS32" s="122">
        <f t="shared" si="14"/>
        <v>0</v>
      </c>
      <c r="AT32" s="121">
        <v>250</v>
      </c>
      <c r="AU32" s="150">
        <f t="shared" si="22"/>
        <v>222.155612244898</v>
      </c>
      <c r="AV32" s="150">
        <v>720</v>
      </c>
      <c r="AW32" s="155"/>
      <c r="AX32" s="121">
        <v>28</v>
      </c>
      <c r="AY32" s="122">
        <f>'【国内】常规用户招募-数据源 （正职）'!AQ32*1.3</f>
        <v>0.39</v>
      </c>
      <c r="AZ32" s="122">
        <f>'【国内】常规用户招募-数据源 （正职）'!AS32*0.6</f>
        <v>2.775</v>
      </c>
      <c r="BA32" s="122">
        <f t="shared" si="4"/>
        <v>4.68916666666667</v>
      </c>
      <c r="BB32" s="122">
        <f>'【国内】常规用户招募-数据源 （正职）'!AT32*1.1</f>
        <v>4.84</v>
      </c>
      <c r="BC32" s="122">
        <f t="shared" si="15"/>
        <v>671.964285714286</v>
      </c>
      <c r="BD32" s="122">
        <f>'【国内】常规用户招募-数据源 （正职）'!AU32</f>
        <v>671.964285714286</v>
      </c>
      <c r="BE32" s="122">
        <f t="shared" si="16"/>
        <v>0</v>
      </c>
      <c r="BF32" s="121">
        <v>250</v>
      </c>
      <c r="BG32" s="150">
        <f t="shared" si="17"/>
        <v>223.998724489796</v>
      </c>
      <c r="BH32" s="122">
        <f t="shared" si="18"/>
        <v>-26.0012755102041</v>
      </c>
    </row>
    <row r="33" spans="1:60">
      <c r="A33" s="121">
        <v>29</v>
      </c>
      <c r="B33" s="122">
        <f>'【国内】常规用户招募-数据源 （正职）'!B33*1.3</f>
        <v>0.26</v>
      </c>
      <c r="C33" s="122">
        <f>'【国内】常规用户招募-数据源 （正职）'!D33*0.6</f>
        <v>1.56</v>
      </c>
      <c r="D33" s="122">
        <f t="shared" si="5"/>
        <v>2.65166666666667</v>
      </c>
      <c r="E33" s="122">
        <f>'【国内】常规用户招募-数据源 （正职）'!E33</f>
        <v>3.4</v>
      </c>
      <c r="F33" s="122">
        <f t="shared" si="6"/>
        <v>380.689655172414</v>
      </c>
      <c r="G33" s="122">
        <f>'【国内】常规用户招募-数据源 （正职）'!F33</f>
        <v>380.689655172414</v>
      </c>
      <c r="H33" s="122">
        <f t="shared" si="7"/>
        <v>0</v>
      </c>
      <c r="I33" s="121">
        <v>200</v>
      </c>
      <c r="J33" s="150">
        <f t="shared" si="19"/>
        <v>213.127229488704</v>
      </c>
      <c r="K33" s="150">
        <f t="shared" si="1"/>
        <v>13.1272294887039</v>
      </c>
      <c r="L33" s="159">
        <v>690</v>
      </c>
      <c r="M33" s="155"/>
      <c r="N33" s="121">
        <v>29</v>
      </c>
      <c r="O33" s="122">
        <f>'【国内】常规用户招募-数据源 （正职）'!M33*1.3</f>
        <v>0.26</v>
      </c>
      <c r="P33" s="122">
        <f>'【国内】常规用户招募-数据源 （正职）'!O33*0.6</f>
        <v>1.62</v>
      </c>
      <c r="Q33" s="122">
        <f t="shared" si="8"/>
        <v>2.784</v>
      </c>
      <c r="R33" s="122">
        <f>'【国内】常规用户招募-数据源 （正职）'!P33*0.98</f>
        <v>3.724</v>
      </c>
      <c r="S33" s="122">
        <f t="shared" si="9"/>
        <v>396.551724137931</v>
      </c>
      <c r="T33" s="122">
        <f>'【国内】常规用户招募-数据源 （正职）'!Q33</f>
        <v>396.551724137931</v>
      </c>
      <c r="U33" s="122">
        <f t="shared" si="20"/>
        <v>0</v>
      </c>
      <c r="V33" s="121">
        <v>250</v>
      </c>
      <c r="W33" s="150">
        <f t="shared" si="10"/>
        <v>263.674197384067</v>
      </c>
      <c r="X33" s="159">
        <v>690</v>
      </c>
      <c r="Y33" s="155"/>
      <c r="Z33" s="121">
        <v>29</v>
      </c>
      <c r="AA33" s="122">
        <f>'【国内】常规用户招募-数据源 （正职）'!W33*1.3</f>
        <v>0.39</v>
      </c>
      <c r="AB33" s="122">
        <f>'【国内】常规用户招募-数据源 （正职）'!Y33*0.6</f>
        <v>2.34</v>
      </c>
      <c r="AC33" s="122">
        <f t="shared" si="2"/>
        <v>3.7725</v>
      </c>
      <c r="AD33" s="122">
        <f>'【国内】常规用户招募-数据源 （正职）'!Z33*1.2</f>
        <v>4.92</v>
      </c>
      <c r="AE33" s="122">
        <f t="shared" si="11"/>
        <v>560.689655172414</v>
      </c>
      <c r="AF33" s="122">
        <f>'【国内】常规用户招募-数据源 （正职）'!AA33</f>
        <v>560.689655172414</v>
      </c>
      <c r="AG33" s="122">
        <f t="shared" si="12"/>
        <v>0</v>
      </c>
      <c r="AH33" s="121">
        <v>250</v>
      </c>
      <c r="AI33" s="150">
        <f t="shared" si="21"/>
        <v>269.334126040428</v>
      </c>
      <c r="AJ33" s="150">
        <v>700</v>
      </c>
      <c r="AK33" s="155"/>
      <c r="AL33" s="121">
        <v>29</v>
      </c>
      <c r="AM33" s="122">
        <f>'【国内】常规用户招募-数据源 （正职）'!AG33*1.3</f>
        <v>0.39</v>
      </c>
      <c r="AN33" s="122">
        <f>'【国内】常规用户招募-数据源 （正职）'!AI33*0.6</f>
        <v>2.58</v>
      </c>
      <c r="AO33" s="122">
        <f t="shared" si="3"/>
        <v>4.34083333333334</v>
      </c>
      <c r="AP33" s="122">
        <f>'【国内】常规用户招募-数据源 （正职）'!AJ33*1.08</f>
        <v>4.86</v>
      </c>
      <c r="AQ33" s="122">
        <f t="shared" si="13"/>
        <v>611.724137931035</v>
      </c>
      <c r="AR33" s="122">
        <f>'【国内】常规用户招募-数据源 （正职）'!AK33</f>
        <v>611.724137931035</v>
      </c>
      <c r="AS33" s="122">
        <f t="shared" si="14"/>
        <v>0</v>
      </c>
      <c r="AT33" s="121">
        <v>250</v>
      </c>
      <c r="AU33" s="150">
        <f t="shared" si="22"/>
        <v>221.093935790725</v>
      </c>
      <c r="AV33" s="150">
        <v>720</v>
      </c>
      <c r="AW33" s="155"/>
      <c r="AX33" s="121">
        <v>29</v>
      </c>
      <c r="AY33" s="122">
        <f>'【国内】常规用户招募-数据源 （正职）'!AQ33*1.3</f>
        <v>0.39</v>
      </c>
      <c r="AZ33" s="122">
        <f>'【国内】常规用户招募-数据源 （正职）'!AS33*0.6</f>
        <v>2.925</v>
      </c>
      <c r="BA33" s="122">
        <f t="shared" si="4"/>
        <v>4.97</v>
      </c>
      <c r="BB33" s="122">
        <f>'【国内】常规用户招募-数据源 （正职）'!AT33*1.1</f>
        <v>4.95</v>
      </c>
      <c r="BC33" s="122">
        <f t="shared" si="15"/>
        <v>679.137931034483</v>
      </c>
      <c r="BD33" s="122">
        <f>'【国内】常规用户招募-数据源 （正职）'!AU33</f>
        <v>679.137931034483</v>
      </c>
      <c r="BE33" s="122">
        <f t="shared" si="16"/>
        <v>0</v>
      </c>
      <c r="BF33" s="121">
        <v>250</v>
      </c>
      <c r="BG33" s="150">
        <f t="shared" si="17"/>
        <v>223.418549346017</v>
      </c>
      <c r="BH33" s="122">
        <f t="shared" si="18"/>
        <v>-26.5814506539834</v>
      </c>
    </row>
    <row r="34" s="149" customFormat="1" spans="1:60">
      <c r="A34" s="167">
        <v>30</v>
      </c>
      <c r="B34" s="122">
        <f>'【国内】常规用户招募-数据源 （正职）'!B34*1.3</f>
        <v>0.39</v>
      </c>
      <c r="C34" s="122">
        <f>'【国内】常规用户招募-数据源 （正职）'!D34*0.6</f>
        <v>1.62</v>
      </c>
      <c r="D34" s="122">
        <f t="shared" si="5"/>
        <v>2.6175</v>
      </c>
      <c r="E34" s="122">
        <f>'【国内】常规用户招募-数据源 （正职）'!E34</f>
        <v>3.4</v>
      </c>
      <c r="F34" s="122">
        <f t="shared" si="6"/>
        <v>399</v>
      </c>
      <c r="G34" s="122">
        <f>'【国内】常规用户招募-数据源 （正职）'!F34</f>
        <v>399</v>
      </c>
      <c r="H34" s="122">
        <f t="shared" si="7"/>
        <v>0</v>
      </c>
      <c r="I34" s="167">
        <v>200</v>
      </c>
      <c r="J34" s="169">
        <f t="shared" si="19"/>
        <v>213.3</v>
      </c>
      <c r="K34" s="150">
        <f t="shared" si="1"/>
        <v>13.3</v>
      </c>
      <c r="L34" s="170">
        <v>690</v>
      </c>
      <c r="M34" s="171"/>
      <c r="N34" s="167">
        <v>30</v>
      </c>
      <c r="O34" s="122">
        <f>'【国内】常规用户招募-数据源 （正职）'!M34*1.3</f>
        <v>0.39</v>
      </c>
      <c r="P34" s="122">
        <f>'【国内】常规用户招募-数据源 （正职）'!O34*0.6</f>
        <v>1.74</v>
      </c>
      <c r="Q34" s="122">
        <f t="shared" si="8"/>
        <v>2.86316666666667</v>
      </c>
      <c r="R34" s="122">
        <f>'【国内】常规用户招募-数据源 （正职）'!P34*0.98</f>
        <v>3.724</v>
      </c>
      <c r="S34" s="122">
        <f t="shared" si="9"/>
        <v>425.666666666667</v>
      </c>
      <c r="T34" s="122">
        <f>'【国内】常规用户招募-数据源 （正职）'!Q34</f>
        <v>425.666666666667</v>
      </c>
      <c r="U34" s="122">
        <f t="shared" si="20"/>
        <v>0</v>
      </c>
      <c r="V34" s="167">
        <v>250</v>
      </c>
      <c r="W34" s="150">
        <f t="shared" si="10"/>
        <v>264.188888888889</v>
      </c>
      <c r="X34" s="170">
        <v>690</v>
      </c>
      <c r="Y34" s="171"/>
      <c r="Z34" s="167">
        <v>30</v>
      </c>
      <c r="AA34" s="122">
        <f>'【国内】常规用户招募-数据源 （正职）'!W34*1.3</f>
        <v>0.52</v>
      </c>
      <c r="AB34" s="122">
        <f>'【国内】常规用户招募-数据源 （正职）'!Y34*0.6</f>
        <v>2.4</v>
      </c>
      <c r="AC34" s="122">
        <f t="shared" si="2"/>
        <v>3.73333333333333</v>
      </c>
      <c r="AD34" s="122">
        <f>'【国内】常规用户招募-数据源 （正职）'!Z34*1.2</f>
        <v>5.04</v>
      </c>
      <c r="AE34" s="122">
        <f t="shared" si="11"/>
        <v>574</v>
      </c>
      <c r="AF34" s="122">
        <f>'【国内】常规用户招募-数据源 （正职）'!AA34</f>
        <v>574</v>
      </c>
      <c r="AG34" s="122">
        <f t="shared" si="12"/>
        <v>0</v>
      </c>
      <c r="AH34" s="167">
        <v>250</v>
      </c>
      <c r="AI34" s="169">
        <f t="shared" si="21"/>
        <v>269.133333333333</v>
      </c>
      <c r="AJ34" s="169">
        <v>700</v>
      </c>
      <c r="AK34" s="171"/>
      <c r="AL34" s="167">
        <v>30</v>
      </c>
      <c r="AM34" s="122">
        <f>'【国内】常规用户招募-数据源 （正职）'!AG34*1.3</f>
        <v>0.65</v>
      </c>
      <c r="AN34" s="122">
        <f>'【国内】常规用户招募-数据源 （正职）'!AI34*0.6</f>
        <v>2.58</v>
      </c>
      <c r="AO34" s="122">
        <f t="shared" si="3"/>
        <v>4.04383333333333</v>
      </c>
      <c r="AP34" s="122">
        <f>'【国内】常规用户招募-数据源 （正职）'!AJ34*1.08</f>
        <v>4.968</v>
      </c>
      <c r="AQ34" s="122">
        <f t="shared" si="13"/>
        <v>631.666666666667</v>
      </c>
      <c r="AR34" s="122">
        <f>'【国内】常规用户招募-数据源 （正职）'!AK34</f>
        <v>631.666666666667</v>
      </c>
      <c r="AS34" s="122">
        <f t="shared" si="14"/>
        <v>0</v>
      </c>
      <c r="AT34" s="167">
        <v>250</v>
      </c>
      <c r="AU34" s="169">
        <f t="shared" si="22"/>
        <v>221.055555555556</v>
      </c>
      <c r="AV34" s="169">
        <v>720</v>
      </c>
      <c r="AW34" s="171"/>
      <c r="AX34" s="167">
        <v>30</v>
      </c>
      <c r="AY34" s="122">
        <f>'【国内】常规用户招募-数据源 （正职）'!AQ34*1.3</f>
        <v>0.65</v>
      </c>
      <c r="AZ34" s="122">
        <f>'【国内】常规用户招募-数据源 （正职）'!AS34*0.6</f>
        <v>3</v>
      </c>
      <c r="BA34" s="122">
        <f t="shared" si="4"/>
        <v>4.81416666666667</v>
      </c>
      <c r="BB34" s="122">
        <f>'【国内】常规用户招募-数据源 （正职）'!AT34*1.1</f>
        <v>5.06</v>
      </c>
      <c r="BC34" s="122">
        <f t="shared" si="15"/>
        <v>711</v>
      </c>
      <c r="BD34" s="122">
        <f>'【国内】常规用户招募-数据源 （正职）'!AU34</f>
        <v>711</v>
      </c>
      <c r="BE34" s="122">
        <f t="shared" si="16"/>
        <v>0</v>
      </c>
      <c r="BF34" s="167">
        <v>250</v>
      </c>
      <c r="BG34" s="169">
        <f t="shared" si="17"/>
        <v>223.7</v>
      </c>
      <c r="BH34" s="122">
        <f t="shared" si="18"/>
        <v>-26.3</v>
      </c>
    </row>
    <row r="35" spans="1:60">
      <c r="A35" s="121">
        <v>31</v>
      </c>
      <c r="B35" s="122">
        <f>'【国内】常规用户招募-数据源 （正职）'!B35*1.3</f>
        <v>0.39</v>
      </c>
      <c r="C35" s="122">
        <f>'【国内】常规用户招募-数据源 （正职）'!D35*0.6</f>
        <v>1.68</v>
      </c>
      <c r="D35" s="122">
        <f t="shared" si="5"/>
        <v>2.73083333333333</v>
      </c>
      <c r="E35" s="122">
        <f>'【国内】常规用户招募-数据源 （正职）'!E35</f>
        <v>3.6</v>
      </c>
      <c r="F35" s="122">
        <f t="shared" si="6"/>
        <v>399.032258064516</v>
      </c>
      <c r="G35" s="122">
        <f>'【国内】常规用户招募-数据源 （正职）'!F35</f>
        <v>399.032258064516</v>
      </c>
      <c r="H35" s="122">
        <f t="shared" si="7"/>
        <v>0</v>
      </c>
      <c r="I35" s="121">
        <v>200</v>
      </c>
      <c r="J35" s="150">
        <f t="shared" si="19"/>
        <v>212.872008324662</v>
      </c>
      <c r="K35" s="150">
        <f t="shared" si="1"/>
        <v>12.8720083246618</v>
      </c>
      <c r="L35" s="159">
        <v>690</v>
      </c>
      <c r="M35" s="155"/>
      <c r="N35" s="121">
        <v>31</v>
      </c>
      <c r="O35" s="122">
        <f>'【国内】常规用户招募-数据源 （正职）'!M35*1.3</f>
        <v>0.39</v>
      </c>
      <c r="P35" s="122">
        <f>'【国内】常规用户招募-数据源 （正职）'!O35*0.6</f>
        <v>1.74</v>
      </c>
      <c r="Q35" s="122">
        <f t="shared" si="8"/>
        <v>2.86316666666667</v>
      </c>
      <c r="R35" s="122">
        <f>'【国内】常规用户招募-数据源 （正职）'!P35*0.98</f>
        <v>3.724</v>
      </c>
      <c r="S35" s="122">
        <f t="shared" si="9"/>
        <v>411.935483870968</v>
      </c>
      <c r="T35" s="122">
        <f>'【国内】常规用户招募-数据源 （正职）'!Q35</f>
        <v>411.935483870968</v>
      </c>
      <c r="U35" s="122">
        <f t="shared" si="20"/>
        <v>0</v>
      </c>
      <c r="V35" s="121">
        <v>250</v>
      </c>
      <c r="W35" s="150">
        <f t="shared" si="10"/>
        <v>263.288241415192</v>
      </c>
      <c r="X35" s="159">
        <v>690</v>
      </c>
      <c r="Y35" s="155"/>
      <c r="Z35" s="121">
        <v>31</v>
      </c>
      <c r="AA35" s="122">
        <f>'【国内】常规用户招募-数据源 （正职）'!W35*1.3</f>
        <v>0.52</v>
      </c>
      <c r="AB35" s="122">
        <f>'【国内】常规用户招募-数据源 （正职）'!Y35*0.6</f>
        <v>2.46</v>
      </c>
      <c r="AC35" s="122">
        <f t="shared" si="2"/>
        <v>3.84666666666667</v>
      </c>
      <c r="AD35" s="122">
        <f>'【国内】常规用户招募-数据源 （正职）'!Z35*1.2</f>
        <v>5.04</v>
      </c>
      <c r="AE35" s="122">
        <f t="shared" si="11"/>
        <v>566.451612903226</v>
      </c>
      <c r="AF35" s="122">
        <f>'【国内】常规用户招募-数据源 （正职）'!AA35</f>
        <v>566.451612903226</v>
      </c>
      <c r="AG35" s="122">
        <f t="shared" si="12"/>
        <v>0</v>
      </c>
      <c r="AH35" s="121">
        <v>250</v>
      </c>
      <c r="AI35" s="150">
        <f t="shared" si="21"/>
        <v>268.272632674298</v>
      </c>
      <c r="AJ35" s="150">
        <v>700</v>
      </c>
      <c r="AK35" s="155"/>
      <c r="AL35" s="121">
        <v>31</v>
      </c>
      <c r="AM35" s="122">
        <f>'【国内】常规用户招募-数据源 （正职）'!AG35*1.3</f>
        <v>0.65</v>
      </c>
      <c r="AN35" s="122">
        <f>'【国内】常规用户招募-数据源 （正职）'!AI35*0.6</f>
        <v>2.7</v>
      </c>
      <c r="AO35" s="122">
        <f t="shared" si="3"/>
        <v>4.2705</v>
      </c>
      <c r="AP35" s="122">
        <f>'【国内】常规用户招募-数据源 （正职）'!AJ35*1.08</f>
        <v>4.968</v>
      </c>
      <c r="AQ35" s="122">
        <f t="shared" si="13"/>
        <v>633.225806451613</v>
      </c>
      <c r="AR35" s="122">
        <f>'【国内】常规用户招募-数据源 （正职）'!AK35</f>
        <v>633.225806451613</v>
      </c>
      <c r="AS35" s="122">
        <f t="shared" si="14"/>
        <v>0</v>
      </c>
      <c r="AT35" s="121">
        <v>250</v>
      </c>
      <c r="AU35" s="150">
        <f t="shared" si="22"/>
        <v>220.426638917794</v>
      </c>
      <c r="AV35" s="150">
        <v>720</v>
      </c>
      <c r="AW35" s="155"/>
      <c r="AX35" s="121">
        <v>31</v>
      </c>
      <c r="AY35" s="122">
        <f>'【国内】常规用户招募-数据源 （正职）'!AQ35*1.3</f>
        <v>0.65</v>
      </c>
      <c r="AZ35" s="122">
        <f>'【国内】常规用户招募-数据源 （正职）'!AS35*0.6</f>
        <v>3.075</v>
      </c>
      <c r="BA35" s="122">
        <f t="shared" si="4"/>
        <v>4.95583333333333</v>
      </c>
      <c r="BB35" s="122">
        <f>'【国内】常规用户招募-数据源 （正职）'!AT35*1.1</f>
        <v>5.06</v>
      </c>
      <c r="BC35" s="122">
        <f t="shared" si="15"/>
        <v>701.774193548387</v>
      </c>
      <c r="BD35" s="122">
        <f>'【国内】常规用户招募-数据源 （正职）'!AU35</f>
        <v>701.774193548387</v>
      </c>
      <c r="BE35" s="122">
        <f t="shared" si="16"/>
        <v>0</v>
      </c>
      <c r="BF35" s="121">
        <v>250</v>
      </c>
      <c r="BG35" s="150">
        <f t="shared" si="17"/>
        <v>222.637877211238</v>
      </c>
      <c r="BH35" s="122">
        <f t="shared" si="18"/>
        <v>-27.3621227887617</v>
      </c>
    </row>
    <row r="36" spans="1:60">
      <c r="A36" s="121">
        <v>32</v>
      </c>
      <c r="B36" s="122">
        <f>'【国内】常规用户招募-数据源 （正职）'!B36*1.3</f>
        <v>0.39</v>
      </c>
      <c r="C36" s="122">
        <f>'【国内】常规用户招募-数据源 （正职）'!D36*0.6</f>
        <v>1.74</v>
      </c>
      <c r="D36" s="122">
        <f t="shared" si="5"/>
        <v>2.84416666666667</v>
      </c>
      <c r="E36" s="122">
        <f>'【国内】常规用户招募-数据源 （正职）'!E36</f>
        <v>3.6</v>
      </c>
      <c r="F36" s="122">
        <f t="shared" si="6"/>
        <v>397.1875</v>
      </c>
      <c r="G36" s="122">
        <f>'【国内】常规用户招募-数据源 （正职）'!F36</f>
        <v>397.1875</v>
      </c>
      <c r="H36" s="122">
        <f t="shared" si="7"/>
        <v>0</v>
      </c>
      <c r="I36" s="121">
        <v>200</v>
      </c>
      <c r="J36" s="150">
        <f t="shared" si="19"/>
        <v>212.412109375</v>
      </c>
      <c r="K36" s="150">
        <f t="shared" si="1"/>
        <v>12.412109375</v>
      </c>
      <c r="L36" s="159">
        <v>690</v>
      </c>
      <c r="M36" s="155"/>
      <c r="N36" s="121">
        <v>32</v>
      </c>
      <c r="O36" s="122">
        <f>'【国内】常规用户招募-数据源 （正职）'!M36*1.3</f>
        <v>0.39</v>
      </c>
      <c r="P36" s="122">
        <f>'【国内】常规用户招募-数据源 （正职）'!O36*0.6</f>
        <v>1.86</v>
      </c>
      <c r="Q36" s="122">
        <f t="shared" si="8"/>
        <v>3.08983333333333</v>
      </c>
      <c r="R36" s="122">
        <f>'【国内】常规用户招募-数据源 （正职）'!P36*0.98</f>
        <v>3.724</v>
      </c>
      <c r="S36" s="122">
        <f t="shared" si="9"/>
        <v>420.3125</v>
      </c>
      <c r="T36" s="122">
        <f>'【国内】常规用户招募-数据源 （正职）'!Q36</f>
        <v>420.3125</v>
      </c>
      <c r="U36" s="122">
        <f t="shared" si="20"/>
        <v>0</v>
      </c>
      <c r="V36" s="121">
        <v>250</v>
      </c>
      <c r="W36" s="150">
        <f t="shared" si="10"/>
        <v>263.134765625</v>
      </c>
      <c r="X36" s="159">
        <v>690</v>
      </c>
      <c r="Y36" s="155"/>
      <c r="Z36" s="121">
        <v>32</v>
      </c>
      <c r="AA36" s="122">
        <f>'【国内】常规用户招募-数据源 （正职）'!W36*1.3</f>
        <v>0.52</v>
      </c>
      <c r="AB36" s="122">
        <f>'【国内】常规用户招募-数据源 （正职）'!Y36*0.6</f>
        <v>2.52</v>
      </c>
      <c r="AC36" s="122">
        <f t="shared" si="2"/>
        <v>3.96</v>
      </c>
      <c r="AD36" s="122">
        <f>'【国内】常规用户招募-数据源 （正职）'!Z36*1.2</f>
        <v>5.04</v>
      </c>
      <c r="AE36" s="122">
        <f t="shared" si="11"/>
        <v>559.375</v>
      </c>
      <c r="AF36" s="122">
        <f>'【国内】常规用户招募-数据源 （正职）'!AA36</f>
        <v>559.375</v>
      </c>
      <c r="AG36" s="122">
        <f t="shared" si="12"/>
        <v>0</v>
      </c>
      <c r="AH36" s="121">
        <v>250</v>
      </c>
      <c r="AI36" s="150">
        <f t="shared" si="21"/>
        <v>267.48046875</v>
      </c>
      <c r="AJ36" s="150">
        <v>700</v>
      </c>
      <c r="AK36" s="155"/>
      <c r="AL36" s="121">
        <v>32</v>
      </c>
      <c r="AM36" s="122">
        <f>'【国内】常规用户招募-数据源 （正职）'!AG36*1.3</f>
        <v>0.65</v>
      </c>
      <c r="AN36" s="122">
        <f>'【国内】常规用户招募-数据源 （正职）'!AI36*0.6</f>
        <v>2.76</v>
      </c>
      <c r="AO36" s="122">
        <f t="shared" si="3"/>
        <v>4.38383333333333</v>
      </c>
      <c r="AP36" s="122">
        <f>'【国内】常规用户招募-数据源 （正职）'!AJ36*1.08</f>
        <v>4.968</v>
      </c>
      <c r="AQ36" s="122">
        <f t="shared" si="13"/>
        <v>624.0625</v>
      </c>
      <c r="AR36" s="122">
        <f>'【国内】常规用户招募-数据源 （正职）'!AK36</f>
        <v>624.0625</v>
      </c>
      <c r="AS36" s="122">
        <f t="shared" si="14"/>
        <v>0</v>
      </c>
      <c r="AT36" s="121">
        <v>250</v>
      </c>
      <c r="AU36" s="150">
        <f t="shared" si="22"/>
        <v>219.501953125</v>
      </c>
      <c r="AV36" s="150">
        <v>720</v>
      </c>
      <c r="AW36" s="155"/>
      <c r="AX36" s="121">
        <v>32</v>
      </c>
      <c r="AY36" s="122">
        <f>'【国内】常规用户招募-数据源 （正职）'!AQ36*1.3</f>
        <v>0.65</v>
      </c>
      <c r="AZ36" s="122">
        <f>'【国内】常规用户招募-数据源 （正职）'!AS36*0.6</f>
        <v>3.15</v>
      </c>
      <c r="BA36" s="122">
        <f t="shared" si="4"/>
        <v>5.0975</v>
      </c>
      <c r="BB36" s="122">
        <f>'【国内】常规用户招募-数据源 （正职）'!AT36*1.1</f>
        <v>5.06</v>
      </c>
      <c r="BC36" s="122">
        <f t="shared" si="15"/>
        <v>693.125</v>
      </c>
      <c r="BD36" s="122">
        <f>'【国内】常规用户招募-数据源 （正职）'!AU36</f>
        <v>693.125</v>
      </c>
      <c r="BE36" s="122">
        <f t="shared" si="16"/>
        <v>0</v>
      </c>
      <c r="BF36" s="121">
        <v>250</v>
      </c>
      <c r="BG36" s="150">
        <f t="shared" si="17"/>
        <v>221.66015625</v>
      </c>
      <c r="BH36" s="122">
        <f t="shared" si="18"/>
        <v>-28.33984375</v>
      </c>
    </row>
    <row r="37" spans="1:60">
      <c r="A37" s="121">
        <v>33</v>
      </c>
      <c r="B37" s="122">
        <f>'【国内】常规用户招募-数据源 （正职）'!B37*1.3</f>
        <v>0.39</v>
      </c>
      <c r="C37" s="122">
        <f>'【国内】常规用户招募-数据源 （正职）'!D37*0.6</f>
        <v>1.8</v>
      </c>
      <c r="D37" s="122">
        <f t="shared" si="5"/>
        <v>2.9575</v>
      </c>
      <c r="E37" s="122">
        <f>'【国内】常规用户招募-数据源 （正职）'!E37</f>
        <v>3.8</v>
      </c>
      <c r="F37" s="122">
        <f t="shared" si="6"/>
        <v>397.272727272727</v>
      </c>
      <c r="G37" s="122">
        <f>'【国内】常规用户招募-数据源 （正职）'!F37</f>
        <v>397.272727272727</v>
      </c>
      <c r="H37" s="122">
        <f t="shared" si="7"/>
        <v>0</v>
      </c>
      <c r="I37" s="121">
        <v>200</v>
      </c>
      <c r="J37" s="150">
        <f t="shared" si="19"/>
        <v>212.038567493113</v>
      </c>
      <c r="K37" s="150">
        <f t="shared" ref="K37:K54" si="23">J37-I37</f>
        <v>12.0385674931129</v>
      </c>
      <c r="L37" s="159">
        <v>690</v>
      </c>
      <c r="M37" s="155"/>
      <c r="N37" s="121">
        <v>33</v>
      </c>
      <c r="O37" s="122">
        <f>'【国内】常规用户招募-数据源 （正职）'!M37*1.3</f>
        <v>0.39</v>
      </c>
      <c r="P37" s="122">
        <f>'【国内】常规用户招募-数据源 （正职）'!O37*0.6</f>
        <v>1.86</v>
      </c>
      <c r="Q37" s="122">
        <f t="shared" si="8"/>
        <v>3.09083333333333</v>
      </c>
      <c r="R37" s="122">
        <f>'【国内】常规用户招募-数据源 （正职）'!P37*0.98</f>
        <v>3.92</v>
      </c>
      <c r="S37" s="122">
        <f t="shared" si="9"/>
        <v>409.393939393939</v>
      </c>
      <c r="T37" s="122">
        <f>'【国内】常规用户招募-数据源 （正职）'!Q37</f>
        <v>409.393939393939</v>
      </c>
      <c r="U37" s="122">
        <f t="shared" si="20"/>
        <v>0</v>
      </c>
      <c r="V37" s="121">
        <v>250</v>
      </c>
      <c r="W37" s="150">
        <f t="shared" si="10"/>
        <v>262.405876951331</v>
      </c>
      <c r="X37" s="159">
        <v>690</v>
      </c>
      <c r="Y37" s="155"/>
      <c r="Z37" s="121">
        <v>33</v>
      </c>
      <c r="AA37" s="122">
        <f>'【国内】常规用户招募-数据源 （正职）'!W37*1.3</f>
        <v>0.52</v>
      </c>
      <c r="AB37" s="122">
        <f>'【国内】常规用户招募-数据源 （正职）'!Y37*0.6</f>
        <v>2.58</v>
      </c>
      <c r="AC37" s="122">
        <f t="shared" ref="AC37:AC54" si="24">(AF37*Z37-AA37*5900-AB37*3400-AD37*300)/1200</f>
        <v>4.06333333333334</v>
      </c>
      <c r="AD37" s="122">
        <f>'【国内】常规用户招募-数据源 （正职）'!Z37*1.2</f>
        <v>5.28</v>
      </c>
      <c r="AE37" s="122">
        <f t="shared" si="11"/>
        <v>554.545454545455</v>
      </c>
      <c r="AF37" s="122">
        <f>'【国内】常规用户招募-数据源 （正职）'!AA37</f>
        <v>554.545454545455</v>
      </c>
      <c r="AG37" s="122">
        <f t="shared" si="12"/>
        <v>0</v>
      </c>
      <c r="AH37" s="121">
        <v>250</v>
      </c>
      <c r="AI37" s="150">
        <f t="shared" si="21"/>
        <v>266.804407713499</v>
      </c>
      <c r="AJ37" s="150">
        <v>700</v>
      </c>
      <c r="AK37" s="155"/>
      <c r="AL37" s="121">
        <v>33</v>
      </c>
      <c r="AM37" s="122">
        <f>'【国内】常规用户招募-数据源 （正职）'!AG37*1.3</f>
        <v>0.65</v>
      </c>
      <c r="AN37" s="122">
        <f>'【国内】常规用户招募-数据源 （正职）'!AI37*0.6</f>
        <v>2.94</v>
      </c>
      <c r="AO37" s="122">
        <f t="shared" ref="AO37:AO54" si="25">(AR37*AL37-AM37*5900-AN37*3400-AP37*300)/1200</f>
        <v>4.71983333333333</v>
      </c>
      <c r="AP37" s="122">
        <f>'【国内】常规用户招募-数据源 （正职）'!AJ37*1.08</f>
        <v>5.184</v>
      </c>
      <c r="AQ37" s="122">
        <f t="shared" si="13"/>
        <v>637.878787878788</v>
      </c>
      <c r="AR37" s="122">
        <f>'【国内】常规用户招募-数据源 （正职）'!AK37</f>
        <v>637.878787878788</v>
      </c>
      <c r="AS37" s="122">
        <f t="shared" si="14"/>
        <v>0</v>
      </c>
      <c r="AT37" s="121">
        <v>250</v>
      </c>
      <c r="AU37" s="150">
        <f t="shared" si="22"/>
        <v>219.329660238751</v>
      </c>
      <c r="AV37" s="150">
        <v>720</v>
      </c>
      <c r="AW37" s="155"/>
      <c r="AX37" s="121">
        <v>33</v>
      </c>
      <c r="AY37" s="122">
        <f>'【国内】常规用户招募-数据源 （正职）'!AQ37*1.3</f>
        <v>0.65</v>
      </c>
      <c r="AZ37" s="122">
        <f>'【国内】常规用户招募-数据源 （正职）'!AS37*0.6</f>
        <v>3.225</v>
      </c>
      <c r="BA37" s="122">
        <f t="shared" ref="BA37:BA54" si="26">(BD37*AX37-AY37*5900-AZ37*3400-BB37*300)/1200</f>
        <v>5.23416666666667</v>
      </c>
      <c r="BB37" s="122">
        <f>'【国内】常规用户招募-数据源 （正职）'!AT37*1.1</f>
        <v>5.28</v>
      </c>
      <c r="BC37" s="122">
        <f t="shared" si="15"/>
        <v>686.818181818182</v>
      </c>
      <c r="BD37" s="122">
        <f>'【国内】常规用户招募-数据源 （正职）'!AU37</f>
        <v>686.818181818182</v>
      </c>
      <c r="BE37" s="122">
        <f t="shared" si="16"/>
        <v>0</v>
      </c>
      <c r="BF37" s="121">
        <v>250</v>
      </c>
      <c r="BG37" s="150">
        <f t="shared" si="17"/>
        <v>220.812672176309</v>
      </c>
      <c r="BH37" s="122">
        <f t="shared" si="18"/>
        <v>-29.1873278236914</v>
      </c>
    </row>
    <row r="38" spans="1:60">
      <c r="A38" s="121">
        <v>34</v>
      </c>
      <c r="B38" s="122">
        <f>'【国内】常规用户招募-数据源 （正职）'!B38*1.3</f>
        <v>0.39</v>
      </c>
      <c r="C38" s="122">
        <f>'【国内】常规用户招募-数据源 （正职）'!D38*0.6</f>
        <v>1.86</v>
      </c>
      <c r="D38" s="122">
        <f t="shared" ref="D38:D54" si="27">(G38*A38-B38*5900-C38*3400-E38*300)/1200</f>
        <v>3.07083333333333</v>
      </c>
      <c r="E38" s="122">
        <f>'【国内】常规用户招募-数据源 （正职）'!E38</f>
        <v>3.8</v>
      </c>
      <c r="F38" s="122">
        <f t="shared" ref="F38:F54" si="28">(B38*5900+C38*3400+D38*1200+E38*300)/A38</f>
        <v>395.588235294118</v>
      </c>
      <c r="G38" s="122">
        <f>'【国内】常规用户招募-数据源 （正职）'!F38</f>
        <v>395.588235294118</v>
      </c>
      <c r="H38" s="122">
        <f t="shared" ref="H38:H54" si="29">G38-F38</f>
        <v>0</v>
      </c>
      <c r="I38" s="121">
        <v>200</v>
      </c>
      <c r="J38" s="150">
        <f t="shared" ref="J38:J54" si="30">(F38+I38*A38)/A38</f>
        <v>211.634948096886</v>
      </c>
      <c r="K38" s="150">
        <f t="shared" si="23"/>
        <v>11.6349480968858</v>
      </c>
      <c r="L38" s="159">
        <v>690</v>
      </c>
      <c r="M38" s="155"/>
      <c r="N38" s="121">
        <v>34</v>
      </c>
      <c r="O38" s="122">
        <f>'【国内】常规用户招募-数据源 （正职）'!M38*1.3</f>
        <v>0.39</v>
      </c>
      <c r="P38" s="122">
        <f>'【国内】常规用户招募-数据源 （正职）'!O38*0.6</f>
        <v>1.98</v>
      </c>
      <c r="Q38" s="122">
        <f t="shared" ref="Q38:Q54" si="31">(T38*N38-O38*5900-P38*3400-R38*300)/1200</f>
        <v>3.3175</v>
      </c>
      <c r="R38" s="122">
        <f>'【国内】常规用户招募-数据源 （正职）'!P38*0.98</f>
        <v>3.92</v>
      </c>
      <c r="S38" s="122">
        <f t="shared" ref="S38:S54" si="32">(O38*5900+P38*3400+Q38*1200+R38*300)/N38</f>
        <v>417.352941176471</v>
      </c>
      <c r="T38" s="122">
        <f>'【国内】常规用户招募-数据源 （正职）'!Q38</f>
        <v>417.352941176471</v>
      </c>
      <c r="U38" s="122">
        <f t="shared" ref="U38:U54" si="33">T38-S38</f>
        <v>0</v>
      </c>
      <c r="V38" s="121">
        <v>250</v>
      </c>
      <c r="W38" s="150">
        <f t="shared" ref="W38:W54" si="34">(S38+V38*N38)/N38</f>
        <v>262.27508650519</v>
      </c>
      <c r="X38" s="159">
        <v>690</v>
      </c>
      <c r="Y38" s="155"/>
      <c r="Z38" s="121">
        <v>34</v>
      </c>
      <c r="AA38" s="122">
        <f>'【国内】常规用户招募-数据源 （正职）'!W38*1.3</f>
        <v>0.52</v>
      </c>
      <c r="AB38" s="122">
        <f>'【国内】常规用户招募-数据源 （正职）'!Y38*0.6</f>
        <v>2.64</v>
      </c>
      <c r="AC38" s="122">
        <f t="shared" si="24"/>
        <v>4.17666666666667</v>
      </c>
      <c r="AD38" s="122">
        <f>'【国内】常规用户招募-数据源 （正职）'!Z38*1.2</f>
        <v>5.28</v>
      </c>
      <c r="AE38" s="122">
        <f t="shared" ref="AE38:AE54" si="35">(AA38*5900+AB38*3400+AC38*1200+AD38*300)/Z38</f>
        <v>548.235294117647</v>
      </c>
      <c r="AF38" s="122">
        <f>'【国内】常规用户招募-数据源 （正职）'!AA38</f>
        <v>548.235294117647</v>
      </c>
      <c r="AG38" s="122">
        <f t="shared" ref="AG38:AG54" si="36">AF38-AE38</f>
        <v>0</v>
      </c>
      <c r="AH38" s="121">
        <v>250</v>
      </c>
      <c r="AI38" s="150">
        <f t="shared" ref="AI38:AI54" si="37">(AE38+AH38*Z38)/Z38</f>
        <v>266.124567474048</v>
      </c>
      <c r="AJ38" s="150">
        <v>700</v>
      </c>
      <c r="AK38" s="155"/>
      <c r="AL38" s="121">
        <v>34</v>
      </c>
      <c r="AM38" s="122">
        <f>'【国内】常规用户招募-数据源 （正职）'!AG38*1.3</f>
        <v>0.65</v>
      </c>
      <c r="AN38" s="122">
        <f>'【国内】常规用户招募-数据源 （正职）'!AI38*0.6</f>
        <v>3.06</v>
      </c>
      <c r="AO38" s="122">
        <f t="shared" si="25"/>
        <v>4.9465</v>
      </c>
      <c r="AP38" s="122">
        <f>'【国内】常规用户招募-数据源 （正职）'!AJ38*1.08</f>
        <v>5.184</v>
      </c>
      <c r="AQ38" s="122">
        <f t="shared" ref="AQ38:AQ54" si="38">(AM38*5900+AN38*3400+AO38*1200+AP38*300)/AL38</f>
        <v>639.117647058824</v>
      </c>
      <c r="AR38" s="122">
        <f>'【国内】常规用户招募-数据源 （正职）'!AK38</f>
        <v>639.117647058824</v>
      </c>
      <c r="AS38" s="122">
        <f t="shared" ref="AS38:AS54" si="39">AR38-AQ38</f>
        <v>0</v>
      </c>
      <c r="AT38" s="121">
        <v>250</v>
      </c>
      <c r="AU38" s="150">
        <f t="shared" ref="AU38:AU54" si="40">(AQ38+200*AL38)/AL38</f>
        <v>218.797577854671</v>
      </c>
      <c r="AV38" s="150">
        <v>720</v>
      </c>
      <c r="AW38" s="155"/>
      <c r="AX38" s="121">
        <v>34</v>
      </c>
      <c r="AY38" s="122">
        <f>'【国内】常规用户招募-数据源 （正职）'!AQ38*1.3</f>
        <v>0.65</v>
      </c>
      <c r="AZ38" s="122">
        <f>'【国内】常规用户招募-数据源 （正职）'!AS38*0.6</f>
        <v>3.3</v>
      </c>
      <c r="BA38" s="122">
        <f t="shared" si="26"/>
        <v>5.37583333333333</v>
      </c>
      <c r="BB38" s="122">
        <f>'【国内】常规用户招募-数据源 （正职）'!AT38*1.1</f>
        <v>5.28</v>
      </c>
      <c r="BC38" s="122">
        <f t="shared" ref="BC38:BC54" si="41">(AY38*5900+AZ38*3400+BA38*1200+BB38*300)/AX38</f>
        <v>679.117647058824</v>
      </c>
      <c r="BD38" s="122">
        <f>'【国内】常规用户招募-数据源 （正职）'!AU38</f>
        <v>679.117647058824</v>
      </c>
      <c r="BE38" s="122">
        <f t="shared" si="16"/>
        <v>0</v>
      </c>
      <c r="BF38" s="121">
        <v>250</v>
      </c>
      <c r="BG38" s="150">
        <f t="shared" ref="BG38:BG54" si="42">(BC38+200*AX38)/AX38</f>
        <v>219.974048442907</v>
      </c>
      <c r="BH38" s="122">
        <f t="shared" ref="BH38:BH54" si="43">BG38-BF38</f>
        <v>-30.0259515570934</v>
      </c>
    </row>
    <row r="39" s="148" customFormat="1" spans="1:60">
      <c r="A39" s="121">
        <v>35</v>
      </c>
      <c r="B39" s="122">
        <f>'【国内】常规用户招募-数据源 （正职）'!B39*1.3</f>
        <v>0.39</v>
      </c>
      <c r="C39" s="122">
        <f>'【国内】常规用户招募-数据源 （正职）'!D39*0.6</f>
        <v>1.92</v>
      </c>
      <c r="D39" s="122">
        <f t="shared" si="27"/>
        <v>3.18416666666667</v>
      </c>
      <c r="E39" s="122">
        <f>'【国内】常规用户招募-数据源 （正职）'!E39</f>
        <v>4</v>
      </c>
      <c r="F39" s="122">
        <f t="shared" si="28"/>
        <v>395.714285714286</v>
      </c>
      <c r="G39" s="122">
        <f>'【国内】常规用户招募-数据源 （正职）'!F39</f>
        <v>395.714285714286</v>
      </c>
      <c r="H39" s="122">
        <f t="shared" si="29"/>
        <v>0</v>
      </c>
      <c r="I39" s="121">
        <v>200</v>
      </c>
      <c r="J39" s="150">
        <f t="shared" si="30"/>
        <v>211.30612244898</v>
      </c>
      <c r="K39" s="150">
        <f t="shared" si="23"/>
        <v>11.3061224489796</v>
      </c>
      <c r="L39" s="159">
        <v>690</v>
      </c>
      <c r="M39" s="155"/>
      <c r="N39" s="121">
        <v>35</v>
      </c>
      <c r="O39" s="122">
        <f>'【国内】常规用户招募-数据源 （正职）'!M39*1.3</f>
        <v>0.39</v>
      </c>
      <c r="P39" s="122">
        <f>'【国内】常规用户招募-数据源 （正职）'!O39*0.6</f>
        <v>1.98</v>
      </c>
      <c r="Q39" s="122">
        <f t="shared" si="31"/>
        <v>3.3195</v>
      </c>
      <c r="R39" s="122">
        <f>'【国内】常规用户招募-数据源 （正职）'!P39*0.98</f>
        <v>4.312</v>
      </c>
      <c r="S39" s="122">
        <f t="shared" si="32"/>
        <v>408.857142857143</v>
      </c>
      <c r="T39" s="122">
        <f>'【国内】常规用户招募-数据源 （正职）'!Q39</f>
        <v>408.857142857143</v>
      </c>
      <c r="U39" s="122">
        <f t="shared" si="33"/>
        <v>0</v>
      </c>
      <c r="V39" s="121">
        <v>250</v>
      </c>
      <c r="W39" s="150">
        <f t="shared" si="34"/>
        <v>261.681632653061</v>
      </c>
      <c r="X39" s="159">
        <v>690</v>
      </c>
      <c r="Y39" s="155"/>
      <c r="Z39" s="121">
        <v>35</v>
      </c>
      <c r="AA39" s="122">
        <f>'【国内】常规用户招募-数据源 （正职）'!W39*1.3</f>
        <v>0.52</v>
      </c>
      <c r="AB39" s="122">
        <f>'【国内】常规用户招募-数据源 （正职）'!Y39*0.6</f>
        <v>2.7</v>
      </c>
      <c r="AC39" s="122">
        <f t="shared" si="24"/>
        <v>4.27</v>
      </c>
      <c r="AD39" s="122">
        <f>'【国内】常规用户招募-数据源 （正职）'!Z39*1.2</f>
        <v>5.76</v>
      </c>
      <c r="AE39" s="122">
        <f t="shared" si="35"/>
        <v>545.714285714286</v>
      </c>
      <c r="AF39" s="122">
        <f>'【国内】常规用户招募-数据源 （正职）'!AA39</f>
        <v>545.714285714286</v>
      </c>
      <c r="AG39" s="122">
        <f t="shared" si="36"/>
        <v>0</v>
      </c>
      <c r="AH39" s="121">
        <v>250</v>
      </c>
      <c r="AI39" s="150">
        <f t="shared" si="37"/>
        <v>265.591836734694</v>
      </c>
      <c r="AJ39" s="150">
        <v>700</v>
      </c>
      <c r="AK39" s="155"/>
      <c r="AL39" s="121">
        <v>35</v>
      </c>
      <c r="AM39" s="122">
        <f>'【国内】常规用户招募-数据源 （正职）'!AG39*1.3</f>
        <v>0.65</v>
      </c>
      <c r="AN39" s="122">
        <f>'【国内】常规用户招募-数据源 （正职）'!AI39*0.6</f>
        <v>3.18</v>
      </c>
      <c r="AO39" s="122">
        <f t="shared" si="25"/>
        <v>5.16516666666667</v>
      </c>
      <c r="AP39" s="122">
        <f>'【国内】常规用户招募-数据源 （正职）'!AJ39*1.08</f>
        <v>5.616</v>
      </c>
      <c r="AQ39" s="122">
        <f t="shared" si="38"/>
        <v>643.714285714286</v>
      </c>
      <c r="AR39" s="122">
        <f>'【国内】常规用户招募-数据源 （正职）'!AK39</f>
        <v>643.714285714286</v>
      </c>
      <c r="AS39" s="122">
        <f t="shared" si="39"/>
        <v>0</v>
      </c>
      <c r="AT39" s="121">
        <v>250</v>
      </c>
      <c r="AU39" s="150">
        <f t="shared" si="40"/>
        <v>218.391836734694</v>
      </c>
      <c r="AV39" s="150">
        <v>720</v>
      </c>
      <c r="AW39" s="155"/>
      <c r="AX39" s="121">
        <v>35</v>
      </c>
      <c r="AY39" s="122">
        <f>'【国内】常规用户招募-数据源 （正职）'!AQ39*1.3</f>
        <v>0.65</v>
      </c>
      <c r="AZ39" s="122">
        <f>'【国内】常规用户招募-数据源 （正职）'!AS39*0.6</f>
        <v>3.375</v>
      </c>
      <c r="BA39" s="122">
        <f t="shared" si="26"/>
        <v>5.5075</v>
      </c>
      <c r="BB39" s="122">
        <f>'【国内】常规用户招募-数据源 （正职）'!AT39*1.1</f>
        <v>5.72</v>
      </c>
      <c r="BC39" s="122">
        <f t="shared" si="41"/>
        <v>675.285714285714</v>
      </c>
      <c r="BD39" s="122">
        <f>'【国内】常规用户招募-数据源 （正职）'!AU39</f>
        <v>675.285714285714</v>
      </c>
      <c r="BE39" s="122">
        <f t="shared" si="16"/>
        <v>0</v>
      </c>
      <c r="BF39" s="121">
        <v>250</v>
      </c>
      <c r="BG39" s="150">
        <f t="shared" si="42"/>
        <v>219.29387755102</v>
      </c>
      <c r="BH39" s="122">
        <f t="shared" si="43"/>
        <v>-30.7061224489796</v>
      </c>
    </row>
    <row r="40" spans="1:60">
      <c r="A40" s="121">
        <v>36</v>
      </c>
      <c r="B40" s="122">
        <f>'【国内】常规用户招募-数据源 （正职）'!B40*1.3</f>
        <v>0.39</v>
      </c>
      <c r="C40" s="122">
        <f>'【国内】常规用户招募-数据源 （正职）'!D40*0.6</f>
        <v>1.92</v>
      </c>
      <c r="D40" s="122">
        <f t="shared" si="27"/>
        <v>3.18416666666667</v>
      </c>
      <c r="E40" s="122">
        <f>'【国内】常规用户招募-数据源 （正职）'!E40</f>
        <v>4</v>
      </c>
      <c r="F40" s="122">
        <f t="shared" si="28"/>
        <v>384.722222222222</v>
      </c>
      <c r="G40" s="122">
        <f>'【国内】常规用户招募-数据源 （正职）'!F40</f>
        <v>384.722222222222</v>
      </c>
      <c r="H40" s="122">
        <f t="shared" si="29"/>
        <v>0</v>
      </c>
      <c r="I40" s="121">
        <v>200</v>
      </c>
      <c r="J40" s="150">
        <f t="shared" si="30"/>
        <v>210.686728395062</v>
      </c>
      <c r="K40" s="150">
        <f t="shared" si="23"/>
        <v>10.6867283950617</v>
      </c>
      <c r="L40" s="159">
        <v>690</v>
      </c>
      <c r="M40" s="155"/>
      <c r="N40" s="121">
        <v>36</v>
      </c>
      <c r="O40" s="122">
        <f>'【国内】常规用户招募-数据源 （正职）'!M40*1.3</f>
        <v>0.39</v>
      </c>
      <c r="P40" s="122">
        <f>'【国内】常规用户招募-数据源 （正职）'!O40*0.6</f>
        <v>1.98</v>
      </c>
      <c r="Q40" s="122">
        <f t="shared" si="31"/>
        <v>3.3195</v>
      </c>
      <c r="R40" s="122">
        <f>'【国内】常规用户招募-数据源 （正职）'!P40*0.98</f>
        <v>4.312</v>
      </c>
      <c r="S40" s="122">
        <f t="shared" si="32"/>
        <v>397.5</v>
      </c>
      <c r="T40" s="122">
        <f>'【国内】常规用户招募-数据源 （正职）'!Q40</f>
        <v>397.5</v>
      </c>
      <c r="U40" s="122">
        <f t="shared" si="33"/>
        <v>0</v>
      </c>
      <c r="V40" s="121">
        <v>250</v>
      </c>
      <c r="W40" s="150">
        <f t="shared" si="34"/>
        <v>261.041666666667</v>
      </c>
      <c r="X40" s="159">
        <v>690</v>
      </c>
      <c r="Y40" s="155"/>
      <c r="Z40" s="121">
        <v>36</v>
      </c>
      <c r="AA40" s="122">
        <f>'【国内】常规用户招募-数据源 （正职）'!W40*1.3</f>
        <v>0.52</v>
      </c>
      <c r="AB40" s="122">
        <f>'【国内】常规用户招募-数据源 （正职）'!Y40*0.6</f>
        <v>2.88</v>
      </c>
      <c r="AC40" s="122">
        <f t="shared" si="24"/>
        <v>4.61</v>
      </c>
      <c r="AD40" s="122">
        <f>'【国内】常规用户招募-数据源 （正职）'!Z40*1.2</f>
        <v>5.76</v>
      </c>
      <c r="AE40" s="122">
        <f t="shared" si="35"/>
        <v>558.888888888889</v>
      </c>
      <c r="AF40" s="122">
        <f>'【国内】常规用户招募-数据源 （正职）'!AA40</f>
        <v>558.888888888889</v>
      </c>
      <c r="AG40" s="122">
        <f t="shared" si="36"/>
        <v>0</v>
      </c>
      <c r="AH40" s="121">
        <v>250</v>
      </c>
      <c r="AI40" s="150">
        <f t="shared" si="37"/>
        <v>265.524691358025</v>
      </c>
      <c r="AJ40" s="150">
        <v>700</v>
      </c>
      <c r="AK40" s="155"/>
      <c r="AL40" s="121">
        <v>36</v>
      </c>
      <c r="AM40" s="122">
        <f>'【国内】常规用户招募-数据源 （正职）'!AG40*1.3</f>
        <v>0.65</v>
      </c>
      <c r="AN40" s="122">
        <f>'【国内】常规用户招募-数据源 （正职）'!AI40*0.6</f>
        <v>3.24</v>
      </c>
      <c r="AO40" s="122">
        <f t="shared" si="25"/>
        <v>5.2785</v>
      </c>
      <c r="AP40" s="122">
        <f>'【国内】常规用户招募-数据源 （正职）'!AJ40*1.08</f>
        <v>5.616</v>
      </c>
      <c r="AQ40" s="122">
        <f t="shared" si="38"/>
        <v>635.277777777778</v>
      </c>
      <c r="AR40" s="122">
        <f>'【国内】常规用户招募-数据源 （正职）'!AK40</f>
        <v>635.277777777778</v>
      </c>
      <c r="AS40" s="122">
        <f t="shared" si="39"/>
        <v>0</v>
      </c>
      <c r="AT40" s="121">
        <v>250</v>
      </c>
      <c r="AU40" s="150">
        <f t="shared" si="40"/>
        <v>217.646604938272</v>
      </c>
      <c r="AV40" s="150">
        <v>720</v>
      </c>
      <c r="AW40" s="155"/>
      <c r="AX40" s="121">
        <v>36</v>
      </c>
      <c r="AY40" s="122">
        <f>'【国内】常规用户招募-数据源 （正职）'!AQ40*1.3</f>
        <v>0.65</v>
      </c>
      <c r="AZ40" s="122">
        <f>'【国内】常规用户招募-数据源 （正职）'!AS40*0.6</f>
        <v>3.6</v>
      </c>
      <c r="BA40" s="122">
        <f t="shared" si="26"/>
        <v>5.9325</v>
      </c>
      <c r="BB40" s="122">
        <f>'【国内】常规用户招募-数据源 （正职）'!AT40*1.1</f>
        <v>5.72</v>
      </c>
      <c r="BC40" s="122">
        <f t="shared" si="41"/>
        <v>691.944444444444</v>
      </c>
      <c r="BD40" s="122">
        <f>'【国内】常规用户招募-数据源 （正职）'!AU40</f>
        <v>691.944444444444</v>
      </c>
      <c r="BE40" s="122">
        <f t="shared" si="16"/>
        <v>0</v>
      </c>
      <c r="BF40" s="121">
        <v>250</v>
      </c>
      <c r="BG40" s="150">
        <f t="shared" si="42"/>
        <v>219.220679012346</v>
      </c>
      <c r="BH40" s="122">
        <f t="shared" si="43"/>
        <v>-30.7793209876543</v>
      </c>
    </row>
    <row r="41" spans="1:60">
      <c r="A41" s="121">
        <v>37</v>
      </c>
      <c r="B41" s="122">
        <f>'【国内】常规用户招募-数据源 （正职）'!B41*1.3</f>
        <v>0.39</v>
      </c>
      <c r="C41" s="122">
        <f>'【国内】常规用户招募-数据源 （正职）'!D41*0.6</f>
        <v>1.98</v>
      </c>
      <c r="D41" s="122">
        <f t="shared" si="27"/>
        <v>3.2975</v>
      </c>
      <c r="E41" s="122">
        <f>'【国内】常规用户招募-数据源 （正职）'!E41</f>
        <v>4.2</v>
      </c>
      <c r="F41" s="122">
        <f t="shared" si="28"/>
        <v>385.135135135135</v>
      </c>
      <c r="G41" s="122">
        <f>'【国内】常规用户招募-数据源 （正职）'!F41</f>
        <v>385.135135135135</v>
      </c>
      <c r="H41" s="122">
        <f t="shared" si="29"/>
        <v>0</v>
      </c>
      <c r="I41" s="121">
        <v>200</v>
      </c>
      <c r="J41" s="150">
        <f t="shared" si="30"/>
        <v>210.409057706355</v>
      </c>
      <c r="K41" s="150">
        <f t="shared" si="23"/>
        <v>10.409057706355</v>
      </c>
      <c r="L41" s="159">
        <v>690</v>
      </c>
      <c r="M41" s="155"/>
      <c r="N41" s="121">
        <v>37</v>
      </c>
      <c r="O41" s="122">
        <f>'【国内】常规用户招募-数据源 （正职）'!M41*1.3</f>
        <v>0.39</v>
      </c>
      <c r="P41" s="122">
        <f>'【国内】常规用户招募-数据源 （正职）'!O41*0.6</f>
        <v>2.1</v>
      </c>
      <c r="Q41" s="122">
        <f t="shared" si="31"/>
        <v>3.54716666666667</v>
      </c>
      <c r="R41" s="122">
        <f>'【国内】常规用户招募-数据源 （正职）'!P41*0.98</f>
        <v>4.508</v>
      </c>
      <c r="S41" s="122">
        <f t="shared" si="32"/>
        <v>406.756756756757</v>
      </c>
      <c r="T41" s="122">
        <f>'【国内】常规用户招募-数据源 （正职）'!Q41</f>
        <v>406.756756756757</v>
      </c>
      <c r="U41" s="122">
        <f t="shared" si="33"/>
        <v>0</v>
      </c>
      <c r="V41" s="121">
        <v>250</v>
      </c>
      <c r="W41" s="150">
        <f t="shared" si="34"/>
        <v>260.993425858291</v>
      </c>
      <c r="X41" s="159">
        <v>690</v>
      </c>
      <c r="Y41" s="155"/>
      <c r="Z41" s="121">
        <v>37</v>
      </c>
      <c r="AA41" s="122">
        <f>'【国内】常规用户招募-数据源 （正职）'!W41*1.3</f>
        <v>0.52</v>
      </c>
      <c r="AB41" s="122">
        <f>'【国内】常规用户招募-数据源 （正职）'!Y41*0.6</f>
        <v>2.94</v>
      </c>
      <c r="AC41" s="122">
        <f t="shared" si="24"/>
        <v>4.71333333333333</v>
      </c>
      <c r="AD41" s="122">
        <f>'【国内】常规用户招募-数据源 （正职）'!Z41*1.2</f>
        <v>6</v>
      </c>
      <c r="AE41" s="122">
        <f t="shared" si="35"/>
        <v>554.594594594595</v>
      </c>
      <c r="AF41" s="122">
        <f>'【国内】常规用户招募-数据源 （正职）'!AA41</f>
        <v>554.594594594595</v>
      </c>
      <c r="AG41" s="122">
        <f t="shared" si="36"/>
        <v>0</v>
      </c>
      <c r="AH41" s="121">
        <v>250</v>
      </c>
      <c r="AI41" s="150">
        <f t="shared" si="37"/>
        <v>264.989043097151</v>
      </c>
      <c r="AJ41" s="150">
        <v>700</v>
      </c>
      <c r="AK41" s="155"/>
      <c r="AL41" s="121">
        <v>37</v>
      </c>
      <c r="AM41" s="122">
        <f>'【国内】常规用户招募-数据源 （正职）'!AG41*1.3</f>
        <v>0.65</v>
      </c>
      <c r="AN41" s="122">
        <f>'【国内】常规用户招募-数据源 （正职）'!AI41*0.6</f>
        <v>3.36</v>
      </c>
      <c r="AO41" s="122">
        <f t="shared" si="25"/>
        <v>5.50116666666667</v>
      </c>
      <c r="AP41" s="122">
        <f>'【国内】常规用户招募-数据源 （正职）'!AJ41*1.08</f>
        <v>5.832</v>
      </c>
      <c r="AQ41" s="122">
        <f t="shared" si="38"/>
        <v>638.108108108108</v>
      </c>
      <c r="AR41" s="122">
        <f>'【国内】常规用户招募-数据源 （正职）'!AK41</f>
        <v>638.108108108108</v>
      </c>
      <c r="AS41" s="122">
        <f t="shared" si="39"/>
        <v>0</v>
      </c>
      <c r="AT41" s="121">
        <v>250</v>
      </c>
      <c r="AU41" s="150">
        <f t="shared" si="40"/>
        <v>217.246165084003</v>
      </c>
      <c r="AV41" s="150">
        <v>720</v>
      </c>
      <c r="AW41" s="155"/>
      <c r="AX41" s="121">
        <v>37</v>
      </c>
      <c r="AY41" s="122">
        <f>'【国内】常规用户招募-数据源 （正职）'!AQ41*1.3</f>
        <v>0.65</v>
      </c>
      <c r="AZ41" s="122">
        <f>'【国内】常规用户招募-数据源 （正职）'!AS41*0.6</f>
        <v>3.675</v>
      </c>
      <c r="BA41" s="122">
        <f t="shared" si="26"/>
        <v>6.06916666666667</v>
      </c>
      <c r="BB41" s="122">
        <f>'【国内】常规用户招募-数据源 （正职）'!AT41*1.1</f>
        <v>5.94</v>
      </c>
      <c r="BC41" s="122">
        <f t="shared" si="41"/>
        <v>686.351351351351</v>
      </c>
      <c r="BD41" s="122">
        <f>'【国内】常规用户招募-数据源 （正职）'!AU41</f>
        <v>686.351351351351</v>
      </c>
      <c r="BE41" s="122">
        <f t="shared" si="16"/>
        <v>0</v>
      </c>
      <c r="BF41" s="121">
        <v>250</v>
      </c>
      <c r="BG41" s="150">
        <f t="shared" si="42"/>
        <v>218.55003652301</v>
      </c>
      <c r="BH41" s="122">
        <f t="shared" si="43"/>
        <v>-31.4499634769905</v>
      </c>
    </row>
    <row r="42" spans="1:60">
      <c r="A42" s="121">
        <v>38</v>
      </c>
      <c r="B42" s="122">
        <f>'【国内】常规用户招募-数据源 （正职）'!B42*1.3</f>
        <v>0.39</v>
      </c>
      <c r="C42" s="122">
        <f>'【国内】常规用户招募-数据源 （正职）'!D42*0.6</f>
        <v>2.1</v>
      </c>
      <c r="D42" s="122">
        <f t="shared" si="27"/>
        <v>3.52416666666667</v>
      </c>
      <c r="E42" s="122">
        <f>'【国内】常规用户招募-数据源 （正职）'!E42</f>
        <v>4.2</v>
      </c>
      <c r="F42" s="122">
        <f t="shared" si="28"/>
        <v>392.894736842105</v>
      </c>
      <c r="G42" s="122">
        <f>'【国内】常规用户招募-数据源 （正职）'!F42</f>
        <v>392.894736842105</v>
      </c>
      <c r="H42" s="122">
        <f t="shared" si="29"/>
        <v>0</v>
      </c>
      <c r="I42" s="121">
        <v>200</v>
      </c>
      <c r="J42" s="150">
        <f t="shared" si="30"/>
        <v>210.339335180055</v>
      </c>
      <c r="K42" s="150">
        <f t="shared" si="23"/>
        <v>10.3393351800554</v>
      </c>
      <c r="L42" s="159">
        <v>690</v>
      </c>
      <c r="M42" s="155"/>
      <c r="N42" s="121">
        <v>38</v>
      </c>
      <c r="O42" s="122">
        <f>'【国内】常规用户招募-数据源 （正职）'!M42*1.3</f>
        <v>0.39</v>
      </c>
      <c r="P42" s="122">
        <f>'【国内】常规用户招募-数据源 （正职）'!O42*0.6</f>
        <v>2.22</v>
      </c>
      <c r="Q42" s="122">
        <f t="shared" si="31"/>
        <v>3.77383333333333</v>
      </c>
      <c r="R42" s="122">
        <f>'【国内】常规用户招募-数据源 （正职）'!P42*0.98</f>
        <v>4.508</v>
      </c>
      <c r="S42" s="122">
        <f t="shared" si="32"/>
        <v>413.947368421053</v>
      </c>
      <c r="T42" s="122">
        <f>'【国内】常规用户招募-数据源 （正职）'!Q42</f>
        <v>413.947368421053</v>
      </c>
      <c r="U42" s="122">
        <f t="shared" si="33"/>
        <v>0</v>
      </c>
      <c r="V42" s="121">
        <v>250</v>
      </c>
      <c r="W42" s="150">
        <f t="shared" si="34"/>
        <v>260.893351800554</v>
      </c>
      <c r="X42" s="159">
        <v>690</v>
      </c>
      <c r="Y42" s="155"/>
      <c r="Z42" s="121">
        <v>38</v>
      </c>
      <c r="AA42" s="122">
        <f>'【国内】常规用户招募-数据源 （正职）'!W42*1.3</f>
        <v>0.52</v>
      </c>
      <c r="AB42" s="122">
        <f>'【国内】常规用户招募-数据源 （正职）'!Y42*0.6</f>
        <v>3</v>
      </c>
      <c r="AC42" s="122">
        <f t="shared" si="24"/>
        <v>4.82166666666667</v>
      </c>
      <c r="AD42" s="122">
        <f>'【国内】常规用户招募-数据源 （正职）'!Z42*1.2</f>
        <v>6.12</v>
      </c>
      <c r="AE42" s="122">
        <f t="shared" si="35"/>
        <v>549.736842105263</v>
      </c>
      <c r="AF42" s="122">
        <f>'【国内】常规用户招募-数据源 （正职）'!AA42</f>
        <v>549.736842105263</v>
      </c>
      <c r="AG42" s="122">
        <f t="shared" si="36"/>
        <v>0</v>
      </c>
      <c r="AH42" s="121">
        <v>250</v>
      </c>
      <c r="AI42" s="150">
        <f t="shared" si="37"/>
        <v>264.46675900277</v>
      </c>
      <c r="AJ42" s="150">
        <v>700</v>
      </c>
      <c r="AK42" s="155"/>
      <c r="AL42" s="121">
        <v>38</v>
      </c>
      <c r="AM42" s="122">
        <f>'【国内】常规用户招募-数据源 （正职）'!AG42*1.3</f>
        <v>0.65</v>
      </c>
      <c r="AN42" s="122">
        <f>'【国内】常规用户招募-数据源 （正职）'!AI42*0.6</f>
        <v>3.48</v>
      </c>
      <c r="AO42" s="122">
        <f t="shared" si="25"/>
        <v>5.72583333333333</v>
      </c>
      <c r="AP42" s="122">
        <f>'【国内】常规用户招募-数据源 （正职）'!AJ42*1.08</f>
        <v>5.94</v>
      </c>
      <c r="AQ42" s="122">
        <f t="shared" si="38"/>
        <v>640</v>
      </c>
      <c r="AR42" s="122">
        <f>'【国内】常规用户招募-数据源 （正职）'!AK42</f>
        <v>640</v>
      </c>
      <c r="AS42" s="122">
        <f t="shared" si="39"/>
        <v>0</v>
      </c>
      <c r="AT42" s="121">
        <v>250</v>
      </c>
      <c r="AU42" s="150">
        <f t="shared" si="40"/>
        <v>216.842105263158</v>
      </c>
      <c r="AV42" s="150">
        <v>720</v>
      </c>
      <c r="AW42" s="155"/>
      <c r="AX42" s="121">
        <v>38</v>
      </c>
      <c r="AY42" s="122">
        <f>'【国内】常规用户招募-数据源 （正职）'!AQ42*1.3</f>
        <v>0.65</v>
      </c>
      <c r="AZ42" s="122">
        <f>'【国内】常规用户招募-数据源 （正职）'!AS42*0.6</f>
        <v>3.75</v>
      </c>
      <c r="BA42" s="122">
        <f t="shared" si="26"/>
        <v>6.20833333333333</v>
      </c>
      <c r="BB42" s="122">
        <f>'【国内】常规用户招募-数据源 （正职）'!AT42*1.1</f>
        <v>6.05</v>
      </c>
      <c r="BC42" s="122">
        <f t="shared" si="41"/>
        <v>680.263157894737</v>
      </c>
      <c r="BD42" s="122">
        <f>'【国内】常规用户招募-数据源 （正职）'!AU42</f>
        <v>680.263157894737</v>
      </c>
      <c r="BE42" s="122">
        <f t="shared" si="16"/>
        <v>0</v>
      </c>
      <c r="BF42" s="121">
        <v>250</v>
      </c>
      <c r="BG42" s="150">
        <f t="shared" si="42"/>
        <v>217.901662049861</v>
      </c>
      <c r="BH42" s="122">
        <f t="shared" si="43"/>
        <v>-32.0983379501385</v>
      </c>
    </row>
    <row r="43" spans="1:60">
      <c r="A43" s="121">
        <v>39</v>
      </c>
      <c r="B43" s="122">
        <f>'【国内】常规用户招募-数据源 （正职）'!B43*1.3</f>
        <v>0.39</v>
      </c>
      <c r="C43" s="122">
        <f>'【国内】常规用户招募-数据源 （正职）'!D43*0.6</f>
        <v>2.16</v>
      </c>
      <c r="D43" s="122">
        <f t="shared" si="27"/>
        <v>3.6375</v>
      </c>
      <c r="E43" s="122">
        <f>'【国内】常规用户招募-数据源 （正职）'!E43</f>
        <v>4.4</v>
      </c>
      <c r="F43" s="122">
        <f t="shared" si="28"/>
        <v>393.076923076923</v>
      </c>
      <c r="G43" s="122">
        <f>'【国内】常规用户招募-数据源 （正职）'!F43</f>
        <v>393.076923076923</v>
      </c>
      <c r="H43" s="122">
        <f t="shared" si="29"/>
        <v>0</v>
      </c>
      <c r="I43" s="121">
        <v>200</v>
      </c>
      <c r="J43" s="150">
        <f t="shared" si="30"/>
        <v>210.078895463511</v>
      </c>
      <c r="K43" s="150">
        <f t="shared" si="23"/>
        <v>10.0788954635109</v>
      </c>
      <c r="L43" s="159">
        <v>690</v>
      </c>
      <c r="M43" s="155"/>
      <c r="N43" s="121">
        <v>39</v>
      </c>
      <c r="O43" s="122">
        <f>'【国内】常规用户招募-数据源 （正职）'!M43*1.3</f>
        <v>0.39</v>
      </c>
      <c r="P43" s="122">
        <f>'【国内】常规用户招募-数据源 （正职）'!O43*0.6</f>
        <v>2.22</v>
      </c>
      <c r="Q43" s="122">
        <f t="shared" si="31"/>
        <v>3.77483333333333</v>
      </c>
      <c r="R43" s="122">
        <f>'【国内】常规用户招募-数据源 （正职）'!P43*0.98</f>
        <v>4.704</v>
      </c>
      <c r="S43" s="122">
        <f t="shared" si="32"/>
        <v>404.871794871795</v>
      </c>
      <c r="T43" s="122">
        <f>'【国内】常规用户招募-数据源 （正职）'!Q43</f>
        <v>404.871794871795</v>
      </c>
      <c r="U43" s="122">
        <f t="shared" si="33"/>
        <v>0</v>
      </c>
      <c r="V43" s="121">
        <v>250</v>
      </c>
      <c r="W43" s="150">
        <f t="shared" si="34"/>
        <v>260.381328073636</v>
      </c>
      <c r="X43" s="159">
        <v>690</v>
      </c>
      <c r="Y43" s="155"/>
      <c r="Z43" s="121">
        <v>39</v>
      </c>
      <c r="AA43" s="122">
        <f>'【国内】常规用户招募-数据源 （正职）'!W43*1.3</f>
        <v>0.52</v>
      </c>
      <c r="AB43" s="122">
        <f>'【国内】常规用户招募-数据源 （正职）'!Y43*0.6</f>
        <v>3.06</v>
      </c>
      <c r="AC43" s="122">
        <f t="shared" si="24"/>
        <v>4.93</v>
      </c>
      <c r="AD43" s="122">
        <f>'【国内】常规用户招募-数据源 （正职）'!Z43*1.2</f>
        <v>6.24</v>
      </c>
      <c r="AE43" s="122">
        <f t="shared" si="35"/>
        <v>545.128205128205</v>
      </c>
      <c r="AF43" s="122">
        <f>'【国内】常规用户招募-数据源 （正职）'!AA43</f>
        <v>545.128205128205</v>
      </c>
      <c r="AG43" s="122">
        <f t="shared" si="36"/>
        <v>0</v>
      </c>
      <c r="AH43" s="121">
        <v>250</v>
      </c>
      <c r="AI43" s="150">
        <f t="shared" si="37"/>
        <v>263.977646285339</v>
      </c>
      <c r="AJ43" s="150">
        <v>700</v>
      </c>
      <c r="AK43" s="155"/>
      <c r="AL43" s="121">
        <v>39</v>
      </c>
      <c r="AM43" s="122">
        <f>'【国内】常规用户招募-数据源 （正职）'!AG43*1.3</f>
        <v>0.65</v>
      </c>
      <c r="AN43" s="122">
        <f>'【国内】常规用户招募-数据源 （正职）'!AI43*0.6</f>
        <v>3.54</v>
      </c>
      <c r="AO43" s="122">
        <f t="shared" si="25"/>
        <v>5.83716666666667</v>
      </c>
      <c r="AP43" s="122">
        <f>'【国内】常规用户招募-数据源 （正职）'!AJ43*1.08</f>
        <v>6.048</v>
      </c>
      <c r="AQ43" s="122">
        <f t="shared" si="38"/>
        <v>633.076923076923</v>
      </c>
      <c r="AR43" s="122">
        <f>'【国内】常规用户招募-数据源 （正职）'!AK43</f>
        <v>633.076923076923</v>
      </c>
      <c r="AS43" s="122">
        <f t="shared" si="39"/>
        <v>0</v>
      </c>
      <c r="AT43" s="121">
        <v>250</v>
      </c>
      <c r="AU43" s="150">
        <f t="shared" si="40"/>
        <v>216.232741617357</v>
      </c>
      <c r="AV43" s="150">
        <v>720</v>
      </c>
      <c r="AW43" s="155"/>
      <c r="AX43" s="121">
        <v>39</v>
      </c>
      <c r="AY43" s="122">
        <f>'【国内】常规用户招募-数据源 （正职）'!AQ43*1.3</f>
        <v>0.65</v>
      </c>
      <c r="AZ43" s="122">
        <f>'【国内】常规用户招募-数据源 （正职）'!AS43*0.6</f>
        <v>3.825</v>
      </c>
      <c r="BA43" s="122">
        <f t="shared" si="26"/>
        <v>6.3475</v>
      </c>
      <c r="BB43" s="122">
        <f>'【国内】常规用户招募-数据源 （正职）'!AT43*1.1</f>
        <v>6.16</v>
      </c>
      <c r="BC43" s="122">
        <f t="shared" si="41"/>
        <v>674.487179487179</v>
      </c>
      <c r="BD43" s="122">
        <f>'【国内】常规用户招募-数据源 （正职）'!AU43</f>
        <v>674.487179487179</v>
      </c>
      <c r="BE43" s="122">
        <f t="shared" si="16"/>
        <v>0</v>
      </c>
      <c r="BF43" s="121">
        <v>250</v>
      </c>
      <c r="BG43" s="150">
        <f t="shared" si="42"/>
        <v>217.294543063774</v>
      </c>
      <c r="BH43" s="122">
        <f t="shared" si="43"/>
        <v>-32.7054569362262</v>
      </c>
    </row>
    <row r="44" s="149" customFormat="1" spans="1:60">
      <c r="A44" s="167">
        <v>40</v>
      </c>
      <c r="B44" s="122">
        <f>'【国内】常规用户招募-数据源 （正职）'!B44*1.3</f>
        <v>0.39</v>
      </c>
      <c r="C44" s="122">
        <f>'【国内】常规用户招募-数据源 （正职）'!D44*0.6</f>
        <v>2.22</v>
      </c>
      <c r="D44" s="122">
        <f t="shared" si="27"/>
        <v>3.75083333333333</v>
      </c>
      <c r="E44" s="122">
        <f>'【国内】常规用户招募-数据源 （正职）'!E44</f>
        <v>4.4</v>
      </c>
      <c r="F44" s="122">
        <f t="shared" si="28"/>
        <v>391.75</v>
      </c>
      <c r="G44" s="122">
        <f>'【国内】常规用户招募-数据源 （正职）'!F44</f>
        <v>391.75</v>
      </c>
      <c r="H44" s="122">
        <f t="shared" si="29"/>
        <v>0</v>
      </c>
      <c r="I44" s="167">
        <v>200</v>
      </c>
      <c r="J44" s="169">
        <f t="shared" si="30"/>
        <v>209.79375</v>
      </c>
      <c r="K44" s="150">
        <f t="shared" si="23"/>
        <v>9.79374999999999</v>
      </c>
      <c r="L44" s="170">
        <v>690</v>
      </c>
      <c r="M44" s="171"/>
      <c r="N44" s="167">
        <v>40</v>
      </c>
      <c r="O44" s="122">
        <f>'【国内】常规用户招募-数据源 （正职）'!M44*1.3</f>
        <v>0.52</v>
      </c>
      <c r="P44" s="122">
        <f>'【国内】常规用户招募-数据源 （正职）'!O44*0.6</f>
        <v>2.34</v>
      </c>
      <c r="Q44" s="122">
        <f t="shared" si="31"/>
        <v>3.854</v>
      </c>
      <c r="R44" s="122">
        <f>'【国内】常规用户招募-数据源 （正职）'!P44*0.98</f>
        <v>4.704</v>
      </c>
      <c r="S44" s="122">
        <f t="shared" si="32"/>
        <v>426.5</v>
      </c>
      <c r="T44" s="122">
        <f>'【国内】常规用户招募-数据源 （正职）'!Q44</f>
        <v>426.5</v>
      </c>
      <c r="U44" s="122">
        <f t="shared" si="33"/>
        <v>0</v>
      </c>
      <c r="V44" s="167">
        <v>250</v>
      </c>
      <c r="W44" s="150">
        <f t="shared" si="34"/>
        <v>260.6625</v>
      </c>
      <c r="X44" s="170">
        <v>690</v>
      </c>
      <c r="Y44" s="171"/>
      <c r="Z44" s="167">
        <v>40</v>
      </c>
      <c r="AA44" s="122">
        <f>'【国内】常规用户招募-数据源 （正职）'!W44*1.3</f>
        <v>0.65</v>
      </c>
      <c r="AB44" s="122">
        <f>'【国内】常规用户招募-数据源 （正职）'!Y44*0.6</f>
        <v>3.06</v>
      </c>
      <c r="AC44" s="122">
        <f t="shared" si="24"/>
        <v>4.7825</v>
      </c>
      <c r="AD44" s="122">
        <f>'【国内】常规用户招募-数据源 （正职）'!Z44*1.2</f>
        <v>6.24</v>
      </c>
      <c r="AE44" s="122">
        <f t="shared" si="35"/>
        <v>546.25</v>
      </c>
      <c r="AF44" s="122">
        <f>'【国内】常规用户招募-数据源 （正职）'!AA44</f>
        <v>546.25</v>
      </c>
      <c r="AG44" s="122">
        <f t="shared" si="36"/>
        <v>0</v>
      </c>
      <c r="AH44" s="167">
        <v>250</v>
      </c>
      <c r="AI44" s="169">
        <f t="shared" si="37"/>
        <v>263.65625</v>
      </c>
      <c r="AJ44" s="169">
        <v>700</v>
      </c>
      <c r="AK44" s="171"/>
      <c r="AL44" s="167">
        <v>40</v>
      </c>
      <c r="AM44" s="122">
        <f>'【国内】常规用户招募-数据源 （正职）'!AG44*1.3</f>
        <v>0.78</v>
      </c>
      <c r="AN44" s="122">
        <f>'【国内】常规用户招募-数据源 （正职）'!AI44*0.6</f>
        <v>3.6</v>
      </c>
      <c r="AO44" s="122">
        <f t="shared" si="25"/>
        <v>5.795</v>
      </c>
      <c r="AP44" s="122">
        <f>'【国内】常规用户招募-数据源 （正职）'!AJ44*1.08</f>
        <v>6.48</v>
      </c>
      <c r="AQ44" s="122">
        <f t="shared" si="38"/>
        <v>643.5</v>
      </c>
      <c r="AR44" s="122">
        <f>'【国内】常规用户招募-数据源 （正职）'!AK44</f>
        <v>643.5</v>
      </c>
      <c r="AS44" s="122">
        <f t="shared" si="39"/>
        <v>0</v>
      </c>
      <c r="AT44" s="167">
        <v>250</v>
      </c>
      <c r="AU44" s="169">
        <f t="shared" si="40"/>
        <v>216.0875</v>
      </c>
      <c r="AV44" s="169">
        <v>720</v>
      </c>
      <c r="AW44" s="171"/>
      <c r="AX44" s="167">
        <v>40</v>
      </c>
      <c r="AY44" s="122">
        <f>'【国内】常规用户招募-数据源 （正职）'!AQ44*1.3</f>
        <v>0.78</v>
      </c>
      <c r="AZ44" s="122">
        <f>'【国内】常规用户招募-数据源 （正职）'!AS44*0.6</f>
        <v>3.825</v>
      </c>
      <c r="BA44" s="122">
        <f t="shared" si="26"/>
        <v>6.19</v>
      </c>
      <c r="BB44" s="122">
        <f>'【国内】常规用户招募-数据源 （正职）'!AT44*1.1</f>
        <v>6.6</v>
      </c>
      <c r="BC44" s="122">
        <f t="shared" si="41"/>
        <v>675.375</v>
      </c>
      <c r="BD44" s="122">
        <f>'【国内】常规用户招募-数据源 （正职）'!AU44</f>
        <v>675.375</v>
      </c>
      <c r="BE44" s="122">
        <f t="shared" si="16"/>
        <v>0</v>
      </c>
      <c r="BF44" s="167">
        <v>250</v>
      </c>
      <c r="BG44" s="169">
        <f t="shared" si="42"/>
        <v>216.884375</v>
      </c>
      <c r="BH44" s="122">
        <f t="shared" si="43"/>
        <v>-33.115625</v>
      </c>
    </row>
    <row r="45" spans="1:60">
      <c r="A45" s="121">
        <v>41</v>
      </c>
      <c r="B45" s="122">
        <f>'【国内】常规用户招募-数据源 （正职）'!B45*1.3</f>
        <v>0.39</v>
      </c>
      <c r="C45" s="122">
        <f>'【国内】常规用户招募-数据源 （正职）'!D45*0.6</f>
        <v>2.28</v>
      </c>
      <c r="D45" s="122">
        <f t="shared" si="27"/>
        <v>3.86416666666667</v>
      </c>
      <c r="E45" s="122">
        <f>'【国内】常规用户招募-数据源 （正职）'!E45</f>
        <v>4.6</v>
      </c>
      <c r="F45" s="122">
        <f t="shared" si="28"/>
        <v>391.951219512195</v>
      </c>
      <c r="G45" s="122">
        <f>'【国内】常规用户招募-数据源 （正职）'!F45</f>
        <v>391.951219512195</v>
      </c>
      <c r="H45" s="122">
        <f t="shared" si="29"/>
        <v>0</v>
      </c>
      <c r="I45" s="121">
        <v>200</v>
      </c>
      <c r="J45" s="150">
        <f t="shared" si="30"/>
        <v>209.559785841761</v>
      </c>
      <c r="K45" s="150">
        <f t="shared" si="23"/>
        <v>9.55978584176086</v>
      </c>
      <c r="L45" s="159">
        <v>690</v>
      </c>
      <c r="M45" s="155"/>
      <c r="N45" s="121">
        <v>41</v>
      </c>
      <c r="O45" s="122">
        <f>'【国内】常规用户招募-数据源 （正职）'!M45*1.3</f>
        <v>0.52</v>
      </c>
      <c r="P45" s="122">
        <f>'【国内】常规用户招募-数据源 （正职）'!O45*0.6</f>
        <v>2.34</v>
      </c>
      <c r="Q45" s="122">
        <f t="shared" si="31"/>
        <v>3.855</v>
      </c>
      <c r="R45" s="122">
        <f>'【国内】常规用户招募-数据源 （正职）'!P45*0.98</f>
        <v>4.9</v>
      </c>
      <c r="S45" s="122">
        <f t="shared" si="32"/>
        <v>417.560975609756</v>
      </c>
      <c r="T45" s="122">
        <f>'【国内】常规用户招募-数据源 （正职）'!Q45</f>
        <v>417.560975609756</v>
      </c>
      <c r="U45" s="122">
        <f t="shared" si="33"/>
        <v>0</v>
      </c>
      <c r="V45" s="121">
        <v>250</v>
      </c>
      <c r="W45" s="150">
        <f t="shared" si="34"/>
        <v>260.184414039262</v>
      </c>
      <c r="X45" s="159">
        <v>690</v>
      </c>
      <c r="Y45" s="155"/>
      <c r="Z45" s="121">
        <v>41</v>
      </c>
      <c r="AA45" s="122">
        <f>'【国内】常规用户招募-数据源 （正职）'!W45*1.3</f>
        <v>0.78</v>
      </c>
      <c r="AB45" s="122">
        <f>'【国内】常规用户招募-数据源 （正职）'!Y45*0.6</f>
        <v>3.06</v>
      </c>
      <c r="AC45" s="122">
        <f t="shared" si="24"/>
        <v>4.595</v>
      </c>
      <c r="AD45" s="122">
        <f>'【国内】常规用户招募-数据源 （正职）'!Z45*1.2</f>
        <v>7.2</v>
      </c>
      <c r="AE45" s="122">
        <f t="shared" si="35"/>
        <v>553.170731707317</v>
      </c>
      <c r="AF45" s="122">
        <f>'【国内】常规用户招募-数据源 （正职）'!AA45</f>
        <v>553.170731707317</v>
      </c>
      <c r="AG45" s="122">
        <f t="shared" si="36"/>
        <v>0</v>
      </c>
      <c r="AH45" s="121">
        <v>250</v>
      </c>
      <c r="AI45" s="150">
        <f t="shared" si="37"/>
        <v>263.491969066032</v>
      </c>
      <c r="AJ45" s="150">
        <v>700</v>
      </c>
      <c r="AK45" s="155"/>
      <c r="AL45" s="121">
        <v>41</v>
      </c>
      <c r="AM45" s="122">
        <f>'【国内】常规用户招募-数据源 （正职）'!AG45*1.3</f>
        <v>0.78</v>
      </c>
      <c r="AN45" s="122">
        <f>'【国内】常规用户招募-数据源 （正职）'!AI45*0.6</f>
        <v>3.72</v>
      </c>
      <c r="AO45" s="122">
        <f t="shared" si="25"/>
        <v>6.01366666666667</v>
      </c>
      <c r="AP45" s="122">
        <f>'【国内】常规用户招募-数据源 （正职）'!AJ45*1.08</f>
        <v>6.912</v>
      </c>
      <c r="AQ45" s="122">
        <f t="shared" si="38"/>
        <v>647.317073170732</v>
      </c>
      <c r="AR45" s="122">
        <f>'【国内】常规用户招募-数据源 （正职）'!AK45</f>
        <v>647.317073170732</v>
      </c>
      <c r="AS45" s="122">
        <f t="shared" si="39"/>
        <v>0</v>
      </c>
      <c r="AT45" s="121">
        <v>250</v>
      </c>
      <c r="AU45" s="150">
        <f t="shared" si="40"/>
        <v>215.788221296847</v>
      </c>
      <c r="AV45" s="150">
        <v>720</v>
      </c>
      <c r="AW45" s="155"/>
      <c r="AX45" s="121">
        <v>41</v>
      </c>
      <c r="AY45" s="122">
        <f>'【国内】常规用户招募-数据源 （正职）'!AQ45*1.3</f>
        <v>0.78</v>
      </c>
      <c r="AZ45" s="122">
        <f>'【国内】常规用户招募-数据源 （正职）'!AS45*0.6</f>
        <v>3.825</v>
      </c>
      <c r="BA45" s="122">
        <f t="shared" si="26"/>
        <v>6.18</v>
      </c>
      <c r="BB45" s="122">
        <f>'【国内】常规用户招募-数据源 （正职）'!AT45*1.1</f>
        <v>7.04</v>
      </c>
      <c r="BC45" s="122">
        <f t="shared" si="41"/>
        <v>661.829268292683</v>
      </c>
      <c r="BD45" s="122">
        <f>'【国内】常规用户招募-数据源 （正职）'!AU45</f>
        <v>661.829268292683</v>
      </c>
      <c r="BE45" s="122">
        <f t="shared" si="16"/>
        <v>0</v>
      </c>
      <c r="BF45" s="121">
        <v>250</v>
      </c>
      <c r="BG45" s="150">
        <f t="shared" si="42"/>
        <v>216.142177275431</v>
      </c>
      <c r="BH45" s="122">
        <f t="shared" si="43"/>
        <v>-33.8578227245687</v>
      </c>
    </row>
    <row r="46" spans="1:60">
      <c r="A46" s="121">
        <v>42</v>
      </c>
      <c r="B46" s="122">
        <f>'【国内】常规用户招募-数据源 （正职）'!B46*1.3</f>
        <v>0.39</v>
      </c>
      <c r="C46" s="122">
        <f>'【国内】常规用户招募-数据源 （正职）'!D46*0.6</f>
        <v>2.4</v>
      </c>
      <c r="D46" s="122">
        <f t="shared" si="27"/>
        <v>4.09083333333333</v>
      </c>
      <c r="E46" s="122">
        <f>'【国内】常规用户招募-数据源 （正职）'!E46</f>
        <v>4.6</v>
      </c>
      <c r="F46" s="122">
        <f t="shared" si="28"/>
        <v>398.809523809524</v>
      </c>
      <c r="G46" s="122">
        <f>'【国内】常规用户招募-数据源 （正职）'!F46</f>
        <v>398.809523809524</v>
      </c>
      <c r="H46" s="122">
        <f t="shared" si="29"/>
        <v>0</v>
      </c>
      <c r="I46" s="121">
        <v>200</v>
      </c>
      <c r="J46" s="150">
        <f t="shared" si="30"/>
        <v>209.495464852608</v>
      </c>
      <c r="K46" s="150">
        <f t="shared" si="23"/>
        <v>9.49546485260768</v>
      </c>
      <c r="L46" s="159">
        <v>690</v>
      </c>
      <c r="M46" s="155"/>
      <c r="N46" s="121">
        <v>42</v>
      </c>
      <c r="O46" s="122">
        <f>'【国内】常规用户招募-数据源 （正职）'!M46*1.3</f>
        <v>0.52</v>
      </c>
      <c r="P46" s="122">
        <f>'【国内】常规用户招募-数据源 （正职）'!O46*0.6</f>
        <v>2.46</v>
      </c>
      <c r="Q46" s="122">
        <f t="shared" si="31"/>
        <v>4.08066666666667</v>
      </c>
      <c r="R46" s="122">
        <f>'【国内】常规用户招募-数据源 （正职）'!P46*0.98</f>
        <v>4.704</v>
      </c>
      <c r="S46" s="122">
        <f t="shared" si="32"/>
        <v>422.380952380952</v>
      </c>
      <c r="T46" s="122">
        <f>'【国内】常规用户招募-数据源 （正职）'!Q46</f>
        <v>422.380952380952</v>
      </c>
      <c r="U46" s="122">
        <f t="shared" si="33"/>
        <v>0</v>
      </c>
      <c r="V46" s="121">
        <v>250</v>
      </c>
      <c r="W46" s="150">
        <f t="shared" si="34"/>
        <v>260.056689342404</v>
      </c>
      <c r="X46" s="159">
        <v>690</v>
      </c>
      <c r="Y46" s="155"/>
      <c r="Z46" s="121">
        <v>42</v>
      </c>
      <c r="AA46" s="122">
        <f>'【国内】常规用户招募-数据源 （正职）'!W46*1.3</f>
        <v>0.78</v>
      </c>
      <c r="AB46" s="122">
        <f>'【国内】常规用户招募-数据源 （正职）'!Y46*0.6</f>
        <v>3.12</v>
      </c>
      <c r="AC46" s="122">
        <f t="shared" si="24"/>
        <v>4.69333333333333</v>
      </c>
      <c r="AD46" s="122">
        <f>'【国内】常规用户招募-数据源 （正职）'!Z46*1.2</f>
        <v>7.56</v>
      </c>
      <c r="AE46" s="122">
        <f t="shared" si="35"/>
        <v>550.238095238095</v>
      </c>
      <c r="AF46" s="122">
        <f>'【国内】常规用户招募-数据源 （正职）'!AA46</f>
        <v>550.238095238095</v>
      </c>
      <c r="AG46" s="122">
        <f t="shared" si="36"/>
        <v>0</v>
      </c>
      <c r="AH46" s="121">
        <v>250</v>
      </c>
      <c r="AI46" s="150">
        <f t="shared" si="37"/>
        <v>263.100907029478</v>
      </c>
      <c r="AJ46" s="150">
        <v>700</v>
      </c>
      <c r="AK46" s="155"/>
      <c r="AL46" s="121">
        <v>42</v>
      </c>
      <c r="AM46" s="122">
        <f>'【国内】常规用户招募-数据源 （正职）'!AG46*1.3</f>
        <v>0.78</v>
      </c>
      <c r="AN46" s="122">
        <f>'【国内】常规用户招募-数据源 （正职）'!AI46*0.6</f>
        <v>3.78</v>
      </c>
      <c r="AO46" s="122">
        <f t="shared" si="25"/>
        <v>6.121</v>
      </c>
      <c r="AP46" s="122">
        <f>'【国内】常规用户招募-数据源 （正职）'!AJ46*1.08</f>
        <v>7.236</v>
      </c>
      <c r="AQ46" s="122">
        <f t="shared" si="38"/>
        <v>642.142857142857</v>
      </c>
      <c r="AR46" s="122">
        <f>'【国内】常规用户招募-数据源 （正职）'!AK46</f>
        <v>642.142857142857</v>
      </c>
      <c r="AS46" s="122">
        <f t="shared" si="39"/>
        <v>0</v>
      </c>
      <c r="AT46" s="121">
        <v>250</v>
      </c>
      <c r="AU46" s="150">
        <f t="shared" si="40"/>
        <v>215.289115646258</v>
      </c>
      <c r="AV46" s="150">
        <v>720</v>
      </c>
      <c r="AW46" s="155"/>
      <c r="AX46" s="121">
        <v>42</v>
      </c>
      <c r="AY46" s="122">
        <f>'【国内】常规用户招募-数据源 （正职）'!AQ46*1.3</f>
        <v>0.78</v>
      </c>
      <c r="AZ46" s="122">
        <f>'【国内】常规用户招募-数据源 （正职）'!AS46*0.6</f>
        <v>3.9</v>
      </c>
      <c r="BA46" s="122">
        <f t="shared" si="26"/>
        <v>6.31416666666667</v>
      </c>
      <c r="BB46" s="122">
        <f>'【国内】常规用户招募-数据源 （正职）'!AT46*1.1</f>
        <v>7.37</v>
      </c>
      <c r="BC46" s="122">
        <f t="shared" si="41"/>
        <v>658.333333333333</v>
      </c>
      <c r="BD46" s="122">
        <f>'【国内】常规用户招募-数据源 （正职）'!AU46</f>
        <v>658.333333333333</v>
      </c>
      <c r="BE46" s="122">
        <f t="shared" si="16"/>
        <v>0</v>
      </c>
      <c r="BF46" s="121">
        <v>250</v>
      </c>
      <c r="BG46" s="150">
        <f t="shared" si="42"/>
        <v>215.674603174603</v>
      </c>
      <c r="BH46" s="122">
        <f t="shared" si="43"/>
        <v>-34.3253968253968</v>
      </c>
    </row>
    <row r="47" spans="1:60">
      <c r="A47" s="121">
        <v>43</v>
      </c>
      <c r="B47" s="122">
        <f>'【国内】常规用户招募-数据源 （正职）'!B47*1.3</f>
        <v>0.39</v>
      </c>
      <c r="C47" s="122">
        <f>'【国内】常规用户招募-数据源 （正职）'!D47*0.6</f>
        <v>2.4</v>
      </c>
      <c r="D47" s="122">
        <f t="shared" si="27"/>
        <v>4.09083333333333</v>
      </c>
      <c r="E47" s="122">
        <f>'【国内】常规用户招募-数据源 （正职）'!E47</f>
        <v>4.8</v>
      </c>
      <c r="F47" s="122">
        <f t="shared" si="28"/>
        <v>390.93023255814</v>
      </c>
      <c r="G47" s="122">
        <f>'【国内】常规用户招募-数据源 （正职）'!F47</f>
        <v>390.93023255814</v>
      </c>
      <c r="H47" s="122">
        <f t="shared" si="29"/>
        <v>0</v>
      </c>
      <c r="I47" s="121">
        <v>200</v>
      </c>
      <c r="J47" s="150">
        <f t="shared" si="30"/>
        <v>209.091400757166</v>
      </c>
      <c r="K47" s="150">
        <f t="shared" si="23"/>
        <v>9.09140075716604</v>
      </c>
      <c r="L47" s="159">
        <v>690</v>
      </c>
      <c r="M47" s="155"/>
      <c r="N47" s="121">
        <v>43</v>
      </c>
      <c r="O47" s="122">
        <f>'【国内】常规用户招募-数据源 （正职）'!M47*1.3</f>
        <v>0.52</v>
      </c>
      <c r="P47" s="122">
        <f>'【国内】常规用户招募-数据源 （正职）'!O47*0.6</f>
        <v>2.46</v>
      </c>
      <c r="Q47" s="122">
        <f t="shared" si="31"/>
        <v>4.08266666666667</v>
      </c>
      <c r="R47" s="122">
        <f>'【国内】常规用户招募-数据源 （正职）'!P47*0.98</f>
        <v>5.096</v>
      </c>
      <c r="S47" s="122">
        <f t="shared" si="32"/>
        <v>415.348837209302</v>
      </c>
      <c r="T47" s="122">
        <f>'【国内】常规用户招募-数据源 （正职）'!Q47</f>
        <v>415.348837209302</v>
      </c>
      <c r="U47" s="122">
        <f t="shared" si="33"/>
        <v>0</v>
      </c>
      <c r="V47" s="121">
        <v>250</v>
      </c>
      <c r="W47" s="150">
        <f t="shared" si="34"/>
        <v>259.659275283937</v>
      </c>
      <c r="X47" s="159">
        <v>690</v>
      </c>
      <c r="Y47" s="155"/>
      <c r="Z47" s="121">
        <v>43</v>
      </c>
      <c r="AA47" s="122">
        <f>'【国内】常规用户招募-数据源 （正职）'!W47*1.3</f>
        <v>0.78</v>
      </c>
      <c r="AB47" s="122">
        <f>'【国内】常规用户招募-数据源 （正职）'!Y47*0.6</f>
        <v>3.18</v>
      </c>
      <c r="AC47" s="122">
        <f t="shared" si="24"/>
        <v>4.76166666666667</v>
      </c>
      <c r="AD47" s="122">
        <f>'【国内】常规用户招募-数据源 （正职）'!Z47*1.2</f>
        <v>8.64</v>
      </c>
      <c r="AE47" s="122">
        <f t="shared" si="35"/>
        <v>551.627906976744</v>
      </c>
      <c r="AF47" s="122">
        <f>'【国内】常规用户招募-数据源 （正职）'!AA47</f>
        <v>551.627906976744</v>
      </c>
      <c r="AG47" s="122">
        <f t="shared" si="36"/>
        <v>0</v>
      </c>
      <c r="AH47" s="121">
        <v>250</v>
      </c>
      <c r="AI47" s="150">
        <f t="shared" si="37"/>
        <v>262.828555976203</v>
      </c>
      <c r="AJ47" s="150">
        <v>700</v>
      </c>
      <c r="AK47" s="155"/>
      <c r="AL47" s="121">
        <v>43</v>
      </c>
      <c r="AM47" s="122">
        <f>'【国内】常规用户招募-数据源 （正职）'!AG47*1.3</f>
        <v>0.78</v>
      </c>
      <c r="AN47" s="122">
        <f>'【国内】常规用户招募-数据源 （正职）'!AI47*0.6</f>
        <v>3.84</v>
      </c>
      <c r="AO47" s="122">
        <f t="shared" si="25"/>
        <v>6.21633333333333</v>
      </c>
      <c r="AP47" s="122">
        <f>'【国内】常规用户招募-数据源 （正职）'!AJ47*1.08</f>
        <v>8.208</v>
      </c>
      <c r="AQ47" s="122">
        <f t="shared" si="38"/>
        <v>641.395348837209</v>
      </c>
      <c r="AR47" s="122">
        <f>'【国内】常规用户招募-数据源 （正职）'!AK47</f>
        <v>641.395348837209</v>
      </c>
      <c r="AS47" s="122">
        <f t="shared" si="39"/>
        <v>0</v>
      </c>
      <c r="AT47" s="121">
        <v>250</v>
      </c>
      <c r="AU47" s="150">
        <f t="shared" si="40"/>
        <v>214.916170903191</v>
      </c>
      <c r="AV47" s="150">
        <v>720</v>
      </c>
      <c r="AW47" s="155"/>
      <c r="AX47" s="121">
        <v>43</v>
      </c>
      <c r="AY47" s="122">
        <f>'【国内】常规用户招募-数据源 （正职）'!AQ47*1.3</f>
        <v>0.78</v>
      </c>
      <c r="AZ47" s="122">
        <f>'【国内】常规用户招募-数据源 （正职）'!AS47*0.6</f>
        <v>3.975</v>
      </c>
      <c r="BA47" s="122">
        <f t="shared" si="26"/>
        <v>6.43333333333333</v>
      </c>
      <c r="BB47" s="122">
        <f>'【国内】常规用户招募-数据源 （正职）'!AT47*1.1</f>
        <v>8.36</v>
      </c>
      <c r="BC47" s="122">
        <f t="shared" si="41"/>
        <v>659.186046511628</v>
      </c>
      <c r="BD47" s="122">
        <f>'【国内】常规用户招募-数据源 （正职）'!AU47</f>
        <v>659.186046511628</v>
      </c>
      <c r="BE47" s="122">
        <f t="shared" si="16"/>
        <v>0</v>
      </c>
      <c r="BF47" s="121">
        <v>250</v>
      </c>
      <c r="BG47" s="150">
        <f t="shared" si="42"/>
        <v>215.32990805841</v>
      </c>
      <c r="BH47" s="122">
        <f t="shared" si="43"/>
        <v>-34.67009194159</v>
      </c>
    </row>
    <row r="48" spans="1:60">
      <c r="A48" s="121">
        <v>44</v>
      </c>
      <c r="B48" s="122">
        <f>'【国内】常规用户招募-数据源 （正职）'!B48*1.3</f>
        <v>0.39</v>
      </c>
      <c r="C48" s="122">
        <f>'【国内】常规用户招募-数据源 （正职）'!D48*0.6</f>
        <v>2.46</v>
      </c>
      <c r="D48" s="122">
        <f t="shared" si="27"/>
        <v>4.20416666666667</v>
      </c>
      <c r="E48" s="122">
        <f>'【国内】常规用户招募-数据源 （正职）'!E48</f>
        <v>4.8</v>
      </c>
      <c r="F48" s="122">
        <f t="shared" si="28"/>
        <v>389.772727272727</v>
      </c>
      <c r="G48" s="122">
        <f>'【国内】常规用户招募-数据源 （正职）'!F48</f>
        <v>389.772727272727</v>
      </c>
      <c r="H48" s="122">
        <f t="shared" si="29"/>
        <v>0</v>
      </c>
      <c r="I48" s="121">
        <v>200</v>
      </c>
      <c r="J48" s="150">
        <f t="shared" si="30"/>
        <v>208.85847107438</v>
      </c>
      <c r="K48" s="150">
        <f t="shared" si="23"/>
        <v>8.85847107438019</v>
      </c>
      <c r="L48" s="159">
        <v>690</v>
      </c>
      <c r="M48" s="155"/>
      <c r="N48" s="121">
        <v>44</v>
      </c>
      <c r="O48" s="122">
        <f>'【国内】常规用户招募-数据源 （正职）'!M48*1.3</f>
        <v>0.52</v>
      </c>
      <c r="P48" s="122">
        <f>'【国内】常规用户招募-数据源 （正职）'!O48*0.6</f>
        <v>2.52</v>
      </c>
      <c r="Q48" s="122">
        <f t="shared" si="31"/>
        <v>4.196</v>
      </c>
      <c r="R48" s="122">
        <f>'【国内】常规用户招募-数据源 （正职）'!P48*0.98</f>
        <v>5.096</v>
      </c>
      <c r="S48" s="122">
        <f t="shared" si="32"/>
        <v>413.636363636364</v>
      </c>
      <c r="T48" s="122">
        <f>'【国内】常规用户招募-数据源 （正职）'!Q48</f>
        <v>413.636363636364</v>
      </c>
      <c r="U48" s="122">
        <f t="shared" si="33"/>
        <v>0</v>
      </c>
      <c r="V48" s="121">
        <v>250</v>
      </c>
      <c r="W48" s="150">
        <f t="shared" si="34"/>
        <v>259.400826446281</v>
      </c>
      <c r="X48" s="159">
        <v>690</v>
      </c>
      <c r="Y48" s="155"/>
      <c r="Z48" s="121">
        <v>44</v>
      </c>
      <c r="AA48" s="122">
        <f>'【国内】常规用户招募-数据源 （正职）'!W48*1.3</f>
        <v>0.78</v>
      </c>
      <c r="AB48" s="122">
        <f>'【国内】常规用户招募-数据源 （正职）'!Y48*0.6</f>
        <v>3.24</v>
      </c>
      <c r="AC48" s="122">
        <f t="shared" si="24"/>
        <v>4.85</v>
      </c>
      <c r="AD48" s="122">
        <f>'【国内】常规用户招募-数据源 （正职）'!Z48*1.2</f>
        <v>9.24</v>
      </c>
      <c r="AE48" s="122">
        <f t="shared" si="35"/>
        <v>550.227272727273</v>
      </c>
      <c r="AF48" s="122">
        <f>'【国内】常规用户招募-数据源 （正职）'!AA48</f>
        <v>550.227272727273</v>
      </c>
      <c r="AG48" s="122">
        <f t="shared" si="36"/>
        <v>0</v>
      </c>
      <c r="AH48" s="121">
        <v>250</v>
      </c>
      <c r="AI48" s="150">
        <f t="shared" si="37"/>
        <v>262.505165289256</v>
      </c>
      <c r="AJ48" s="150">
        <v>700</v>
      </c>
      <c r="AK48" s="155"/>
      <c r="AL48" s="121">
        <v>44</v>
      </c>
      <c r="AM48" s="122">
        <f>'【国内】常规用户招募-数据源 （正职）'!AG48*1.3</f>
        <v>0.91</v>
      </c>
      <c r="AN48" s="122">
        <f>'【国内】常规用户招募-数据源 （正职）'!AI48*0.6</f>
        <v>3.9</v>
      </c>
      <c r="AO48" s="122">
        <f t="shared" si="25"/>
        <v>6.17216666666667</v>
      </c>
      <c r="AP48" s="122">
        <f>'【国内】常规用户招募-数据源 （正职）'!AJ48*1.08</f>
        <v>8.748</v>
      </c>
      <c r="AQ48" s="122">
        <f t="shared" si="38"/>
        <v>651.363636363636</v>
      </c>
      <c r="AR48" s="122">
        <f>'【国内】常规用户招募-数据源 （正职）'!AK48</f>
        <v>651.363636363636</v>
      </c>
      <c r="AS48" s="122">
        <f t="shared" si="39"/>
        <v>0</v>
      </c>
      <c r="AT48" s="121">
        <v>250</v>
      </c>
      <c r="AU48" s="150">
        <f t="shared" si="40"/>
        <v>214.803719008264</v>
      </c>
      <c r="AV48" s="150">
        <v>720</v>
      </c>
      <c r="AW48" s="155"/>
      <c r="AX48" s="121">
        <v>44</v>
      </c>
      <c r="AY48" s="122">
        <f>'【国内】常规用户招募-数据源 （正职）'!AQ48*1.3</f>
        <v>0.91</v>
      </c>
      <c r="AZ48" s="122">
        <f>'【国内】常规用户招募-数据源 （正职）'!AS48*0.6</f>
        <v>4.05</v>
      </c>
      <c r="BA48" s="122">
        <f t="shared" si="26"/>
        <v>6.415</v>
      </c>
      <c r="BB48" s="122">
        <f>'【国内】常规用户招募-数据源 （正职）'!AT48*1.1</f>
        <v>8.91</v>
      </c>
      <c r="BC48" s="122">
        <f t="shared" si="41"/>
        <v>670.681818181818</v>
      </c>
      <c r="BD48" s="122">
        <f>'【国内】常规用户招募-数据源 （正职）'!AU48</f>
        <v>670.681818181818</v>
      </c>
      <c r="BE48" s="122">
        <f t="shared" si="16"/>
        <v>0</v>
      </c>
      <c r="BF48" s="121">
        <v>250</v>
      </c>
      <c r="BG48" s="150">
        <f t="shared" si="42"/>
        <v>215.242768595041</v>
      </c>
      <c r="BH48" s="122">
        <f t="shared" si="43"/>
        <v>-34.7572314049587</v>
      </c>
    </row>
    <row r="49" s="148" customFormat="1" spans="1:60">
      <c r="A49" s="121">
        <v>45</v>
      </c>
      <c r="B49" s="122">
        <f>'【国内】常规用户招募-数据源 （正职）'!B49*1.3</f>
        <v>0.39</v>
      </c>
      <c r="C49" s="122">
        <f>'【国内】常规用户招募-数据源 （正职）'!D49*0.6</f>
        <v>2.52</v>
      </c>
      <c r="D49" s="122">
        <f t="shared" si="27"/>
        <v>4.3175</v>
      </c>
      <c r="E49" s="122">
        <f>'【国内】常规用户招募-数据源 （正职）'!E49</f>
        <v>5</v>
      </c>
      <c r="F49" s="122">
        <f t="shared" si="28"/>
        <v>390</v>
      </c>
      <c r="G49" s="122">
        <f>'【国内】常规用户招募-数据源 （正职）'!F49</f>
        <v>390</v>
      </c>
      <c r="H49" s="122">
        <f t="shared" si="29"/>
        <v>0</v>
      </c>
      <c r="I49" s="121">
        <v>200</v>
      </c>
      <c r="J49" s="150">
        <f t="shared" si="30"/>
        <v>208.666666666667</v>
      </c>
      <c r="K49" s="150">
        <f t="shared" si="23"/>
        <v>8.66666666666666</v>
      </c>
      <c r="L49" s="159">
        <v>690</v>
      </c>
      <c r="M49" s="155"/>
      <c r="N49" s="121">
        <v>45</v>
      </c>
      <c r="O49" s="122">
        <f>'【国内】常规用户招募-数据源 （正职）'!M49*1.3</f>
        <v>0.52</v>
      </c>
      <c r="P49" s="122">
        <f>'【国内】常规用户招募-数据源 （正职）'!O49*0.6</f>
        <v>2.58</v>
      </c>
      <c r="Q49" s="122">
        <f t="shared" si="31"/>
        <v>4.31083333333333</v>
      </c>
      <c r="R49" s="122">
        <f>'【国内】常规用户招募-数据源 （正职）'!P49*0.98</f>
        <v>5.39</v>
      </c>
      <c r="S49" s="122">
        <f t="shared" si="32"/>
        <v>414</v>
      </c>
      <c r="T49" s="122">
        <f>'【国内】常规用户招募-数据源 （正职）'!Q49</f>
        <v>414</v>
      </c>
      <c r="U49" s="122">
        <f t="shared" si="33"/>
        <v>0</v>
      </c>
      <c r="V49" s="121">
        <v>250</v>
      </c>
      <c r="W49" s="150">
        <f t="shared" si="34"/>
        <v>259.2</v>
      </c>
      <c r="X49" s="159">
        <v>690</v>
      </c>
      <c r="Y49" s="155"/>
      <c r="Z49" s="121">
        <v>45</v>
      </c>
      <c r="AA49" s="122">
        <f>'【国内】常规用户招募-数据源 （正职）'!W49*1.3</f>
        <v>0.78</v>
      </c>
      <c r="AB49" s="122">
        <f>'【国内】常规用户招募-数据源 （正职）'!Y49*0.6</f>
        <v>3.3</v>
      </c>
      <c r="AC49" s="122">
        <f t="shared" si="24"/>
        <v>4.97833333333333</v>
      </c>
      <c r="AD49" s="122">
        <f>'【国内】常规用户招募-数据源 （正职）'!Z49*1.2</f>
        <v>8.88</v>
      </c>
      <c r="AE49" s="122">
        <f t="shared" si="35"/>
        <v>543.555555555556</v>
      </c>
      <c r="AF49" s="122">
        <f>'【国内】常规用户招募-数据源 （正职）'!AA49</f>
        <v>543.555555555556</v>
      </c>
      <c r="AG49" s="122">
        <f t="shared" si="36"/>
        <v>0</v>
      </c>
      <c r="AH49" s="121">
        <v>250</v>
      </c>
      <c r="AI49" s="150">
        <f t="shared" si="37"/>
        <v>262.079012345679</v>
      </c>
      <c r="AJ49" s="150">
        <v>700</v>
      </c>
      <c r="AK49" s="155"/>
      <c r="AL49" s="121">
        <v>45</v>
      </c>
      <c r="AM49" s="122">
        <f>'【国内】常规用户招募-数据源 （正职）'!AG49*1.3</f>
        <v>1.04</v>
      </c>
      <c r="AN49" s="122">
        <f>'【国内】常规用户招募-数据源 （正职）'!AI49*0.6</f>
        <v>3.9</v>
      </c>
      <c r="AO49" s="122">
        <f t="shared" si="25"/>
        <v>6.02866666666667</v>
      </c>
      <c r="AP49" s="122">
        <f>'【国内】常规用户招募-数据源 （正职）'!AJ49*1.08</f>
        <v>8.532</v>
      </c>
      <c r="AQ49" s="122">
        <f t="shared" si="38"/>
        <v>648.666666666667</v>
      </c>
      <c r="AR49" s="122">
        <f>'【国内】常规用户招募-数据源 （正职）'!AK49</f>
        <v>648.666666666667</v>
      </c>
      <c r="AS49" s="122">
        <f t="shared" si="39"/>
        <v>0</v>
      </c>
      <c r="AT49" s="121">
        <v>250</v>
      </c>
      <c r="AU49" s="150">
        <f t="shared" si="40"/>
        <v>214.414814814815</v>
      </c>
      <c r="AV49" s="150">
        <v>720</v>
      </c>
      <c r="AW49" s="155"/>
      <c r="AX49" s="121">
        <v>45</v>
      </c>
      <c r="AY49" s="122">
        <f>'【国内】常规用户招募-数据源 （正职）'!AQ49*1.3</f>
        <v>1.04</v>
      </c>
      <c r="AZ49" s="122">
        <f>'【国内】常规用户招募-数据源 （正职）'!AS49*0.6</f>
        <v>4.125</v>
      </c>
      <c r="BA49" s="122">
        <f t="shared" si="26"/>
        <v>6.41416666666667</v>
      </c>
      <c r="BB49" s="122">
        <f>'【国内】常规用户招募-数据源 （正职）'!AT49*1.1</f>
        <v>8.69</v>
      </c>
      <c r="BC49" s="122">
        <f t="shared" si="41"/>
        <v>677</v>
      </c>
      <c r="BD49" s="122">
        <f>'【国内】常规用户招募-数据源 （正职）'!AU49</f>
        <v>677</v>
      </c>
      <c r="BE49" s="122">
        <f t="shared" si="16"/>
        <v>0</v>
      </c>
      <c r="BF49" s="121">
        <v>250</v>
      </c>
      <c r="BG49" s="150">
        <f t="shared" si="42"/>
        <v>215.044444444444</v>
      </c>
      <c r="BH49" s="122">
        <f t="shared" si="43"/>
        <v>-34.9555555555555</v>
      </c>
    </row>
    <row r="50" spans="1:60">
      <c r="A50" s="121">
        <v>46</v>
      </c>
      <c r="B50" s="122">
        <f>'【国内】常规用户招募-数据源 （正职）'!B50*1.3</f>
        <v>0.39</v>
      </c>
      <c r="C50" s="122">
        <f>'【国内】常规用户招募-数据源 （正职）'!D50*0.6</f>
        <v>2.52</v>
      </c>
      <c r="D50" s="122">
        <f t="shared" si="27"/>
        <v>4.3175</v>
      </c>
      <c r="E50" s="122">
        <f>'【国内】常规用户招募-数据源 （正职）'!E50</f>
        <v>5</v>
      </c>
      <c r="F50" s="122">
        <f t="shared" si="28"/>
        <v>381.521739130435</v>
      </c>
      <c r="G50" s="122">
        <f>'【国内】常规用户招募-数据源 （正职）'!F50</f>
        <v>381.521739130435</v>
      </c>
      <c r="H50" s="122">
        <f t="shared" si="29"/>
        <v>0</v>
      </c>
      <c r="I50" s="121">
        <v>200</v>
      </c>
      <c r="J50" s="150">
        <f t="shared" si="30"/>
        <v>208.293950850662</v>
      </c>
      <c r="K50" s="150">
        <f t="shared" si="23"/>
        <v>8.29395085066162</v>
      </c>
      <c r="L50" s="159">
        <v>690</v>
      </c>
      <c r="M50" s="155"/>
      <c r="N50" s="121">
        <v>46</v>
      </c>
      <c r="O50" s="122">
        <f>'【国内】常规用户招募-数据源 （正职）'!M50*1.3</f>
        <v>0.52</v>
      </c>
      <c r="P50" s="122">
        <f>'【国内】常规用户招募-数据源 （正职）'!O50*0.6</f>
        <v>2.58</v>
      </c>
      <c r="Q50" s="122">
        <f t="shared" si="31"/>
        <v>4.31083333333333</v>
      </c>
      <c r="R50" s="122">
        <f>'【国内】常规用户招募-数据源 （正职）'!P50*0.98</f>
        <v>5.39</v>
      </c>
      <c r="S50" s="122">
        <f t="shared" si="32"/>
        <v>405</v>
      </c>
      <c r="T50" s="122">
        <f>'【国内】常规用户招募-数据源 （正职）'!Q50</f>
        <v>405</v>
      </c>
      <c r="U50" s="122">
        <f t="shared" si="33"/>
        <v>0</v>
      </c>
      <c r="V50" s="121">
        <v>250</v>
      </c>
      <c r="W50" s="150">
        <f t="shared" si="34"/>
        <v>258.804347826087</v>
      </c>
      <c r="X50" s="159">
        <v>690</v>
      </c>
      <c r="Y50" s="155"/>
      <c r="Z50" s="121">
        <v>46</v>
      </c>
      <c r="AA50" s="122">
        <f>'【国内】常规用户招募-数据源 （正职）'!W50*1.3</f>
        <v>0.78</v>
      </c>
      <c r="AB50" s="122">
        <f>'【国内】常规用户招募-数据源 （正职）'!Y50*0.6</f>
        <v>3.36</v>
      </c>
      <c r="AC50" s="122">
        <f t="shared" si="24"/>
        <v>5.09166666666667</v>
      </c>
      <c r="AD50" s="122">
        <f>'【国内】常规用户招募-数据源 （正职）'!Z50*1.2</f>
        <v>8.88</v>
      </c>
      <c r="AE50" s="122">
        <f t="shared" si="35"/>
        <v>539.130434782609</v>
      </c>
      <c r="AF50" s="122">
        <f>'【国内】常规用户招募-数据源 （正职）'!AA50</f>
        <v>539.130434782609</v>
      </c>
      <c r="AG50" s="122">
        <f t="shared" si="36"/>
        <v>0</v>
      </c>
      <c r="AH50" s="121">
        <v>250</v>
      </c>
      <c r="AI50" s="150">
        <f t="shared" si="37"/>
        <v>261.7202268431</v>
      </c>
      <c r="AJ50" s="150">
        <v>700</v>
      </c>
      <c r="AK50" s="155"/>
      <c r="AL50" s="121">
        <v>46</v>
      </c>
      <c r="AM50" s="122">
        <f>'【国内】常规用户招募-数据源 （正职）'!AG50*1.3</f>
        <v>1.04</v>
      </c>
      <c r="AN50" s="122">
        <f>'【国内】常规用户招募-数据源 （正职）'!AI50*0.6</f>
        <v>3.96</v>
      </c>
      <c r="AO50" s="122">
        <f t="shared" si="25"/>
        <v>6.142</v>
      </c>
      <c r="AP50" s="122">
        <f>'【国内】常规用户招募-数据源 （正职）'!AJ50*1.08</f>
        <v>8.532</v>
      </c>
      <c r="AQ50" s="122">
        <f t="shared" si="38"/>
        <v>641.95652173913</v>
      </c>
      <c r="AR50" s="122">
        <f>'【国内】常规用户招募-数据源 （正职）'!AK50</f>
        <v>641.95652173913</v>
      </c>
      <c r="AS50" s="122">
        <f t="shared" si="39"/>
        <v>0</v>
      </c>
      <c r="AT50" s="121">
        <v>250</v>
      </c>
      <c r="AU50" s="150">
        <f t="shared" si="40"/>
        <v>213.955576559546</v>
      </c>
      <c r="AV50" s="150">
        <v>720</v>
      </c>
      <c r="AW50" s="155"/>
      <c r="AX50" s="121">
        <v>46</v>
      </c>
      <c r="AY50" s="122">
        <f>'【国内】常规用户招募-数据源 （正职）'!AQ50*1.3</f>
        <v>1.04</v>
      </c>
      <c r="AZ50" s="122">
        <f>'【国内】常规用户招募-数据源 （正职）'!AS50*0.6</f>
        <v>4.2</v>
      </c>
      <c r="BA50" s="122">
        <f t="shared" si="26"/>
        <v>6.55583333333333</v>
      </c>
      <c r="BB50" s="122">
        <f>'【国内】常规用户招募-数据源 （正职）'!AT50*1.1</f>
        <v>8.69</v>
      </c>
      <c r="BC50" s="122">
        <f t="shared" si="41"/>
        <v>671.521739130435</v>
      </c>
      <c r="BD50" s="122">
        <f>'【国内】常规用户招募-数据源 （正职）'!AU50</f>
        <v>671.521739130435</v>
      </c>
      <c r="BE50" s="122">
        <f t="shared" si="16"/>
        <v>0</v>
      </c>
      <c r="BF50" s="121">
        <v>250</v>
      </c>
      <c r="BG50" s="150">
        <f t="shared" si="42"/>
        <v>214.598298676749</v>
      </c>
      <c r="BH50" s="122">
        <f t="shared" si="43"/>
        <v>-35.4017013232514</v>
      </c>
    </row>
    <row r="51" spans="1:60">
      <c r="A51" s="121">
        <v>47</v>
      </c>
      <c r="B51" s="122">
        <f>'【国内】常规用户招募-数据源 （正职）'!B51*1.3</f>
        <v>0.39</v>
      </c>
      <c r="C51" s="122">
        <f>'【国内】常规用户招募-数据源 （正职）'!D51*0.6</f>
        <v>2.52</v>
      </c>
      <c r="D51" s="122">
        <f t="shared" si="27"/>
        <v>4.3175</v>
      </c>
      <c r="E51" s="122">
        <f>'【国内】常规用户招募-数据源 （正职）'!E51</f>
        <v>5.2</v>
      </c>
      <c r="F51" s="122">
        <f t="shared" si="28"/>
        <v>374.68085106383</v>
      </c>
      <c r="G51" s="122">
        <f>'【国内】常规用户招募-数据源 （正职）'!F51</f>
        <v>374.68085106383</v>
      </c>
      <c r="H51" s="122">
        <f t="shared" si="29"/>
        <v>0</v>
      </c>
      <c r="I51" s="121">
        <v>200</v>
      </c>
      <c r="J51" s="150">
        <f t="shared" si="30"/>
        <v>207.971933001358</v>
      </c>
      <c r="K51" s="150">
        <f t="shared" si="23"/>
        <v>7.97193300135808</v>
      </c>
      <c r="L51" s="159">
        <v>690</v>
      </c>
      <c r="M51" s="155"/>
      <c r="N51" s="121">
        <v>47</v>
      </c>
      <c r="O51" s="122">
        <f>'【国内】常规用户招募-数据源 （正职）'!M51*1.3</f>
        <v>0.52</v>
      </c>
      <c r="P51" s="122">
        <f>'【国内】常规用户招募-数据源 （正职）'!O51*0.6</f>
        <v>2.58</v>
      </c>
      <c r="Q51" s="122">
        <f t="shared" si="31"/>
        <v>4.31183333333333</v>
      </c>
      <c r="R51" s="122">
        <f>'【国内】常规用户招募-数据源 （正职）'!P51*0.98</f>
        <v>5.586</v>
      </c>
      <c r="S51" s="122">
        <f t="shared" si="32"/>
        <v>397.659574468085</v>
      </c>
      <c r="T51" s="122">
        <f>'【国内】常规用户招募-数据源 （正职）'!Q51</f>
        <v>397.659574468085</v>
      </c>
      <c r="U51" s="122">
        <f t="shared" si="33"/>
        <v>0</v>
      </c>
      <c r="V51" s="121">
        <v>250</v>
      </c>
      <c r="W51" s="150">
        <f t="shared" si="34"/>
        <v>258.460842009959</v>
      </c>
      <c r="X51" s="159">
        <v>690</v>
      </c>
      <c r="Y51" s="155"/>
      <c r="Z51" s="121">
        <v>47</v>
      </c>
      <c r="AA51" s="122">
        <f>'【国内】常规用户招募-数据源 （正职）'!W51*1.3</f>
        <v>0.91</v>
      </c>
      <c r="AB51" s="122">
        <f>'【国内】常规用户招募-数据源 （正职）'!Y51*0.6</f>
        <v>3.42</v>
      </c>
      <c r="AC51" s="122">
        <f t="shared" si="24"/>
        <v>5.0425</v>
      </c>
      <c r="AD51" s="122">
        <f>'【国内】常规用户招募-数据源 （正职）'!Z51*1.2</f>
        <v>9.24</v>
      </c>
      <c r="AE51" s="122">
        <f t="shared" si="35"/>
        <v>549.36170212766</v>
      </c>
      <c r="AF51" s="122">
        <f>'【国内】常规用户招募-数据源 （正职）'!AA51</f>
        <v>549.36170212766</v>
      </c>
      <c r="AG51" s="122">
        <f t="shared" si="36"/>
        <v>0</v>
      </c>
      <c r="AH51" s="121">
        <v>250</v>
      </c>
      <c r="AI51" s="150">
        <f t="shared" si="37"/>
        <v>261.68854685378</v>
      </c>
      <c r="AJ51" s="150">
        <v>700</v>
      </c>
      <c r="AK51" s="155"/>
      <c r="AL51" s="121">
        <v>47</v>
      </c>
      <c r="AM51" s="122">
        <f>'【国内】常规用户招募-数据源 （正职）'!AG51*1.3</f>
        <v>1.04</v>
      </c>
      <c r="AN51" s="122">
        <f>'【国内】常规用户招募-数据源 （正职）'!AI51*0.6</f>
        <v>4.08</v>
      </c>
      <c r="AO51" s="122">
        <f t="shared" si="25"/>
        <v>6.36266666666667</v>
      </c>
      <c r="AP51" s="122">
        <f>'【国内】常规用户招募-数据源 （正职）'!AJ51*1.08</f>
        <v>8.856</v>
      </c>
      <c r="AQ51" s="122">
        <f t="shared" si="38"/>
        <v>644.68085106383</v>
      </c>
      <c r="AR51" s="122">
        <f>'【国内】常规用户招募-数据源 （正职）'!AK51</f>
        <v>644.68085106383</v>
      </c>
      <c r="AS51" s="122">
        <f t="shared" si="39"/>
        <v>0</v>
      </c>
      <c r="AT51" s="121">
        <v>250</v>
      </c>
      <c r="AU51" s="150">
        <f t="shared" si="40"/>
        <v>213.716613852422</v>
      </c>
      <c r="AV51" s="150">
        <v>720</v>
      </c>
      <c r="AW51" s="155"/>
      <c r="AX51" s="121">
        <v>47</v>
      </c>
      <c r="AY51" s="122">
        <f>'【国内】常规用户招募-数据源 （正职）'!AQ51*1.3</f>
        <v>1.04</v>
      </c>
      <c r="AZ51" s="122">
        <f>'【国内】常规用户招募-数据源 （正职）'!AS51*0.6</f>
        <v>4.275</v>
      </c>
      <c r="BA51" s="122">
        <f t="shared" si="26"/>
        <v>6.69</v>
      </c>
      <c r="BB51" s="122">
        <f>'【国内】常规用户招募-数据源 （正职）'!AT51*1.1</f>
        <v>9.02</v>
      </c>
      <c r="BC51" s="122">
        <f t="shared" si="41"/>
        <v>668.191489361702</v>
      </c>
      <c r="BD51" s="122">
        <f>'【国内】常规用户招募-数据源 （正职）'!AU51</f>
        <v>668.191489361702</v>
      </c>
      <c r="BE51" s="122">
        <f t="shared" si="16"/>
        <v>0</v>
      </c>
      <c r="BF51" s="121">
        <v>250</v>
      </c>
      <c r="BG51" s="150">
        <f t="shared" si="42"/>
        <v>214.216840199185</v>
      </c>
      <c r="BH51" s="122">
        <f t="shared" si="43"/>
        <v>-35.7831598008149</v>
      </c>
    </row>
    <row r="52" spans="1:60">
      <c r="A52" s="121">
        <v>48</v>
      </c>
      <c r="B52" s="122">
        <f>'【国内】常规用户招募-数据源 （正职）'!B52*1.3</f>
        <v>0.39</v>
      </c>
      <c r="C52" s="122">
        <f>'【国内】常规用户招募-数据源 （正职）'!D52*0.6</f>
        <v>2.52</v>
      </c>
      <c r="D52" s="122">
        <f t="shared" si="27"/>
        <v>4.3175</v>
      </c>
      <c r="E52" s="122">
        <f>'【国内】常规用户招募-数据源 （正职）'!E52</f>
        <v>5.2</v>
      </c>
      <c r="F52" s="122">
        <f t="shared" si="28"/>
        <v>366.875</v>
      </c>
      <c r="G52" s="122">
        <f>'【国内】常规用户招募-数据源 （正职）'!F52</f>
        <v>366.875</v>
      </c>
      <c r="H52" s="122">
        <f t="shared" si="29"/>
        <v>0</v>
      </c>
      <c r="I52" s="121">
        <v>200</v>
      </c>
      <c r="J52" s="150">
        <f t="shared" si="30"/>
        <v>207.643229166667</v>
      </c>
      <c r="K52" s="150">
        <f t="shared" si="23"/>
        <v>7.64322916666666</v>
      </c>
      <c r="L52" s="159">
        <v>690</v>
      </c>
      <c r="M52" s="155"/>
      <c r="N52" s="121">
        <v>48</v>
      </c>
      <c r="O52" s="122">
        <f>'【国内】常规用户招募-数据源 （正职）'!M52*1.3</f>
        <v>0.52</v>
      </c>
      <c r="P52" s="122">
        <f>'【国内】常规用户招募-数据源 （正职）'!O52*0.6</f>
        <v>2.58</v>
      </c>
      <c r="Q52" s="122">
        <f t="shared" si="31"/>
        <v>4.31183333333333</v>
      </c>
      <c r="R52" s="122">
        <f>'【国内】常规用户招募-数据源 （正职）'!P52*0.98</f>
        <v>5.586</v>
      </c>
      <c r="S52" s="122">
        <f t="shared" si="32"/>
        <v>389.375</v>
      </c>
      <c r="T52" s="122">
        <f>'【国内】常规用户招募-数据源 （正职）'!Q52</f>
        <v>389.375</v>
      </c>
      <c r="U52" s="122">
        <f t="shared" si="33"/>
        <v>0</v>
      </c>
      <c r="V52" s="121">
        <v>250</v>
      </c>
      <c r="W52" s="150">
        <f t="shared" si="34"/>
        <v>258.111979166667</v>
      </c>
      <c r="X52" s="159">
        <v>690</v>
      </c>
      <c r="Y52" s="155"/>
      <c r="Z52" s="121">
        <v>48</v>
      </c>
      <c r="AA52" s="122">
        <f>'【国内】常规用户招募-数据源 （正职）'!W52*1.3</f>
        <v>0.91</v>
      </c>
      <c r="AB52" s="122">
        <f>'【国内】常规用户招募-数据源 （正职）'!Y52*0.6</f>
        <v>3.48</v>
      </c>
      <c r="AC52" s="122">
        <f t="shared" si="24"/>
        <v>5.15583333333333</v>
      </c>
      <c r="AD52" s="122">
        <f>'【国内】常规用户招募-数据源 （正职）'!Z52*1.2</f>
        <v>9.24</v>
      </c>
      <c r="AE52" s="122">
        <f t="shared" si="35"/>
        <v>545</v>
      </c>
      <c r="AF52" s="122">
        <f>'【国内】常规用户招募-数据源 （正职）'!AA52</f>
        <v>545</v>
      </c>
      <c r="AG52" s="122">
        <f t="shared" si="36"/>
        <v>0</v>
      </c>
      <c r="AH52" s="121">
        <v>250</v>
      </c>
      <c r="AI52" s="150">
        <f t="shared" si="37"/>
        <v>261.354166666667</v>
      </c>
      <c r="AJ52" s="150">
        <v>700</v>
      </c>
      <c r="AK52" s="155"/>
      <c r="AL52" s="121">
        <v>48</v>
      </c>
      <c r="AM52" s="122">
        <f>'【国内】常规用户招募-数据源 （正职）'!AG52*1.3</f>
        <v>1.04</v>
      </c>
      <c r="AN52" s="122">
        <f>'【国内】常规用户招募-数据源 （正职）'!AI52*0.6</f>
        <v>4.14</v>
      </c>
      <c r="AO52" s="122">
        <f t="shared" si="25"/>
        <v>6.476</v>
      </c>
      <c r="AP52" s="122">
        <f>'【国内】常规用户招募-数据源 （正职）'!AJ52*1.08</f>
        <v>8.856</v>
      </c>
      <c r="AQ52" s="122">
        <f t="shared" si="38"/>
        <v>638.333333333333</v>
      </c>
      <c r="AR52" s="122">
        <f>'【国内】常规用户招募-数据源 （正职）'!AK52</f>
        <v>638.333333333333</v>
      </c>
      <c r="AS52" s="122">
        <f t="shared" si="39"/>
        <v>0</v>
      </c>
      <c r="AT52" s="121">
        <v>250</v>
      </c>
      <c r="AU52" s="150">
        <f t="shared" si="40"/>
        <v>213.298611111111</v>
      </c>
      <c r="AV52" s="150">
        <v>720</v>
      </c>
      <c r="AW52" s="155"/>
      <c r="AX52" s="121">
        <v>48</v>
      </c>
      <c r="AY52" s="122">
        <f>'【国内】常规用户招募-数据源 （正职）'!AQ52*1.3</f>
        <v>1.17</v>
      </c>
      <c r="AZ52" s="122">
        <f>'【国内】常规用户招募-数据源 （正职）'!AS52*0.6</f>
        <v>4.35</v>
      </c>
      <c r="BA52" s="122">
        <f t="shared" si="26"/>
        <v>6.68416666666667</v>
      </c>
      <c r="BB52" s="122">
        <f>'【国内】常规用户招募-数据源 （正职）'!AT52*1.1</f>
        <v>9.02</v>
      </c>
      <c r="BC52" s="122">
        <f t="shared" si="41"/>
        <v>675.416666666667</v>
      </c>
      <c r="BD52" s="122">
        <f>'【国内】常规用户招募-数据源 （正职）'!AU52</f>
        <v>675.416666666667</v>
      </c>
      <c r="BE52" s="122">
        <f t="shared" si="16"/>
        <v>0</v>
      </c>
      <c r="BF52" s="121">
        <v>250</v>
      </c>
      <c r="BG52" s="150">
        <f t="shared" si="42"/>
        <v>214.071180555556</v>
      </c>
      <c r="BH52" s="122">
        <f t="shared" si="43"/>
        <v>-35.9288194444445</v>
      </c>
    </row>
    <row r="53" spans="1:60">
      <c r="A53" s="121">
        <v>49</v>
      </c>
      <c r="B53" s="122">
        <f>'【国内】常规用户招募-数据源 （正职）'!B53*1.3</f>
        <v>0.39</v>
      </c>
      <c r="C53" s="122">
        <f>'【国内】常规用户招募-数据源 （正职）'!D53*0.6</f>
        <v>2.52</v>
      </c>
      <c r="D53" s="122">
        <f t="shared" si="27"/>
        <v>4.3175</v>
      </c>
      <c r="E53" s="122">
        <f>'【国内】常规用户招募-数据源 （正职）'!E53</f>
        <v>5.4</v>
      </c>
      <c r="F53" s="122">
        <f t="shared" si="28"/>
        <v>360.612244897959</v>
      </c>
      <c r="G53" s="122">
        <f>'【国内】常规用户招募-数据源 （正职）'!F53</f>
        <v>360.612244897959</v>
      </c>
      <c r="H53" s="122">
        <f t="shared" si="29"/>
        <v>0</v>
      </c>
      <c r="I53" s="121">
        <v>200</v>
      </c>
      <c r="J53" s="150">
        <f t="shared" si="30"/>
        <v>207.359433569346</v>
      </c>
      <c r="K53" s="150">
        <f t="shared" si="23"/>
        <v>7.35943356934609</v>
      </c>
      <c r="L53" s="159">
        <v>690</v>
      </c>
      <c r="M53" s="155"/>
      <c r="N53" s="121">
        <v>49</v>
      </c>
      <c r="O53" s="122">
        <f>'【国内】常规用户招募-数据源 （正职）'!M53*1.3</f>
        <v>0.52</v>
      </c>
      <c r="P53" s="122">
        <f>'【国内】常规用户招募-数据源 （正职）'!O53*0.6</f>
        <v>2.58</v>
      </c>
      <c r="Q53" s="122">
        <f t="shared" si="31"/>
        <v>4.31283333333333</v>
      </c>
      <c r="R53" s="122">
        <f>'【国内】常规用户招募-数据源 （正职）'!P53*0.98</f>
        <v>5.782</v>
      </c>
      <c r="S53" s="122">
        <f t="shared" si="32"/>
        <v>382.65306122449</v>
      </c>
      <c r="T53" s="122">
        <f>'【国内】常规用户招募-数据源 （正职）'!Q53</f>
        <v>382.65306122449</v>
      </c>
      <c r="U53" s="122">
        <f t="shared" si="33"/>
        <v>0</v>
      </c>
      <c r="V53" s="121">
        <v>250</v>
      </c>
      <c r="W53" s="150">
        <f t="shared" si="34"/>
        <v>257.809246147439</v>
      </c>
      <c r="X53" s="159">
        <v>690</v>
      </c>
      <c r="Y53" s="155"/>
      <c r="Z53" s="121">
        <v>49</v>
      </c>
      <c r="AA53" s="122">
        <f>'【国内】常规用户招募-数据源 （正职）'!W53*1.3</f>
        <v>0.91</v>
      </c>
      <c r="AB53" s="122">
        <f>'【国内】常规用户招募-数据源 （正职）'!Y53*0.6</f>
        <v>3.54</v>
      </c>
      <c r="AC53" s="122">
        <f t="shared" si="24"/>
        <v>5.25916666666667</v>
      </c>
      <c r="AD53" s="122">
        <f>'【国内】常规用户招募-数据源 （正职）'!Z53*1.2</f>
        <v>9.48</v>
      </c>
      <c r="AE53" s="122">
        <f t="shared" si="35"/>
        <v>542.040816326531</v>
      </c>
      <c r="AF53" s="122">
        <f>'【国内】常规用户招募-数据源 （正职）'!AA53</f>
        <v>542.040816326531</v>
      </c>
      <c r="AG53" s="122">
        <f t="shared" si="36"/>
        <v>0</v>
      </c>
      <c r="AH53" s="121">
        <v>250</v>
      </c>
      <c r="AI53" s="150">
        <f t="shared" si="37"/>
        <v>261.062057476052</v>
      </c>
      <c r="AJ53" s="150">
        <v>700</v>
      </c>
      <c r="AK53" s="155"/>
      <c r="AL53" s="121">
        <v>49</v>
      </c>
      <c r="AM53" s="122">
        <f>'【国内】常规用户招募-数据源 （正职）'!AG53*1.3</f>
        <v>1.04</v>
      </c>
      <c r="AN53" s="122">
        <f>'【国内】常规用户招募-数据源 （正职）'!AI53*0.6</f>
        <v>4.2</v>
      </c>
      <c r="AO53" s="122">
        <f t="shared" si="25"/>
        <v>6.58533333333333</v>
      </c>
      <c r="AP53" s="122">
        <f>'【国内】常规用户招募-数据源 （正职）'!AJ53*1.08</f>
        <v>9.072</v>
      </c>
      <c r="AQ53" s="122">
        <f t="shared" si="38"/>
        <v>633.469387755102</v>
      </c>
      <c r="AR53" s="122">
        <f>'【国内】常规用户招募-数据源 （正职）'!AK53</f>
        <v>633.469387755102</v>
      </c>
      <c r="AS53" s="122">
        <f t="shared" si="39"/>
        <v>0</v>
      </c>
      <c r="AT53" s="121">
        <v>250</v>
      </c>
      <c r="AU53" s="150">
        <f t="shared" si="40"/>
        <v>212.92794668888</v>
      </c>
      <c r="AV53" s="150">
        <v>720</v>
      </c>
      <c r="AW53" s="155"/>
      <c r="AX53" s="121">
        <v>49</v>
      </c>
      <c r="AY53" s="122">
        <f>'【国内】常规用户招募-数据源 （正职）'!AQ53*1.3</f>
        <v>1.17</v>
      </c>
      <c r="AZ53" s="122">
        <f>'【国内】常规用户招募-数据源 （正职）'!AS53*0.6</f>
        <v>4.425</v>
      </c>
      <c r="BA53" s="122">
        <f t="shared" si="26"/>
        <v>6.85083333333333</v>
      </c>
      <c r="BB53" s="122">
        <f>'【国内】常规用户招募-数据源 （正职）'!AT53*1.1</f>
        <v>7.92</v>
      </c>
      <c r="BC53" s="122">
        <f t="shared" si="41"/>
        <v>664.183673469388</v>
      </c>
      <c r="BD53" s="122">
        <f>'【国内】常规用户招募-数据源 （正职）'!AU53</f>
        <v>664.183673469388</v>
      </c>
      <c r="BE53" s="122">
        <f t="shared" si="16"/>
        <v>0</v>
      </c>
      <c r="BF53" s="121">
        <v>250</v>
      </c>
      <c r="BG53" s="150">
        <f t="shared" si="42"/>
        <v>213.554768846314</v>
      </c>
      <c r="BH53" s="122">
        <f t="shared" si="43"/>
        <v>-36.445231153686</v>
      </c>
    </row>
    <row r="54" spans="1:60">
      <c r="A54" s="121">
        <v>50</v>
      </c>
      <c r="B54" s="122">
        <f>'【国内】常规用户招募-数据源 （正职）'!B54*1.3</f>
        <v>0.39</v>
      </c>
      <c r="C54" s="122">
        <f>'【国内】常规用户招募-数据源 （正职）'!D54*0.6</f>
        <v>2.52</v>
      </c>
      <c r="D54" s="122">
        <f t="shared" si="27"/>
        <v>4.3175</v>
      </c>
      <c r="E54" s="122">
        <f>'【国内】常规用户招募-数据源 （正职）'!E54</f>
        <v>5.4</v>
      </c>
      <c r="F54" s="122">
        <f t="shared" si="28"/>
        <v>353.4</v>
      </c>
      <c r="G54" s="122">
        <f>'【国内】常规用户招募-数据源 （正职）'!F54</f>
        <v>353.4</v>
      </c>
      <c r="H54" s="122">
        <f t="shared" si="29"/>
        <v>0</v>
      </c>
      <c r="I54" s="121">
        <v>200</v>
      </c>
      <c r="J54" s="150">
        <f t="shared" si="30"/>
        <v>207.068</v>
      </c>
      <c r="K54" s="150">
        <f t="shared" si="23"/>
        <v>7.06799999999998</v>
      </c>
      <c r="L54" s="159">
        <v>690</v>
      </c>
      <c r="M54" s="155"/>
      <c r="N54" s="121">
        <v>50</v>
      </c>
      <c r="O54" s="122">
        <f>'【国内】常规用户招募-数据源 （正职）'!M54*1.3</f>
        <v>0.65</v>
      </c>
      <c r="P54" s="122">
        <f>'【国内】常规用户招募-数据源 （正职）'!O54*0.6</f>
        <v>2.58</v>
      </c>
      <c r="Q54" s="122">
        <f t="shared" si="31"/>
        <v>4.16533333333333</v>
      </c>
      <c r="R54" s="122">
        <f>'【国内】常规用户招募-数据源 （正职）'!P54*0.98</f>
        <v>5.782</v>
      </c>
      <c r="S54" s="122">
        <f t="shared" si="32"/>
        <v>386.8</v>
      </c>
      <c r="T54" s="122">
        <f>'【国内】常规用户招募-数据源 （正职）'!Q54</f>
        <v>386.8</v>
      </c>
      <c r="U54" s="122">
        <f t="shared" si="33"/>
        <v>0</v>
      </c>
      <c r="V54" s="121">
        <v>250</v>
      </c>
      <c r="W54" s="150">
        <f t="shared" si="34"/>
        <v>257.736</v>
      </c>
      <c r="X54" s="159">
        <v>690</v>
      </c>
      <c r="Y54" s="155"/>
      <c r="Z54" s="121">
        <v>50</v>
      </c>
      <c r="AA54" s="122">
        <f>'【国内】常规用户招募-数据源 （正职）'!W54*1.3</f>
        <v>1.04</v>
      </c>
      <c r="AB54" s="122">
        <f>'【国内】常规用户招募-数据源 （正职）'!Y54*0.6</f>
        <v>3.6</v>
      </c>
      <c r="AC54" s="122">
        <f t="shared" si="24"/>
        <v>5.225</v>
      </c>
      <c r="AD54" s="122">
        <f>'【国内】常规用户招募-数据源 （正职）'!Z54*1.2</f>
        <v>9.48</v>
      </c>
      <c r="AE54" s="122">
        <f t="shared" si="35"/>
        <v>549.8</v>
      </c>
      <c r="AF54" s="122">
        <f>'【国内】常规用户招募-数据源 （正职）'!AA54</f>
        <v>549.8</v>
      </c>
      <c r="AG54" s="122">
        <f t="shared" si="36"/>
        <v>0</v>
      </c>
      <c r="AH54" s="121">
        <v>250</v>
      </c>
      <c r="AI54" s="150">
        <f t="shared" si="37"/>
        <v>260.996</v>
      </c>
      <c r="AJ54" s="150">
        <v>700</v>
      </c>
      <c r="AK54" s="155"/>
      <c r="AL54" s="121">
        <v>50</v>
      </c>
      <c r="AM54" s="122">
        <f>'【国内】常规用户招募-数据源 （正职）'!AG54*1.3</f>
        <v>1.3</v>
      </c>
      <c r="AN54" s="122">
        <f>'【国内】常规用户招募-数据源 （正职）'!AI54*0.6</f>
        <v>4.26</v>
      </c>
      <c r="AO54" s="122">
        <f t="shared" si="25"/>
        <v>6.40366666666667</v>
      </c>
      <c r="AP54" s="122">
        <f>'【国内】常规用户招募-数据源 （正职）'!AJ54*1.08</f>
        <v>9.072</v>
      </c>
      <c r="AQ54" s="122">
        <f t="shared" si="38"/>
        <v>651.2</v>
      </c>
      <c r="AR54" s="122">
        <f>'【国内】常规用户招募-数据源 （正职）'!AK54</f>
        <v>651.2</v>
      </c>
      <c r="AS54" s="122">
        <f t="shared" si="39"/>
        <v>0</v>
      </c>
      <c r="AT54" s="121">
        <v>250</v>
      </c>
      <c r="AU54" s="150">
        <f t="shared" si="40"/>
        <v>213.024</v>
      </c>
      <c r="AV54" s="150">
        <v>720</v>
      </c>
      <c r="AW54" s="155"/>
      <c r="AX54" s="121">
        <v>50</v>
      </c>
      <c r="AY54" s="122">
        <f>'【国内】常规用户招募-数据源 （正职）'!AQ54*1.3</f>
        <v>1.3</v>
      </c>
      <c r="AZ54" s="122">
        <f>'【国内】常规用户招募-数据源 （正职）'!AS54*0.6</f>
        <v>4.5</v>
      </c>
      <c r="BA54" s="122">
        <f t="shared" si="26"/>
        <v>6.845</v>
      </c>
      <c r="BB54" s="122">
        <f>'【国内】常规用户招募-数据源 （正职）'!AT54*1.1</f>
        <v>7.92</v>
      </c>
      <c r="BC54" s="122">
        <f t="shared" si="41"/>
        <v>671.2</v>
      </c>
      <c r="BD54" s="122">
        <f>'【国内】常规用户招募-数据源 （正职）'!AU54</f>
        <v>671.2</v>
      </c>
      <c r="BE54" s="122">
        <f t="shared" si="16"/>
        <v>0</v>
      </c>
      <c r="BF54" s="121">
        <v>250</v>
      </c>
      <c r="BG54" s="150">
        <f t="shared" si="42"/>
        <v>213.424</v>
      </c>
      <c r="BH54" s="122">
        <f t="shared" si="43"/>
        <v>-36.576</v>
      </c>
    </row>
    <row r="55" spans="1:60">
      <c r="AW55" s="150">
        <f>(45/120)*AU54</f>
        <v>79.884</v>
      </c>
    </row>
  </sheetData>
  <mergeCells count="10">
    <mergeCell ref="A1:V1"/>
    <mergeCell ref="A2:E2"/>
    <mergeCell ref="N2:R2"/>
    <mergeCell ref="Z2:AD2"/>
    <mergeCell ref="AL2:AP2"/>
    <mergeCell ref="AX2:BB2"/>
    <mergeCell ref="M2:M54"/>
    <mergeCell ref="Y2:Y54"/>
    <mergeCell ref="AK2:AK54"/>
    <mergeCell ref="AW2:AW54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4"/>
  <sheetViews>
    <sheetView topLeftCell="O11" workbookViewId="0">
      <selection activeCell="G36" sqref="G36"/>
    </sheetView>
  </sheetViews>
  <sheetFormatPr defaultColWidth="9" defaultRowHeight="16.5"/>
  <cols>
    <col min="1" max="5" width="7.375" style="121" customWidth="1"/>
    <col min="6" max="6" width="13.75" style="121" customWidth="1"/>
    <col min="7" max="7" width="20" style="121" customWidth="1"/>
    <col min="8" max="8" width="12.625" style="121" customWidth="1"/>
    <col min="9" max="9" width="5.875" style="121" customWidth="1"/>
    <col min="10" max="11" width="10.75" style="150" customWidth="1"/>
    <col min="12" max="12" width="9.5" style="150" customWidth="1"/>
    <col min="13" max="13" width="4.125" style="150" customWidth="1"/>
    <col min="14" max="15" width="7.375" style="121" customWidth="1"/>
    <col min="16" max="16" width="7" style="121" customWidth="1"/>
    <col min="17" max="17" width="7.375" style="122" customWidth="1"/>
    <col min="18" max="18" width="7.375" style="121" customWidth="1"/>
    <col min="19" max="19" width="9.875" style="121" customWidth="1"/>
    <col min="20" max="21" width="22.625" style="121" customWidth="1"/>
    <col min="22" max="23" width="9.875" style="121" customWidth="1"/>
    <col min="24" max="24" width="10.375" style="150" customWidth="1"/>
    <col min="25" max="25" width="4.125" style="150" customWidth="1"/>
    <col min="26" max="28" width="7.375" style="121" customWidth="1"/>
    <col min="29" max="29" width="7.375" style="122" customWidth="1"/>
    <col min="30" max="31" width="7.375" style="121" customWidth="1"/>
    <col min="32" max="32" width="9.875" style="121" customWidth="1"/>
    <col min="33" max="33" width="24" style="121" customWidth="1"/>
    <col min="34" max="34" width="15.5" style="121" customWidth="1"/>
    <col min="35" max="35" width="9.875" style="121" customWidth="1"/>
    <col min="36" max="36" width="10.875" style="150" customWidth="1"/>
    <col min="37" max="37" width="12.75" style="150" customWidth="1"/>
    <col min="38" max="38" width="4.125" style="150" customWidth="1"/>
    <col min="39" max="41" width="7.375" style="121" customWidth="1"/>
    <col min="42" max="42" width="7.375" style="122" customWidth="1"/>
    <col min="43" max="43" width="7.375" style="121" customWidth="1"/>
    <col min="44" max="44" width="11.5" style="121" customWidth="1"/>
    <col min="45" max="45" width="13.125" style="121" customWidth="1"/>
    <col min="46" max="47" width="21.875" style="121" customWidth="1"/>
    <col min="48" max="48" width="9.875" style="121" customWidth="1"/>
    <col min="49" max="49" width="10.75" style="150" customWidth="1"/>
    <col min="50" max="50" width="15.125" style="150" customWidth="1"/>
    <col min="51" max="51" width="4.125" style="150" customWidth="1"/>
    <col min="52" max="54" width="7.375" style="121" customWidth="1"/>
    <col min="55" max="55" width="7.375" style="122" customWidth="1"/>
    <col min="56" max="57" width="7.375" style="121" customWidth="1"/>
    <col min="58" max="58" width="9.875" style="121" customWidth="1"/>
    <col min="59" max="59" width="17.25" style="121" customWidth="1"/>
    <col min="60" max="60" width="14.625" style="121" customWidth="1"/>
    <col min="61" max="61" width="9.875" style="121" customWidth="1"/>
    <col min="62" max="62" width="10.75" style="150" customWidth="1"/>
    <col min="63" max="63" width="9.875" style="122" customWidth="1"/>
  </cols>
  <sheetData>
    <row r="1" ht="48" customHeight="1" spans="1:63">
      <c r="A1" s="151" t="s">
        <v>372</v>
      </c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3"/>
      <c r="R1" s="152"/>
      <c r="S1" s="152"/>
      <c r="T1" s="152"/>
      <c r="U1" s="152"/>
      <c r="V1" s="152"/>
      <c r="W1" s="152">
        <f>AG3/S3</f>
        <v>1.27013233616228</v>
      </c>
      <c r="AI1" s="152"/>
      <c r="AV1" s="152"/>
      <c r="BI1" s="152"/>
      <c r="BK1" s="153"/>
    </row>
    <row r="2" ht="18" customHeight="1" spans="1:63">
      <c r="A2" s="84" t="s">
        <v>1</v>
      </c>
      <c r="B2" s="84"/>
      <c r="C2" s="84"/>
      <c r="D2" s="84"/>
      <c r="E2" s="84"/>
      <c r="F2" s="84" t="s">
        <v>407</v>
      </c>
      <c r="G2" s="84" t="s">
        <v>408</v>
      </c>
      <c r="H2" s="84" t="s">
        <v>409</v>
      </c>
      <c r="I2" s="84" t="s">
        <v>374</v>
      </c>
      <c r="J2" s="154" t="s">
        <v>375</v>
      </c>
      <c r="K2" s="154" t="s">
        <v>376</v>
      </c>
      <c r="L2" s="155" t="s">
        <v>377</v>
      </c>
      <c r="M2" s="155"/>
      <c r="N2" s="84" t="s">
        <v>3</v>
      </c>
      <c r="O2" s="84"/>
      <c r="P2" s="84"/>
      <c r="Q2" s="156"/>
      <c r="R2" s="84"/>
      <c r="S2" s="84" t="s">
        <v>404</v>
      </c>
      <c r="T2" s="84" t="s">
        <v>408</v>
      </c>
      <c r="U2" s="84" t="s">
        <v>405</v>
      </c>
      <c r="V2" s="84" t="s">
        <v>374</v>
      </c>
      <c r="W2" s="84" t="s">
        <v>375</v>
      </c>
      <c r="X2" s="155" t="s">
        <v>377</v>
      </c>
      <c r="Y2" s="155"/>
      <c r="Z2" s="84" t="s">
        <v>4</v>
      </c>
      <c r="AA2" s="84"/>
      <c r="AB2" s="84"/>
      <c r="AC2" s="156"/>
      <c r="AD2" s="84"/>
      <c r="AE2" s="84" t="s">
        <v>410</v>
      </c>
      <c r="AF2" s="84" t="s">
        <v>404</v>
      </c>
      <c r="AG2" s="84" t="s">
        <v>408</v>
      </c>
      <c r="AH2" s="84" t="s">
        <v>405</v>
      </c>
      <c r="AI2" s="84" t="s">
        <v>374</v>
      </c>
      <c r="AJ2" s="154" t="s">
        <v>375</v>
      </c>
      <c r="AK2" s="155" t="s">
        <v>377</v>
      </c>
      <c r="AL2" s="155"/>
      <c r="AM2" s="84" t="s">
        <v>5</v>
      </c>
      <c r="AN2" s="84"/>
      <c r="AO2" s="84"/>
      <c r="AP2" s="156"/>
      <c r="AQ2" s="84"/>
      <c r="AR2" s="84" t="s">
        <v>410</v>
      </c>
      <c r="AS2" s="84" t="s">
        <v>404</v>
      </c>
      <c r="AT2" s="84" t="s">
        <v>408</v>
      </c>
      <c r="AU2" s="84" t="s">
        <v>405</v>
      </c>
      <c r="AV2" s="84" t="s">
        <v>374</v>
      </c>
      <c r="AW2" s="154" t="s">
        <v>375</v>
      </c>
      <c r="AX2" s="155" t="s">
        <v>377</v>
      </c>
      <c r="AY2" s="155"/>
      <c r="AZ2" s="84" t="s">
        <v>123</v>
      </c>
      <c r="BA2" s="84"/>
      <c r="BB2" s="84"/>
      <c r="BC2" s="156"/>
      <c r="BD2" s="84"/>
      <c r="BE2" s="84" t="s">
        <v>410</v>
      </c>
      <c r="BF2" s="84" t="s">
        <v>404</v>
      </c>
      <c r="BG2" s="84" t="s">
        <v>408</v>
      </c>
      <c r="BH2" s="84" t="s">
        <v>405</v>
      </c>
      <c r="BI2" s="84" t="s">
        <v>374</v>
      </c>
      <c r="BJ2" s="154" t="s">
        <v>375</v>
      </c>
      <c r="BK2" s="156" t="s">
        <v>376</v>
      </c>
    </row>
    <row r="3" spans="1:63">
      <c r="A3" s="121" t="s">
        <v>7</v>
      </c>
      <c r="B3" s="121" t="s">
        <v>8</v>
      </c>
      <c r="C3" s="121" t="s">
        <v>9</v>
      </c>
      <c r="D3" s="121" t="s">
        <v>10</v>
      </c>
      <c r="E3" s="121" t="s">
        <v>11</v>
      </c>
      <c r="F3" s="121">
        <f>AVERAGE(F5:F54)</f>
        <v>386.527436577729</v>
      </c>
      <c r="G3" s="121">
        <f>AVERAGE(G5:G54)</f>
        <v>386.527436577729</v>
      </c>
      <c r="H3" s="122"/>
      <c r="I3" s="121">
        <v>2</v>
      </c>
      <c r="J3" s="150" t="e">
        <f>AVERAGE(J4:J54)</f>
        <v>#DIV/0!</v>
      </c>
      <c r="M3" s="155"/>
      <c r="N3" s="121" t="s">
        <v>7</v>
      </c>
      <c r="O3" s="121" t="s">
        <v>8</v>
      </c>
      <c r="P3" s="121" t="s">
        <v>9</v>
      </c>
      <c r="Q3" s="121" t="s">
        <v>10</v>
      </c>
      <c r="R3" s="121" t="s">
        <v>11</v>
      </c>
      <c r="S3" s="157">
        <f>AVERAGE(S5:S54)</f>
        <v>437.580217807682</v>
      </c>
      <c r="T3" s="157">
        <f>AVERAGE(T5:T54)</f>
        <v>437.180217807682</v>
      </c>
      <c r="U3" s="157"/>
      <c r="W3" s="150">
        <f>AVERAGE(W4:W54)</f>
        <v>292.365278512493</v>
      </c>
      <c r="X3" s="155"/>
      <c r="Y3" s="155"/>
      <c r="Z3" s="121" t="s">
        <v>7</v>
      </c>
      <c r="AA3" s="121" t="s">
        <v>8</v>
      </c>
      <c r="AB3" s="121" t="s">
        <v>9</v>
      </c>
      <c r="AC3" s="121" t="s">
        <v>10</v>
      </c>
      <c r="AD3" s="121" t="s">
        <v>11</v>
      </c>
      <c r="AF3" s="158">
        <f>AVERAGE(AF6:AF54)</f>
        <v>555.784784302472</v>
      </c>
      <c r="AG3" s="158">
        <f>AVERAGE(AG6:AG54)</f>
        <v>555.784784302472</v>
      </c>
      <c r="AH3" s="158"/>
      <c r="AJ3" s="150">
        <f ca="1">AVERAGE(AJ5:AJ54)</f>
        <v>302.650376112269</v>
      </c>
      <c r="AK3" s="150">
        <v>800</v>
      </c>
      <c r="AL3" s="155"/>
      <c r="AM3" s="121" t="s">
        <v>7</v>
      </c>
      <c r="AN3" s="121" t="s">
        <v>8</v>
      </c>
      <c r="AO3" s="121" t="s">
        <v>9</v>
      </c>
      <c r="AP3" s="121" t="s">
        <v>10</v>
      </c>
      <c r="AQ3" s="121" t="s">
        <v>11</v>
      </c>
      <c r="AS3" s="158">
        <f>AVERAGE(AS5:AS54)</f>
        <v>633.870789309947</v>
      </c>
      <c r="AT3" s="158">
        <f>AVERAGE(AT5:AT54)</f>
        <v>635.094789309947</v>
      </c>
      <c r="AU3" s="122">
        <f>SUM(AU4:AU54)</f>
        <v>61.2</v>
      </c>
      <c r="AW3" s="150">
        <f>AVERAGE(AW4:AW54)</f>
        <v>249.681483181519</v>
      </c>
      <c r="AX3" s="150">
        <v>720</v>
      </c>
      <c r="AY3" s="155"/>
      <c r="AZ3" s="121" t="s">
        <v>7</v>
      </c>
      <c r="BA3" s="121" t="s">
        <v>8</v>
      </c>
      <c r="BB3" s="121" t="s">
        <v>9</v>
      </c>
      <c r="BC3" s="121" t="s">
        <v>10</v>
      </c>
      <c r="BD3" s="121" t="s">
        <v>11</v>
      </c>
      <c r="BF3" s="158">
        <f>AVERAGE(BF5:BF54)</f>
        <v>680.026025517107</v>
      </c>
      <c r="BG3" s="158">
        <f>AVERAGE(BG5:BG54)</f>
        <v>680.026025517107</v>
      </c>
      <c r="BI3" s="150">
        <f t="shared" ref="BI3:BK3" si="0">AVERAGE(BI4:BI54)</f>
        <v>250</v>
      </c>
      <c r="BJ3" s="150">
        <f t="shared" si="0"/>
        <v>254.339982780316</v>
      </c>
      <c r="BK3" s="150">
        <f t="shared" si="0"/>
        <v>9.42678243592257</v>
      </c>
    </row>
    <row r="4" spans="1:63">
      <c r="A4" s="121">
        <v>0</v>
      </c>
      <c r="B4" s="122">
        <f>'【国内】常规用户招募-数据源 （正职）'!B4*1.75</f>
        <v>0</v>
      </c>
      <c r="C4" s="121">
        <v>0</v>
      </c>
      <c r="D4" s="121">
        <f>0</f>
        <v>0</v>
      </c>
      <c r="E4" s="121">
        <v>0</v>
      </c>
      <c r="F4" s="122">
        <v>0</v>
      </c>
      <c r="G4" s="122"/>
      <c r="H4" s="122"/>
      <c r="I4" s="121">
        <v>250</v>
      </c>
      <c r="K4" s="150">
        <f t="shared" ref="K4:K54" si="1">J4-I4</f>
        <v>-250</v>
      </c>
      <c r="L4" s="159">
        <v>690</v>
      </c>
      <c r="M4" s="155"/>
      <c r="N4" s="121">
        <v>0</v>
      </c>
      <c r="O4" s="122">
        <f>'【国内】常规用户招募-数据源 （正职）'!M4*1.8</f>
        <v>0</v>
      </c>
      <c r="P4" s="121">
        <f>0/2</f>
        <v>0</v>
      </c>
      <c r="Q4" s="122">
        <v>0</v>
      </c>
      <c r="R4" s="121">
        <v>0</v>
      </c>
      <c r="S4" s="121">
        <f>O4*7200+Q4*3100+R4*300</f>
        <v>0</v>
      </c>
      <c r="T4" s="157">
        <v>0</v>
      </c>
      <c r="U4" s="157"/>
      <c r="V4" s="121">
        <v>250</v>
      </c>
      <c r="W4" s="150">
        <v>250</v>
      </c>
      <c r="X4" s="159">
        <v>690</v>
      </c>
      <c r="Y4" s="155"/>
      <c r="Z4" s="121">
        <v>0</v>
      </c>
      <c r="AA4" s="122">
        <f>'【国内】常规用户招募-数据源 （正职）'!W4*2</f>
        <v>0</v>
      </c>
      <c r="AB4" s="121">
        <v>0</v>
      </c>
      <c r="AC4" s="122">
        <v>0</v>
      </c>
      <c r="AD4" s="121">
        <v>0</v>
      </c>
      <c r="AE4" s="121">
        <f>IF(AND(AA4&gt;=O4,AC4&gt;=Q4),1,0)</f>
        <v>1</v>
      </c>
      <c r="AF4" s="121">
        <f>AA4*7200+AC4*3100+AD4*300</f>
        <v>0</v>
      </c>
      <c r="AG4" s="158">
        <v>0</v>
      </c>
      <c r="AH4" s="158"/>
      <c r="AI4" s="121">
        <v>0</v>
      </c>
      <c r="AJ4" s="150">
        <v>0</v>
      </c>
      <c r="AK4" s="150">
        <v>700</v>
      </c>
      <c r="AL4" s="155"/>
      <c r="AM4" s="121">
        <v>0</v>
      </c>
      <c r="AN4" s="122">
        <f>'【国内】常规用户招募-数据源 （正职）'!AG4*2.2</f>
        <v>0</v>
      </c>
      <c r="AO4" s="121">
        <v>0</v>
      </c>
      <c r="AP4" s="122">
        <v>0</v>
      </c>
      <c r="AQ4" s="122">
        <v>0</v>
      </c>
      <c r="AR4" s="122">
        <f>IF(AND(AN4&gt;AA4,AP4&gt;AC4,AQ4&gt;AD4),1,0)</f>
        <v>0</v>
      </c>
      <c r="AS4" s="122">
        <f>AN4*7200+AP4*3100+AQ4*300</f>
        <v>0</v>
      </c>
      <c r="AT4" s="122">
        <v>0</v>
      </c>
      <c r="AU4" s="122"/>
      <c r="AV4" s="121">
        <v>250</v>
      </c>
      <c r="AW4" s="150">
        <v>0</v>
      </c>
      <c r="AX4" s="150">
        <v>720</v>
      </c>
      <c r="AY4" s="155"/>
      <c r="AZ4" s="121">
        <v>0</v>
      </c>
      <c r="BA4" s="122">
        <f>'【国内】常规用户招募-数据源 （正职）'!AQ4*2.3</f>
        <v>0</v>
      </c>
      <c r="BB4" s="121">
        <v>0</v>
      </c>
      <c r="BC4" s="122">
        <v>0</v>
      </c>
      <c r="BD4" s="122">
        <v>0</v>
      </c>
      <c r="BE4" s="122">
        <f>IF(AND(BA4&gt;=AN4,BC4&gt;=AP4),1,0)</f>
        <v>1</v>
      </c>
      <c r="BF4" s="122">
        <f>BA4*7200+BC4*3100+BD4*300</f>
        <v>0</v>
      </c>
      <c r="BG4" s="122">
        <v>0</v>
      </c>
      <c r="BH4" s="160">
        <f>BG4-BF4</f>
        <v>0</v>
      </c>
      <c r="BI4" s="121">
        <v>250</v>
      </c>
      <c r="BJ4" s="150">
        <v>0</v>
      </c>
    </row>
    <row r="5" spans="1:63">
      <c r="A5" s="121">
        <v>1</v>
      </c>
      <c r="B5" s="122">
        <f>'【国内】常规用户招募-数据源 （正职）'!B5*1.75</f>
        <v>0</v>
      </c>
      <c r="C5" s="121">
        <v>0</v>
      </c>
      <c r="D5" s="121">
        <f>0</f>
        <v>0</v>
      </c>
      <c r="E5" s="121">
        <f>0.3</f>
        <v>0.3</v>
      </c>
      <c r="F5" s="122">
        <f t="shared" ref="F5:F36" si="2">(B5*5900+D5*1200+E5*300)/A5</f>
        <v>90</v>
      </c>
      <c r="G5" s="157">
        <f>'【国内】常规用户招募-数据源 （正职）'!F5</f>
        <v>90</v>
      </c>
      <c r="H5" s="157">
        <f>G5-F5</f>
        <v>0</v>
      </c>
      <c r="I5" s="121">
        <v>200</v>
      </c>
      <c r="K5" s="150">
        <f t="shared" si="1"/>
        <v>-200</v>
      </c>
      <c r="L5" s="159">
        <v>690</v>
      </c>
      <c r="M5" s="155"/>
      <c r="N5" s="121">
        <v>1</v>
      </c>
      <c r="O5" s="122">
        <f>'【国内】常规用户招募-数据源 （正职）'!M5*1.8</f>
        <v>0</v>
      </c>
      <c r="P5" s="121">
        <f t="shared" ref="P5:P14" si="3">0/2</f>
        <v>0</v>
      </c>
      <c r="Q5" s="122">
        <v>0.3</v>
      </c>
      <c r="R5" s="121">
        <v>0.3</v>
      </c>
      <c r="S5" s="160">
        <f>(O5*5900+Q5*1200+R5*300)/N5</f>
        <v>450</v>
      </c>
      <c r="T5" s="157">
        <f>'【国内】常规用户招募-数据源 （正职）'!Q5</f>
        <v>430</v>
      </c>
      <c r="U5" s="157">
        <f>T5-S5</f>
        <v>-20</v>
      </c>
      <c r="V5" s="121">
        <v>250</v>
      </c>
      <c r="W5" s="150">
        <f t="shared" ref="W5:W54" si="4">(S5+V5*N5)/N5</f>
        <v>700</v>
      </c>
      <c r="X5" s="159">
        <v>690</v>
      </c>
      <c r="Y5" s="155"/>
      <c r="Z5" s="121">
        <v>1</v>
      </c>
      <c r="AA5" s="122">
        <f>'【国内】常规用户招募-数据源 （正职）'!W5*2</f>
        <v>0</v>
      </c>
      <c r="AB5" s="121">
        <v>0</v>
      </c>
      <c r="AC5" s="122">
        <f ca="1">(AF5*Z5-AA5*5900-AD5*300)/1200</f>
        <v>0</v>
      </c>
      <c r="AD5" s="121">
        <v>0.4</v>
      </c>
      <c r="AE5" s="121">
        <f ca="1">IF(AND(AA5&gt;=O5,AC5&gt;=Q5),1,0)</f>
        <v>0</v>
      </c>
      <c r="AF5" s="160">
        <f ca="1">(AA5*5900+AC5*1200+AD5*300)/Z5</f>
        <v>0</v>
      </c>
      <c r="AG5" s="161">
        <f>'【国内】常规用户招募-数据源 （正职）'!AA5</f>
        <v>460</v>
      </c>
      <c r="AH5" s="161">
        <f ca="1">AG5-AF5</f>
        <v>0</v>
      </c>
      <c r="AI5" s="121">
        <v>250</v>
      </c>
      <c r="AJ5" s="150">
        <f ca="1" t="shared" ref="AJ5:AJ54" si="5">(AF5+AI5*Z5)/Z5</f>
        <v>730</v>
      </c>
      <c r="AK5" s="150">
        <v>700</v>
      </c>
      <c r="AL5" s="155"/>
      <c r="AM5" s="121">
        <v>1</v>
      </c>
      <c r="AN5" s="122">
        <f>'【国内】常规用户招募-数据源 （正职）'!AG5*2.2</f>
        <v>0</v>
      </c>
      <c r="AO5" s="121">
        <v>0</v>
      </c>
      <c r="AP5" s="122">
        <f>(AT5*AM5-AN5*5900-AQ5*300)/1200</f>
        <v>0.417333333333333</v>
      </c>
      <c r="AQ5" s="122">
        <v>0</v>
      </c>
      <c r="AR5" s="122">
        <f ca="1">IF(AND(AN5&gt;AA5,AP5&gt;AC5,AQ5&gt;AD5),1,0)</f>
        <v>0</v>
      </c>
      <c r="AS5" s="122">
        <f>(AN5*5900+AP5*1200+AQ5*300)/AM5</f>
        <v>500.8</v>
      </c>
      <c r="AT5" s="122">
        <f>'【国内】常规用户招募-数据源 （正职）'!AK5</f>
        <v>500.8</v>
      </c>
      <c r="AU5" s="122">
        <f>AT5-AS5</f>
        <v>0</v>
      </c>
      <c r="AV5" s="121">
        <v>250</v>
      </c>
      <c r="AW5" s="150">
        <f t="shared" ref="AW5:AW54" si="6">(AS5+200*AM5)/AM5</f>
        <v>700.8</v>
      </c>
      <c r="AX5" s="150">
        <v>720</v>
      </c>
      <c r="AY5" s="155"/>
      <c r="AZ5" s="121">
        <v>1</v>
      </c>
      <c r="BA5" s="122">
        <f>'【国内】常规用户招募-数据源 （正职）'!AQ5*2.3</f>
        <v>0</v>
      </c>
      <c r="BB5" s="121">
        <v>0</v>
      </c>
      <c r="BC5" s="122">
        <f>(BG5*AZ5-BA5*5900-BD5*300)/1200</f>
        <v>0.429166666666667</v>
      </c>
      <c r="BD5" s="122">
        <v>0.1</v>
      </c>
      <c r="BE5" s="122">
        <f>IF(AND(BA5&gt;=AN5,BC5&gt;=AP5),1,0)</f>
        <v>1</v>
      </c>
      <c r="BF5" s="122">
        <f>(BA5*5900+BC5*1200+BD5*300)/AZ5</f>
        <v>545</v>
      </c>
      <c r="BG5" s="122">
        <f>'【国内】常规用户招募-数据源 （正职）'!AU5</f>
        <v>545</v>
      </c>
      <c r="BH5" s="160">
        <f t="shared" ref="BH5:BH36" si="7">BG5-BF5</f>
        <v>0</v>
      </c>
      <c r="BI5" s="121">
        <v>250</v>
      </c>
      <c r="BJ5" s="150">
        <f t="shared" ref="BJ5:BJ54" si="8">(BF5+200*AZ5)/AZ5</f>
        <v>745</v>
      </c>
      <c r="BK5" s="122">
        <f t="shared" ref="BK5:BK54" si="9">BJ5-BI5</f>
        <v>495</v>
      </c>
    </row>
    <row r="6" s="148" customFormat="1" spans="1:63">
      <c r="A6" s="121">
        <v>2</v>
      </c>
      <c r="B6" s="122">
        <f>'【国内】常规用户招募-数据源 （正职）'!B6*1.75</f>
        <v>0</v>
      </c>
      <c r="C6" s="121">
        <v>0</v>
      </c>
      <c r="D6" s="122">
        <f>(G6*A6-B6*5900-E6*300)/1200</f>
        <v>0.516666666666667</v>
      </c>
      <c r="E6" s="121">
        <v>0.5</v>
      </c>
      <c r="F6" s="162">
        <f t="shared" si="2"/>
        <v>385</v>
      </c>
      <c r="G6" s="157">
        <f>'【国内】常规用户招募-数据源 （正职）'!F6</f>
        <v>385</v>
      </c>
      <c r="H6" s="157">
        <f t="shared" ref="H6:H37" si="10">G6-F6</f>
        <v>0</v>
      </c>
      <c r="I6" s="121">
        <v>200</v>
      </c>
      <c r="J6" s="150"/>
      <c r="K6" s="150">
        <f t="shared" si="1"/>
        <v>-200</v>
      </c>
      <c r="L6" s="159">
        <v>690</v>
      </c>
      <c r="M6" s="155"/>
      <c r="N6" s="121">
        <v>2</v>
      </c>
      <c r="O6" s="122">
        <f>'【国内】常规用户招募-数据源 （正职）'!M6*1.8</f>
        <v>0</v>
      </c>
      <c r="P6" s="121">
        <f t="shared" si="3"/>
        <v>0</v>
      </c>
      <c r="Q6" s="122">
        <f>(T6*N6-O6*5900-R6*300)/1200</f>
        <v>0.725</v>
      </c>
      <c r="R6" s="121">
        <v>0.9</v>
      </c>
      <c r="S6" s="160">
        <f t="shared" ref="S6:S37" si="11">(O6*5900+Q6*1200+R6*300)/N6</f>
        <v>570</v>
      </c>
      <c r="T6" s="157">
        <f>'【国内】常规用户招募-数据源 （正职）'!Q6</f>
        <v>570</v>
      </c>
      <c r="U6" s="157">
        <f t="shared" ref="U6:U37" si="12">T6-S6</f>
        <v>0</v>
      </c>
      <c r="V6" s="121">
        <v>250</v>
      </c>
      <c r="W6" s="150">
        <f t="shared" si="4"/>
        <v>535</v>
      </c>
      <c r="X6" s="159">
        <v>690</v>
      </c>
      <c r="Y6" s="155"/>
      <c r="Z6" s="121">
        <v>2</v>
      </c>
      <c r="AA6" s="122">
        <f>'【国内】常规用户招募-数据源 （正职）'!W6*2</f>
        <v>0</v>
      </c>
      <c r="AB6" s="121">
        <v>0</v>
      </c>
      <c r="AC6" s="122">
        <f>(AG6*Z6-AA6*5900-AD6*300)/1200</f>
        <v>0.9</v>
      </c>
      <c r="AD6" s="121">
        <v>0.3</v>
      </c>
      <c r="AE6" s="121">
        <f t="shared" ref="AE6:AE36" si="13">IF(AND(AA6&gt;=O6,AC6&gt;=Q6),1,0)</f>
        <v>1</v>
      </c>
      <c r="AF6" s="160">
        <f>(AA6*5900+AC6*1200+AD6*300)/Z6</f>
        <v>585</v>
      </c>
      <c r="AG6" s="161">
        <f>'【国内】常规用户招募-数据源 （正职）'!AA6</f>
        <v>585</v>
      </c>
      <c r="AH6" s="161">
        <f t="shared" ref="AH6:AH37" si="14">AG6-AF6</f>
        <v>0</v>
      </c>
      <c r="AI6" s="121">
        <v>250</v>
      </c>
      <c r="AJ6" s="150">
        <f t="shared" si="5"/>
        <v>542.5</v>
      </c>
      <c r="AK6" s="150">
        <v>700</v>
      </c>
      <c r="AL6" s="155"/>
      <c r="AM6" s="121">
        <v>2</v>
      </c>
      <c r="AN6" s="122">
        <f>'【国内】常规用户招募-数据源 （正职）'!AG6*2.2</f>
        <v>0</v>
      </c>
      <c r="AO6" s="121">
        <v>0</v>
      </c>
      <c r="AP6" s="122">
        <f>(AT6*AM6-AN6*5900-AQ6*300)/1200</f>
        <v>0.9855</v>
      </c>
      <c r="AQ6" s="122">
        <f>AD6*1.22</f>
        <v>0.366</v>
      </c>
      <c r="AR6" s="122">
        <f t="shared" ref="AR6:AR36" si="15">IF(AND(AN6&gt;AA6,AP6&gt;AC6,AQ6&gt;AD6),1,0)</f>
        <v>0</v>
      </c>
      <c r="AS6" s="122">
        <f>(AN6*5900+AP6*1200+AQ6*300)/AM6</f>
        <v>646.2</v>
      </c>
      <c r="AT6" s="122">
        <f>'【国内】常规用户招募-数据源 （正职）'!AK6</f>
        <v>646.2</v>
      </c>
      <c r="AU6" s="122">
        <f t="shared" ref="AU6:AU37" si="16">AT6-AS6</f>
        <v>0</v>
      </c>
      <c r="AV6" s="121">
        <v>250</v>
      </c>
      <c r="AW6" s="150">
        <f t="shared" si="6"/>
        <v>523.1</v>
      </c>
      <c r="AX6" s="150">
        <v>720</v>
      </c>
      <c r="AY6" s="155"/>
      <c r="AZ6" s="121">
        <v>2</v>
      </c>
      <c r="BA6" s="122">
        <f>'【国内】常规用户招募-数据源 （正职）'!AQ6*2.3</f>
        <v>0</v>
      </c>
      <c r="BB6" s="121">
        <v>0</v>
      </c>
      <c r="BC6" s="122">
        <f t="shared" ref="BC6:BC37" si="17">(BG6*AZ6-BA6*5900-BD6*300)/1200</f>
        <v>1.0625</v>
      </c>
      <c r="BD6" s="122">
        <v>0.5</v>
      </c>
      <c r="BE6" s="122">
        <f t="shared" ref="BE6:BE36" si="18">IF(AND(BA6&gt;=AN6,BC6&gt;=AP6),1,0)</f>
        <v>1</v>
      </c>
      <c r="BF6" s="122">
        <f>(BA6*5900+BC6*1200+BD6*300)/AZ6</f>
        <v>712.5</v>
      </c>
      <c r="BG6" s="122">
        <f>'【国内】常规用户招募-数据源 （正职）'!AU6</f>
        <v>712.5</v>
      </c>
      <c r="BH6" s="160">
        <f t="shared" si="7"/>
        <v>0</v>
      </c>
      <c r="BI6" s="121">
        <v>250</v>
      </c>
      <c r="BJ6" s="150">
        <f t="shared" si="8"/>
        <v>556.25</v>
      </c>
      <c r="BK6" s="122">
        <f t="shared" si="9"/>
        <v>306.25</v>
      </c>
    </row>
    <row r="7" spans="1:63">
      <c r="A7" s="121">
        <v>3</v>
      </c>
      <c r="B7" s="122">
        <f>'【国内】常规用户招募-数据源 （正职）'!B7*1.75</f>
        <v>0</v>
      </c>
      <c r="C7" s="121">
        <v>0</v>
      </c>
      <c r="D7" s="122">
        <f t="shared" ref="D7:D54" si="19">(G7*A7-B7*5900-E7*300)/1200</f>
        <v>0.541666666666667</v>
      </c>
      <c r="E7" s="121">
        <v>0.6</v>
      </c>
      <c r="F7" s="122">
        <f t="shared" si="2"/>
        <v>276.666666666667</v>
      </c>
      <c r="G7" s="157">
        <f>'【国内】常规用户招募-数据源 （正职）'!F7</f>
        <v>276.666666666667</v>
      </c>
      <c r="H7" s="157">
        <f t="shared" si="10"/>
        <v>0</v>
      </c>
      <c r="I7" s="121">
        <v>200</v>
      </c>
      <c r="K7" s="150">
        <f t="shared" si="1"/>
        <v>-200</v>
      </c>
      <c r="L7" s="159">
        <v>690</v>
      </c>
      <c r="M7" s="155"/>
      <c r="N7" s="121">
        <v>3</v>
      </c>
      <c r="O7" s="122">
        <f>'【国内】常规用户招募-数据源 （正职）'!M7*1.8</f>
        <v>0</v>
      </c>
      <c r="P7" s="121">
        <f t="shared" si="3"/>
        <v>0</v>
      </c>
      <c r="Q7" s="122">
        <f t="shared" ref="Q7:Q54" si="20">(T7*N7-O7*5900-R7*300)/1200</f>
        <v>1.08333333333333</v>
      </c>
      <c r="R7" s="121">
        <v>0.8</v>
      </c>
      <c r="S7" s="160">
        <f t="shared" si="11"/>
        <v>513.333333333333</v>
      </c>
      <c r="T7" s="157">
        <f>'【国内】常规用户招募-数据源 （正职）'!Q7</f>
        <v>513.333333333333</v>
      </c>
      <c r="U7" s="157">
        <f t="shared" si="12"/>
        <v>0</v>
      </c>
      <c r="V7" s="121">
        <v>250</v>
      </c>
      <c r="W7" s="150">
        <f t="shared" si="4"/>
        <v>421.111111111111</v>
      </c>
      <c r="X7" s="159">
        <v>690</v>
      </c>
      <c r="Y7" s="155"/>
      <c r="Z7" s="121">
        <v>3</v>
      </c>
      <c r="AA7" s="122">
        <f>'【国内】常规用户招募-数据源 （正职）'!W7*2</f>
        <v>0</v>
      </c>
      <c r="AB7" s="121">
        <v>0</v>
      </c>
      <c r="AC7" s="122">
        <f t="shared" ref="AC7:AC54" si="21">(AG7*Z7-AA7*5900-AD7*300)/1200</f>
        <v>0.983333333333333</v>
      </c>
      <c r="AD7" s="121">
        <v>1.2</v>
      </c>
      <c r="AE7" s="121">
        <f t="shared" si="13"/>
        <v>0</v>
      </c>
      <c r="AF7" s="160">
        <f t="shared" ref="AF7:AF54" si="22">(AA7*5900+AC7*1200+AD7*300)/Z7</f>
        <v>513.333333333333</v>
      </c>
      <c r="AG7" s="161">
        <f>'【国内】常规用户招募-数据源 （正职）'!AA7</f>
        <v>513.333333333333</v>
      </c>
      <c r="AH7" s="161">
        <f t="shared" si="14"/>
        <v>0</v>
      </c>
      <c r="AI7" s="121">
        <v>250</v>
      </c>
      <c r="AJ7" s="150">
        <f t="shared" si="5"/>
        <v>421.111111111111</v>
      </c>
      <c r="AK7" s="150">
        <v>700</v>
      </c>
      <c r="AL7" s="155"/>
      <c r="AM7" s="121">
        <v>3</v>
      </c>
      <c r="AN7" s="122">
        <f>'【国内】常规用户招募-数据源 （正职）'!AG7*2.2</f>
        <v>0</v>
      </c>
      <c r="AO7" s="121">
        <v>0</v>
      </c>
      <c r="AP7" s="122">
        <f>(AT7*AM7-AN7*5900-AQ7*300)/1200</f>
        <v>1.24166666666667</v>
      </c>
      <c r="AQ7" s="122">
        <v>1.4</v>
      </c>
      <c r="AR7" s="122">
        <f t="shared" si="15"/>
        <v>0</v>
      </c>
      <c r="AS7" s="122">
        <f t="shared" ref="AS7:AS54" si="23">(AN7*5900+AP7*1200+AQ7*300)/AM7</f>
        <v>636.666666666667</v>
      </c>
      <c r="AT7" s="122">
        <f>'【国内】常规用户招募-数据源 （正职）'!AK7</f>
        <v>636.666666666667</v>
      </c>
      <c r="AU7" s="122">
        <f t="shared" si="16"/>
        <v>0</v>
      </c>
      <c r="AV7" s="121">
        <v>250</v>
      </c>
      <c r="AW7" s="150">
        <f t="shared" si="6"/>
        <v>412.222222222222</v>
      </c>
      <c r="AX7" s="150">
        <v>720</v>
      </c>
      <c r="AY7" s="155"/>
      <c r="AZ7" s="121">
        <v>3</v>
      </c>
      <c r="BA7" s="122">
        <f>'【国内】常规用户招募-数据源 （正职）'!AQ7*2.3</f>
        <v>0</v>
      </c>
      <c r="BB7" s="121">
        <v>0</v>
      </c>
      <c r="BC7" s="122">
        <f t="shared" si="17"/>
        <v>1.31666666666667</v>
      </c>
      <c r="BD7" s="122">
        <v>1.2</v>
      </c>
      <c r="BE7" s="122">
        <f t="shared" si="18"/>
        <v>1</v>
      </c>
      <c r="BF7" s="122">
        <f t="shared" ref="BF7:BF54" si="24">(BA7*5900+BC7*1200+BD7*300)/AZ7</f>
        <v>646.666666666667</v>
      </c>
      <c r="BG7" s="122">
        <f>'【国内】常规用户招募-数据源 （正职）'!AU7</f>
        <v>646.666666666667</v>
      </c>
      <c r="BH7" s="160">
        <f t="shared" si="7"/>
        <v>0</v>
      </c>
      <c r="BI7" s="121">
        <v>250</v>
      </c>
      <c r="BJ7" s="150">
        <f t="shared" si="8"/>
        <v>415.555555555555</v>
      </c>
      <c r="BK7" s="122">
        <f t="shared" si="9"/>
        <v>165.555555555555</v>
      </c>
    </row>
    <row r="8" spans="1:63">
      <c r="A8" s="121">
        <v>4</v>
      </c>
      <c r="B8" s="122">
        <f>'【国内】常规用户招募-数据源 （正职）'!B8*1.75</f>
        <v>0</v>
      </c>
      <c r="C8" s="121">
        <v>0</v>
      </c>
      <c r="D8" s="122">
        <f t="shared" si="19"/>
        <v>1.26666666666667</v>
      </c>
      <c r="E8" s="122">
        <v>1.1</v>
      </c>
      <c r="F8" s="122">
        <f t="shared" si="2"/>
        <v>462.5</v>
      </c>
      <c r="G8" s="157">
        <f>'【国内】常规用户招募-数据源 （正职）'!F8</f>
        <v>462.5</v>
      </c>
      <c r="H8" s="157">
        <f t="shared" si="10"/>
        <v>0</v>
      </c>
      <c r="I8" s="121">
        <v>200</v>
      </c>
      <c r="K8" s="150">
        <f t="shared" si="1"/>
        <v>-200</v>
      </c>
      <c r="L8" s="159">
        <v>690</v>
      </c>
      <c r="M8" s="155"/>
      <c r="N8" s="121">
        <v>4</v>
      </c>
      <c r="O8" s="122">
        <f>'【国内】常规用户招募-数据源 （正职）'!M8*1.8</f>
        <v>0</v>
      </c>
      <c r="P8" s="121">
        <f t="shared" si="3"/>
        <v>0</v>
      </c>
      <c r="Q8" s="122">
        <f t="shared" si="20"/>
        <v>1.40833333333333</v>
      </c>
      <c r="R8" s="122">
        <v>1.4</v>
      </c>
      <c r="S8" s="160">
        <f t="shared" si="11"/>
        <v>527.5</v>
      </c>
      <c r="T8" s="157">
        <f>'【国内】常规用户招募-数据源 （正职）'!Q8</f>
        <v>527.5</v>
      </c>
      <c r="U8" s="157">
        <f t="shared" si="12"/>
        <v>0</v>
      </c>
      <c r="V8" s="121">
        <v>250</v>
      </c>
      <c r="W8" s="150">
        <f t="shared" si="4"/>
        <v>381.875</v>
      </c>
      <c r="X8" s="159">
        <v>690</v>
      </c>
      <c r="Y8" s="155"/>
      <c r="Z8" s="121">
        <v>4</v>
      </c>
      <c r="AA8" s="122">
        <f>'【国内】常规用户招募-数据源 （正职）'!W8*2</f>
        <v>0</v>
      </c>
      <c r="AB8" s="121">
        <v>0</v>
      </c>
      <c r="AC8" s="122">
        <f t="shared" si="21"/>
        <v>1.6</v>
      </c>
      <c r="AD8" s="122">
        <v>1.3</v>
      </c>
      <c r="AE8" s="121">
        <f t="shared" si="13"/>
        <v>1</v>
      </c>
      <c r="AF8" s="160">
        <f t="shared" si="22"/>
        <v>577.5</v>
      </c>
      <c r="AG8" s="161">
        <f>'【国内】常规用户招募-数据源 （正职）'!AA8</f>
        <v>577.5</v>
      </c>
      <c r="AH8" s="163">
        <f t="shared" si="14"/>
        <v>0</v>
      </c>
      <c r="AI8" s="121">
        <v>250</v>
      </c>
      <c r="AJ8" s="150">
        <f t="shared" si="5"/>
        <v>394.375</v>
      </c>
      <c r="AK8" s="150">
        <v>700</v>
      </c>
      <c r="AL8" s="155"/>
      <c r="AM8" s="121">
        <v>4</v>
      </c>
      <c r="AN8" s="122">
        <f>'【国内】常规用户招募-数据源 （正职）'!AG8*2.2</f>
        <v>0</v>
      </c>
      <c r="AO8" s="121">
        <v>0</v>
      </c>
      <c r="AP8" s="122">
        <v>1.6</v>
      </c>
      <c r="AQ8" s="122">
        <v>1.4</v>
      </c>
      <c r="AR8" s="122">
        <f t="shared" si="15"/>
        <v>0</v>
      </c>
      <c r="AS8" s="122">
        <f t="shared" si="23"/>
        <v>585</v>
      </c>
      <c r="AT8" s="122">
        <f>'【国内】常规用户招募-数据源 （正职）'!AK8</f>
        <v>646.2</v>
      </c>
      <c r="AU8" s="164">
        <f t="shared" si="16"/>
        <v>61.2</v>
      </c>
      <c r="AV8" s="121">
        <v>250</v>
      </c>
      <c r="AW8" s="150">
        <f t="shared" si="6"/>
        <v>346.25</v>
      </c>
      <c r="AX8" s="150">
        <v>720</v>
      </c>
      <c r="AY8" s="155"/>
      <c r="AZ8" s="121">
        <v>4</v>
      </c>
      <c r="BA8" s="122">
        <f>'【国内】常规用户招募-数据源 （正职）'!AQ8*2.3</f>
        <v>0</v>
      </c>
      <c r="BB8" s="121">
        <v>0</v>
      </c>
      <c r="BC8" s="122">
        <f t="shared" si="17"/>
        <v>2.125</v>
      </c>
      <c r="BD8" s="122">
        <v>1</v>
      </c>
      <c r="BE8" s="122">
        <f t="shared" si="18"/>
        <v>1</v>
      </c>
      <c r="BF8" s="122">
        <f t="shared" si="24"/>
        <v>712.5</v>
      </c>
      <c r="BG8" s="122">
        <f>'【国内】常规用户招募-数据源 （正职）'!AU8</f>
        <v>712.5</v>
      </c>
      <c r="BH8" s="165">
        <f t="shared" si="7"/>
        <v>0</v>
      </c>
      <c r="BI8" s="121">
        <v>250</v>
      </c>
      <c r="BJ8" s="150">
        <f t="shared" si="8"/>
        <v>378.125</v>
      </c>
      <c r="BK8" s="122">
        <f t="shared" si="9"/>
        <v>128.125</v>
      </c>
    </row>
    <row r="9" spans="1:63">
      <c r="A9" s="121">
        <v>5</v>
      </c>
      <c r="B9" s="122">
        <v>0.2</v>
      </c>
      <c r="C9" s="121">
        <v>0</v>
      </c>
      <c r="D9" s="122">
        <f t="shared" si="19"/>
        <v>0.308333333333333</v>
      </c>
      <c r="E9" s="122">
        <v>1.2</v>
      </c>
      <c r="F9" s="122">
        <f t="shared" si="2"/>
        <v>382</v>
      </c>
      <c r="G9" s="157">
        <f>'【国内】常规用户招募-数据源 （正职）'!F9</f>
        <v>382</v>
      </c>
      <c r="H9" s="157">
        <f t="shared" si="10"/>
        <v>0</v>
      </c>
      <c r="I9" s="121">
        <v>200</v>
      </c>
      <c r="K9" s="150">
        <f t="shared" si="1"/>
        <v>-200</v>
      </c>
      <c r="L9" s="159">
        <v>690</v>
      </c>
      <c r="M9" s="155"/>
      <c r="N9" s="121">
        <v>5</v>
      </c>
      <c r="O9" s="122">
        <v>0.2</v>
      </c>
      <c r="P9" s="121">
        <f t="shared" si="3"/>
        <v>0</v>
      </c>
      <c r="Q9" s="122">
        <f t="shared" si="20"/>
        <v>1.18333333333333</v>
      </c>
      <c r="R9" s="122">
        <v>1.5</v>
      </c>
      <c r="S9" s="160">
        <f t="shared" si="11"/>
        <v>610</v>
      </c>
      <c r="T9" s="157">
        <f>'【国内】常规用户招募-数据源 （正职）'!Q9</f>
        <v>610</v>
      </c>
      <c r="U9" s="166">
        <f t="shared" si="12"/>
        <v>0</v>
      </c>
      <c r="V9" s="121">
        <v>250</v>
      </c>
      <c r="W9" s="150">
        <f t="shared" si="4"/>
        <v>372</v>
      </c>
      <c r="X9" s="159">
        <v>690</v>
      </c>
      <c r="Y9" s="155"/>
      <c r="Z9" s="121">
        <v>5</v>
      </c>
      <c r="AA9" s="122">
        <v>0.2</v>
      </c>
      <c r="AB9" s="121">
        <v>0</v>
      </c>
      <c r="AC9" s="122">
        <f t="shared" si="21"/>
        <v>1.20833333333333</v>
      </c>
      <c r="AD9" s="122">
        <v>1.4</v>
      </c>
      <c r="AE9" s="121">
        <f t="shared" si="13"/>
        <v>1</v>
      </c>
      <c r="AF9" s="160">
        <f t="shared" si="22"/>
        <v>610</v>
      </c>
      <c r="AG9" s="161">
        <f>'【国内】常规用户招募-数据源 （正职）'!AA9</f>
        <v>610</v>
      </c>
      <c r="AH9" s="161">
        <f t="shared" si="14"/>
        <v>0</v>
      </c>
      <c r="AI9" s="121">
        <v>250</v>
      </c>
      <c r="AJ9" s="150">
        <f t="shared" si="5"/>
        <v>372</v>
      </c>
      <c r="AK9" s="150">
        <v>700</v>
      </c>
      <c r="AL9" s="155"/>
      <c r="AM9" s="121">
        <v>5</v>
      </c>
      <c r="AN9" s="122">
        <v>0.2</v>
      </c>
      <c r="AO9" s="121">
        <v>0</v>
      </c>
      <c r="AP9" s="122">
        <f>(AT9*AM9-AN9*5900-AQ9*300)/1200</f>
        <v>1.42833333333333</v>
      </c>
      <c r="AQ9" s="122">
        <f>AD9*1.22</f>
        <v>1.708</v>
      </c>
      <c r="AR9" s="122">
        <f t="shared" si="15"/>
        <v>0</v>
      </c>
      <c r="AS9" s="122">
        <f t="shared" si="23"/>
        <v>681.28</v>
      </c>
      <c r="AT9" s="122">
        <f>'【国内】常规用户招募-数据源 （正职）'!AK9</f>
        <v>681.28</v>
      </c>
      <c r="AU9" s="122">
        <f t="shared" si="16"/>
        <v>0</v>
      </c>
      <c r="AV9" s="121">
        <v>250</v>
      </c>
      <c r="AW9" s="150">
        <f t="shared" si="6"/>
        <v>336.256</v>
      </c>
      <c r="AX9" s="150">
        <v>720</v>
      </c>
      <c r="AY9" s="155"/>
      <c r="AZ9" s="121">
        <v>5</v>
      </c>
      <c r="BA9" s="122">
        <v>0.2</v>
      </c>
      <c r="BB9" s="121">
        <v>0</v>
      </c>
      <c r="BC9" s="122">
        <f t="shared" si="17"/>
        <v>1.8</v>
      </c>
      <c r="BD9" s="122">
        <v>1.5</v>
      </c>
      <c r="BE9" s="122">
        <f t="shared" si="18"/>
        <v>1</v>
      </c>
      <c r="BF9" s="122">
        <f t="shared" si="24"/>
        <v>758</v>
      </c>
      <c r="BG9" s="122">
        <f>'【国内】常规用户招募-数据源 （正职）'!AU9</f>
        <v>758</v>
      </c>
      <c r="BH9" s="160">
        <f t="shared" si="7"/>
        <v>0</v>
      </c>
      <c r="BI9" s="121">
        <v>250</v>
      </c>
      <c r="BJ9" s="150">
        <f t="shared" si="8"/>
        <v>351.6</v>
      </c>
      <c r="BK9" s="122">
        <f t="shared" si="9"/>
        <v>101.6</v>
      </c>
    </row>
    <row r="10" s="148" customFormat="1" spans="1:63">
      <c r="A10" s="121">
        <v>6</v>
      </c>
      <c r="B10" s="122">
        <v>0.2</v>
      </c>
      <c r="C10" s="121">
        <v>0</v>
      </c>
      <c r="D10" s="122">
        <f t="shared" si="19"/>
        <v>1.20833333333333</v>
      </c>
      <c r="E10" s="122">
        <v>1.3</v>
      </c>
      <c r="F10" s="122">
        <f t="shared" si="2"/>
        <v>503.333333333333</v>
      </c>
      <c r="G10" s="157">
        <f>'【国内】常规用户招募-数据源 （正职）'!F10</f>
        <v>503.333333333333</v>
      </c>
      <c r="H10" s="157">
        <f t="shared" si="10"/>
        <v>0</v>
      </c>
      <c r="I10" s="121">
        <v>200</v>
      </c>
      <c r="J10" s="150"/>
      <c r="K10" s="150">
        <f t="shared" si="1"/>
        <v>-200</v>
      </c>
      <c r="L10" s="159">
        <v>690</v>
      </c>
      <c r="M10" s="155"/>
      <c r="N10" s="121">
        <v>6</v>
      </c>
      <c r="O10" s="122">
        <v>0.2</v>
      </c>
      <c r="P10" s="121">
        <f t="shared" si="3"/>
        <v>0</v>
      </c>
      <c r="Q10" s="122">
        <f t="shared" si="20"/>
        <v>1.51666666666667</v>
      </c>
      <c r="R10" s="122">
        <v>1.6</v>
      </c>
      <c r="S10" s="160">
        <f t="shared" si="11"/>
        <v>580</v>
      </c>
      <c r="T10" s="157">
        <f>'【国内】常规用户招募-数据源 （正职）'!Q10</f>
        <v>580</v>
      </c>
      <c r="U10" s="157">
        <f t="shared" si="12"/>
        <v>0</v>
      </c>
      <c r="V10" s="121">
        <v>250</v>
      </c>
      <c r="W10" s="150">
        <f t="shared" si="4"/>
        <v>346.666666666667</v>
      </c>
      <c r="X10" s="159">
        <v>690</v>
      </c>
      <c r="Y10" s="155"/>
      <c r="Z10" s="121">
        <v>6</v>
      </c>
      <c r="AA10" s="122">
        <v>0.2</v>
      </c>
      <c r="AB10" s="121">
        <v>0</v>
      </c>
      <c r="AC10" s="122">
        <f t="shared" si="21"/>
        <v>1.31666666666667</v>
      </c>
      <c r="AD10" s="122">
        <v>2.2</v>
      </c>
      <c r="AE10" s="121">
        <f t="shared" si="13"/>
        <v>0</v>
      </c>
      <c r="AF10" s="160">
        <f t="shared" si="22"/>
        <v>570</v>
      </c>
      <c r="AG10" s="161">
        <f>'【国内】常规用户招募-数据源 （正职）'!AA10</f>
        <v>570</v>
      </c>
      <c r="AH10" s="161">
        <f t="shared" si="14"/>
        <v>0</v>
      </c>
      <c r="AI10" s="121">
        <v>250</v>
      </c>
      <c r="AJ10" s="150">
        <f t="shared" si="5"/>
        <v>345</v>
      </c>
      <c r="AK10" s="150">
        <v>700</v>
      </c>
      <c r="AL10" s="155"/>
      <c r="AM10" s="121">
        <v>6</v>
      </c>
      <c r="AN10" s="122">
        <v>0.2</v>
      </c>
      <c r="AO10" s="121">
        <v>0</v>
      </c>
      <c r="AP10" s="122">
        <f t="shared" ref="AP10:AP54" si="25">(AT10*AM10-AN10*5900-AQ10*300)/1200</f>
        <v>1.62866666666667</v>
      </c>
      <c r="AQ10" s="122">
        <f>AD10*1.08</f>
        <v>2.376</v>
      </c>
      <c r="AR10" s="122">
        <f t="shared" si="15"/>
        <v>0</v>
      </c>
      <c r="AS10" s="122">
        <f t="shared" si="23"/>
        <v>641.2</v>
      </c>
      <c r="AT10" s="122">
        <f>'【国内】常规用户招募-数据源 （正职）'!AK10</f>
        <v>641.2</v>
      </c>
      <c r="AU10" s="122">
        <f t="shared" si="16"/>
        <v>0</v>
      </c>
      <c r="AV10" s="121">
        <v>250</v>
      </c>
      <c r="AW10" s="150">
        <f t="shared" si="6"/>
        <v>306.866666666667</v>
      </c>
      <c r="AX10" s="150">
        <v>720</v>
      </c>
      <c r="AY10" s="155"/>
      <c r="AZ10" s="121">
        <v>6</v>
      </c>
      <c r="BA10" s="122">
        <v>0.2</v>
      </c>
      <c r="BB10" s="121">
        <v>0</v>
      </c>
      <c r="BC10" s="122">
        <f t="shared" si="17"/>
        <v>2.02916666666667</v>
      </c>
      <c r="BD10" s="122">
        <v>2.1</v>
      </c>
      <c r="BE10" s="122">
        <f t="shared" si="18"/>
        <v>1</v>
      </c>
      <c r="BF10" s="122">
        <f t="shared" si="24"/>
        <v>707.5</v>
      </c>
      <c r="BG10" s="122">
        <f>'【国内】常规用户招募-数据源 （正职）'!AU10</f>
        <v>707.5</v>
      </c>
      <c r="BH10" s="160">
        <f t="shared" si="7"/>
        <v>0</v>
      </c>
      <c r="BI10" s="121">
        <v>250</v>
      </c>
      <c r="BJ10" s="150">
        <f t="shared" si="8"/>
        <v>317.916666666667</v>
      </c>
      <c r="BK10" s="122">
        <f t="shared" si="9"/>
        <v>67.9166666666667</v>
      </c>
    </row>
    <row r="11" spans="1:63">
      <c r="A11" s="121">
        <v>7</v>
      </c>
      <c r="B11" s="122">
        <v>0.2</v>
      </c>
      <c r="C11" s="121">
        <v>0</v>
      </c>
      <c r="D11" s="122">
        <f t="shared" si="19"/>
        <v>1.41666666666667</v>
      </c>
      <c r="E11" s="122">
        <v>1.6</v>
      </c>
      <c r="F11" s="122">
        <f t="shared" si="2"/>
        <v>480</v>
      </c>
      <c r="G11" s="157">
        <f>'【国内】常规用户招募-数据源 （正职）'!F11</f>
        <v>480</v>
      </c>
      <c r="H11" s="157">
        <f t="shared" si="10"/>
        <v>0</v>
      </c>
      <c r="I11" s="121">
        <v>200</v>
      </c>
      <c r="K11" s="150">
        <f t="shared" si="1"/>
        <v>-200</v>
      </c>
      <c r="L11" s="159">
        <v>690</v>
      </c>
      <c r="M11" s="155"/>
      <c r="N11" s="121">
        <v>7</v>
      </c>
      <c r="O11" s="122">
        <v>0.2</v>
      </c>
      <c r="P11" s="121">
        <f t="shared" si="3"/>
        <v>0</v>
      </c>
      <c r="Q11" s="122">
        <f t="shared" si="20"/>
        <v>1.775</v>
      </c>
      <c r="R11" s="122">
        <v>1.8</v>
      </c>
      <c r="S11" s="160">
        <f t="shared" si="11"/>
        <v>550</v>
      </c>
      <c r="T11" s="157">
        <f>'【国内】常规用户招募-数据源 （正职）'!Q11</f>
        <v>550</v>
      </c>
      <c r="U11" s="157">
        <f t="shared" si="12"/>
        <v>0</v>
      </c>
      <c r="V11" s="121">
        <v>250</v>
      </c>
      <c r="W11" s="150">
        <f t="shared" si="4"/>
        <v>328.571428571429</v>
      </c>
      <c r="X11" s="159">
        <v>690</v>
      </c>
      <c r="Y11" s="155"/>
      <c r="Z11" s="121">
        <v>7</v>
      </c>
      <c r="AA11" s="122">
        <v>0.2</v>
      </c>
      <c r="AB11" s="121">
        <v>0</v>
      </c>
      <c r="AC11" s="122">
        <f t="shared" si="21"/>
        <v>1.88333333333333</v>
      </c>
      <c r="AD11" s="122">
        <v>2.5</v>
      </c>
      <c r="AE11" s="121">
        <f t="shared" si="13"/>
        <v>1</v>
      </c>
      <c r="AF11" s="160">
        <f t="shared" si="22"/>
        <v>598.571428571429</v>
      </c>
      <c r="AG11" s="161">
        <f>'【国内】常规用户招募-数据源 （正职）'!AA11</f>
        <v>598.571428571429</v>
      </c>
      <c r="AH11" s="161">
        <f t="shared" si="14"/>
        <v>0</v>
      </c>
      <c r="AI11" s="121">
        <v>250</v>
      </c>
      <c r="AJ11" s="150">
        <f t="shared" si="5"/>
        <v>335.510204081633</v>
      </c>
      <c r="AK11" s="150">
        <v>700</v>
      </c>
      <c r="AL11" s="155"/>
      <c r="AM11" s="121">
        <v>7</v>
      </c>
      <c r="AN11" s="122">
        <v>0.2</v>
      </c>
      <c r="AO11" s="121">
        <v>0</v>
      </c>
      <c r="AP11" s="122">
        <f t="shared" si="25"/>
        <v>2.18233333333333</v>
      </c>
      <c r="AQ11" s="122">
        <v>2.5</v>
      </c>
      <c r="AR11" s="122">
        <f t="shared" si="15"/>
        <v>0</v>
      </c>
      <c r="AS11" s="122">
        <f t="shared" si="23"/>
        <v>649.828571428572</v>
      </c>
      <c r="AT11" s="122">
        <f>'【国内】常规用户招募-数据源 （正职）'!AK11</f>
        <v>649.828571428572</v>
      </c>
      <c r="AU11" s="122">
        <f t="shared" si="16"/>
        <v>0</v>
      </c>
      <c r="AV11" s="121">
        <v>250</v>
      </c>
      <c r="AW11" s="150">
        <f t="shared" si="6"/>
        <v>292.832653061225</v>
      </c>
      <c r="AX11" s="150">
        <v>720</v>
      </c>
      <c r="AY11" s="155"/>
      <c r="AZ11" s="121">
        <v>7</v>
      </c>
      <c r="BA11" s="122">
        <v>0.2</v>
      </c>
      <c r="BB11" s="121">
        <v>0</v>
      </c>
      <c r="BC11" s="122">
        <f t="shared" si="17"/>
        <v>2.5875</v>
      </c>
      <c r="BD11" s="122">
        <v>2.5</v>
      </c>
      <c r="BE11" s="122">
        <f t="shared" si="18"/>
        <v>1</v>
      </c>
      <c r="BF11" s="122">
        <f t="shared" si="24"/>
        <v>719.285714285714</v>
      </c>
      <c r="BG11" s="122">
        <f>'【国内】常规用户招募-数据源 （正职）'!AU11</f>
        <v>719.285714285714</v>
      </c>
      <c r="BH11" s="160">
        <f t="shared" si="7"/>
        <v>0</v>
      </c>
      <c r="BI11" s="121">
        <v>250</v>
      </c>
      <c r="BJ11" s="150">
        <f t="shared" si="8"/>
        <v>302.755102040816</v>
      </c>
      <c r="BK11" s="122">
        <f t="shared" si="9"/>
        <v>52.7551020408163</v>
      </c>
    </row>
    <row r="12" spans="1:63">
      <c r="A12" s="121">
        <v>8</v>
      </c>
      <c r="B12" s="122">
        <v>0.2</v>
      </c>
      <c r="C12" s="121">
        <v>0</v>
      </c>
      <c r="D12" s="122">
        <f t="shared" si="19"/>
        <v>1.19166666666667</v>
      </c>
      <c r="E12" s="122">
        <v>2.5</v>
      </c>
      <c r="F12" s="122">
        <f t="shared" si="2"/>
        <v>420</v>
      </c>
      <c r="G12" s="157">
        <f>'【国内】常规用户招募-数据源 （正职）'!F12</f>
        <v>420</v>
      </c>
      <c r="H12" s="157">
        <f t="shared" si="10"/>
        <v>0</v>
      </c>
      <c r="I12" s="121">
        <v>200</v>
      </c>
      <c r="K12" s="150">
        <f t="shared" si="1"/>
        <v>-200</v>
      </c>
      <c r="L12" s="159">
        <v>690</v>
      </c>
      <c r="M12" s="155"/>
      <c r="N12" s="121">
        <v>8</v>
      </c>
      <c r="O12" s="122">
        <v>0.2</v>
      </c>
      <c r="P12" s="121">
        <f t="shared" si="3"/>
        <v>0</v>
      </c>
      <c r="Q12" s="122">
        <f t="shared" si="20"/>
        <v>1.76020833333333</v>
      </c>
      <c r="R12" s="122">
        <f>E12*1.197</f>
        <v>2.9925</v>
      </c>
      <c r="S12" s="160">
        <f t="shared" si="11"/>
        <v>523.75</v>
      </c>
      <c r="T12" s="157">
        <f>'【国内】常规用户招募-数据源 （正职）'!Q12</f>
        <v>523.75</v>
      </c>
      <c r="U12" s="157">
        <f t="shared" si="12"/>
        <v>0</v>
      </c>
      <c r="V12" s="121">
        <v>250</v>
      </c>
      <c r="W12" s="150">
        <f t="shared" si="4"/>
        <v>315.46875</v>
      </c>
      <c r="X12" s="159">
        <v>690</v>
      </c>
      <c r="Y12" s="155"/>
      <c r="Z12" s="121">
        <v>8</v>
      </c>
      <c r="AA12" s="122">
        <v>0.2</v>
      </c>
      <c r="AB12" s="121">
        <v>0</v>
      </c>
      <c r="AC12" s="122">
        <f t="shared" si="21"/>
        <v>2.45</v>
      </c>
      <c r="AD12" s="122">
        <v>2.5</v>
      </c>
      <c r="AE12" s="121">
        <f t="shared" si="13"/>
        <v>1</v>
      </c>
      <c r="AF12" s="160">
        <f t="shared" si="22"/>
        <v>608.75</v>
      </c>
      <c r="AG12" s="161">
        <f>'【国内】常规用户招募-数据源 （正职）'!AA12</f>
        <v>608.75</v>
      </c>
      <c r="AH12" s="161">
        <f t="shared" si="14"/>
        <v>0</v>
      </c>
      <c r="AI12" s="121">
        <v>250</v>
      </c>
      <c r="AJ12" s="150">
        <f t="shared" si="5"/>
        <v>326.09375</v>
      </c>
      <c r="AK12" s="150">
        <v>700</v>
      </c>
      <c r="AL12" s="155"/>
      <c r="AM12" s="121">
        <v>8</v>
      </c>
      <c r="AN12" s="122">
        <v>0.2</v>
      </c>
      <c r="AO12" s="121">
        <v>0</v>
      </c>
      <c r="AP12" s="122">
        <f t="shared" si="25"/>
        <v>2.892</v>
      </c>
      <c r="AQ12" s="122">
        <f t="shared" ref="AQ12:AQ54" si="26">AD12*1.08</f>
        <v>2.7</v>
      </c>
      <c r="AR12" s="122">
        <f t="shared" si="15"/>
        <v>0</v>
      </c>
      <c r="AS12" s="122">
        <f t="shared" si="23"/>
        <v>682.55</v>
      </c>
      <c r="AT12" s="122">
        <f>'【国内】常规用户招募-数据源 （正职）'!AK12</f>
        <v>682.55</v>
      </c>
      <c r="AU12" s="122">
        <f t="shared" si="16"/>
        <v>0</v>
      </c>
      <c r="AV12" s="121">
        <v>250</v>
      </c>
      <c r="AW12" s="150">
        <f t="shared" si="6"/>
        <v>285.31875</v>
      </c>
      <c r="AX12" s="150">
        <v>720</v>
      </c>
      <c r="AY12" s="155"/>
      <c r="AZ12" s="121">
        <v>8</v>
      </c>
      <c r="BA12" s="122">
        <v>0.2</v>
      </c>
      <c r="BB12" s="121">
        <v>0</v>
      </c>
      <c r="BC12" s="122">
        <f t="shared" si="17"/>
        <v>3.37083333333333</v>
      </c>
      <c r="BD12" s="122">
        <v>2.7</v>
      </c>
      <c r="BE12" s="122">
        <f t="shared" si="18"/>
        <v>1</v>
      </c>
      <c r="BF12" s="122">
        <f t="shared" si="24"/>
        <v>754.375</v>
      </c>
      <c r="BG12" s="122">
        <f>'【国内】常规用户招募-数据源 （正职）'!AU12</f>
        <v>754.375</v>
      </c>
      <c r="BH12" s="160">
        <f t="shared" si="7"/>
        <v>0</v>
      </c>
      <c r="BI12" s="121">
        <v>250</v>
      </c>
      <c r="BJ12" s="150">
        <f t="shared" si="8"/>
        <v>294.296875</v>
      </c>
      <c r="BK12" s="122">
        <f t="shared" si="9"/>
        <v>44.296875</v>
      </c>
    </row>
    <row r="13" spans="1:63">
      <c r="A13" s="121">
        <v>9</v>
      </c>
      <c r="B13" s="122">
        <v>0.2</v>
      </c>
      <c r="C13" s="121">
        <v>0</v>
      </c>
      <c r="D13" s="122">
        <f t="shared" si="19"/>
        <v>1.29166666666667</v>
      </c>
      <c r="E13" s="121">
        <v>2.6</v>
      </c>
      <c r="F13" s="122">
        <f t="shared" si="2"/>
        <v>390</v>
      </c>
      <c r="G13" s="157">
        <f>'【国内】常规用户招募-数据源 （正职）'!F13</f>
        <v>390</v>
      </c>
      <c r="H13" s="157">
        <f t="shared" si="10"/>
        <v>0</v>
      </c>
      <c r="I13" s="121">
        <v>200</v>
      </c>
      <c r="K13" s="150">
        <f t="shared" si="1"/>
        <v>-200</v>
      </c>
      <c r="L13" s="159">
        <v>690</v>
      </c>
      <c r="M13" s="155"/>
      <c r="N13" s="121">
        <v>9</v>
      </c>
      <c r="O13" s="122">
        <v>0.2</v>
      </c>
      <c r="P13" s="121">
        <f t="shared" si="3"/>
        <v>0</v>
      </c>
      <c r="Q13" s="122">
        <f t="shared" si="20"/>
        <v>1.80833333333333</v>
      </c>
      <c r="R13" s="122">
        <v>2.8</v>
      </c>
      <c r="S13" s="160">
        <f t="shared" si="11"/>
        <v>465.555555555556</v>
      </c>
      <c r="T13" s="157">
        <f>'【国内】常规用户招募-数据源 （正职）'!Q13</f>
        <v>465.555555555556</v>
      </c>
      <c r="U13" s="157">
        <f t="shared" si="12"/>
        <v>0</v>
      </c>
      <c r="V13" s="121">
        <v>250</v>
      </c>
      <c r="W13" s="150">
        <f t="shared" si="4"/>
        <v>301.728395061728</v>
      </c>
      <c r="X13" s="159">
        <v>690</v>
      </c>
      <c r="Y13" s="155"/>
      <c r="Z13" s="121">
        <v>9</v>
      </c>
      <c r="AA13" s="122">
        <v>0.2</v>
      </c>
      <c r="AB13" s="121">
        <v>0</v>
      </c>
      <c r="AC13" s="122">
        <f t="shared" si="21"/>
        <v>2.55833333333333</v>
      </c>
      <c r="AD13" s="122">
        <v>3.3</v>
      </c>
      <c r="AE13" s="121">
        <f t="shared" si="13"/>
        <v>1</v>
      </c>
      <c r="AF13" s="160">
        <f t="shared" si="22"/>
        <v>582.222222222222</v>
      </c>
      <c r="AG13" s="161">
        <f>'【国内】常规用户招募-数据源 （正职）'!AA13</f>
        <v>582.222222222222</v>
      </c>
      <c r="AH13" s="161">
        <f t="shared" si="14"/>
        <v>0</v>
      </c>
      <c r="AI13" s="121">
        <v>250</v>
      </c>
      <c r="AJ13" s="150">
        <f t="shared" si="5"/>
        <v>314.691358024691</v>
      </c>
      <c r="AK13" s="150">
        <v>700</v>
      </c>
      <c r="AL13" s="155"/>
      <c r="AM13" s="121">
        <v>9</v>
      </c>
      <c r="AN13" s="122">
        <v>0.2</v>
      </c>
      <c r="AO13" s="121">
        <v>0</v>
      </c>
      <c r="AP13" s="122">
        <f t="shared" si="25"/>
        <v>3.01833333333333</v>
      </c>
      <c r="AQ13" s="122">
        <f t="shared" si="26"/>
        <v>3.564</v>
      </c>
      <c r="AR13" s="122">
        <f t="shared" si="15"/>
        <v>0</v>
      </c>
      <c r="AS13" s="122">
        <f t="shared" si="23"/>
        <v>652.355555555555</v>
      </c>
      <c r="AT13" s="122">
        <f>'【国内】常规用户招募-数据源 （正职）'!AK13</f>
        <v>652.355555555555</v>
      </c>
      <c r="AU13" s="122">
        <f t="shared" si="16"/>
        <v>0</v>
      </c>
      <c r="AV13" s="121">
        <v>250</v>
      </c>
      <c r="AW13" s="150">
        <f t="shared" si="6"/>
        <v>272.483950617284</v>
      </c>
      <c r="AX13" s="150">
        <v>720</v>
      </c>
      <c r="AY13" s="155"/>
      <c r="AZ13" s="121">
        <v>9</v>
      </c>
      <c r="BA13" s="122">
        <v>0.2</v>
      </c>
      <c r="BB13" s="121">
        <v>0</v>
      </c>
      <c r="BC13" s="122">
        <f t="shared" si="17"/>
        <v>3.6</v>
      </c>
      <c r="BD13" s="122">
        <v>3.3</v>
      </c>
      <c r="BE13" s="122">
        <f t="shared" si="18"/>
        <v>1</v>
      </c>
      <c r="BF13" s="122">
        <f t="shared" si="24"/>
        <v>721.111111111111</v>
      </c>
      <c r="BG13" s="122">
        <f>'【国内】常规用户招募-数据源 （正职）'!AU13</f>
        <v>721.111111111111</v>
      </c>
      <c r="BH13" s="160">
        <f t="shared" si="7"/>
        <v>0</v>
      </c>
      <c r="BI13" s="121">
        <v>250</v>
      </c>
      <c r="BJ13" s="150">
        <f t="shared" si="8"/>
        <v>280.123456790123</v>
      </c>
      <c r="BK13" s="122">
        <f t="shared" si="9"/>
        <v>30.1234567901235</v>
      </c>
    </row>
    <row r="14" s="149" customFormat="1" spans="1:63">
      <c r="A14" s="167">
        <v>10</v>
      </c>
      <c r="B14" s="122">
        <f>'【国内】常规用户招募-数据源 （正职）'!B14*2.5</f>
        <v>0</v>
      </c>
      <c r="C14" s="121">
        <v>0</v>
      </c>
      <c r="D14" s="122">
        <f t="shared" si="19"/>
        <v>2.45833333333333</v>
      </c>
      <c r="E14" s="168">
        <v>3</v>
      </c>
      <c r="F14" s="122">
        <f t="shared" si="2"/>
        <v>385</v>
      </c>
      <c r="G14" s="157">
        <f>'【国内】常规用户招募-数据源 （正职）'!F14</f>
        <v>385</v>
      </c>
      <c r="H14" s="157">
        <f t="shared" si="10"/>
        <v>0</v>
      </c>
      <c r="I14" s="167">
        <v>200</v>
      </c>
      <c r="J14" s="169"/>
      <c r="K14" s="150">
        <f t="shared" si="1"/>
        <v>-200</v>
      </c>
      <c r="L14" s="170">
        <v>690</v>
      </c>
      <c r="M14" s="171"/>
      <c r="N14" s="167">
        <v>10</v>
      </c>
      <c r="O14" s="122">
        <f>'【国内】常规用户招募-数据源 （正职）'!M14*2.5</f>
        <v>0</v>
      </c>
      <c r="P14" s="121">
        <f t="shared" si="3"/>
        <v>0</v>
      </c>
      <c r="Q14" s="122">
        <f t="shared" si="20"/>
        <v>3.075</v>
      </c>
      <c r="R14" s="122">
        <v>3</v>
      </c>
      <c r="S14" s="160">
        <f t="shared" si="11"/>
        <v>459</v>
      </c>
      <c r="T14" s="157">
        <f>'【国内】常规用户招募-数据源 （正职）'!Q14</f>
        <v>459</v>
      </c>
      <c r="U14" s="157">
        <f t="shared" si="12"/>
        <v>0</v>
      </c>
      <c r="V14" s="167">
        <v>250</v>
      </c>
      <c r="W14" s="150">
        <f t="shared" si="4"/>
        <v>295.9</v>
      </c>
      <c r="X14" s="170">
        <v>690</v>
      </c>
      <c r="Y14" s="171"/>
      <c r="Z14" s="172">
        <v>10</v>
      </c>
      <c r="AA14" s="122">
        <f>'【国内】常规用户招募-数据源 （正职）'!W14*2.5</f>
        <v>0</v>
      </c>
      <c r="AB14" s="121">
        <v>0</v>
      </c>
      <c r="AC14" s="122">
        <f t="shared" si="21"/>
        <v>3.8</v>
      </c>
      <c r="AD14" s="122">
        <v>3.4</v>
      </c>
      <c r="AE14" s="121">
        <f t="shared" si="13"/>
        <v>1</v>
      </c>
      <c r="AF14" s="173">
        <f t="shared" si="22"/>
        <v>558</v>
      </c>
      <c r="AG14" s="161">
        <f>'【国内】常规用户招募-数据源 （正职）'!AA14</f>
        <v>558</v>
      </c>
      <c r="AH14" s="161">
        <f t="shared" si="14"/>
        <v>0</v>
      </c>
      <c r="AI14" s="172">
        <v>250</v>
      </c>
      <c r="AJ14" s="174">
        <f t="shared" si="5"/>
        <v>305.8</v>
      </c>
      <c r="AK14" s="174">
        <v>700</v>
      </c>
      <c r="AL14" s="171"/>
      <c r="AM14" s="167">
        <v>10</v>
      </c>
      <c r="AN14" s="122">
        <f>'【国内】常规用户招募-数据源 （正职）'!AG14*2.2</f>
        <v>0.22</v>
      </c>
      <c r="AO14" s="121">
        <v>0</v>
      </c>
      <c r="AP14" s="122">
        <f t="shared" si="25"/>
        <v>3.50033333333333</v>
      </c>
      <c r="AQ14" s="122">
        <f t="shared" si="26"/>
        <v>3.672</v>
      </c>
      <c r="AR14" s="122">
        <f t="shared" si="15"/>
        <v>0</v>
      </c>
      <c r="AS14" s="122">
        <f t="shared" si="23"/>
        <v>660</v>
      </c>
      <c r="AT14" s="122">
        <f>'【国内】常规用户招募-数据源 （正职）'!AK14</f>
        <v>660</v>
      </c>
      <c r="AU14" s="122">
        <f t="shared" si="16"/>
        <v>0</v>
      </c>
      <c r="AV14" s="167">
        <v>250</v>
      </c>
      <c r="AW14" s="169">
        <f t="shared" si="6"/>
        <v>266</v>
      </c>
      <c r="AX14" s="169">
        <v>720</v>
      </c>
      <c r="AY14" s="171"/>
      <c r="AZ14" s="167">
        <v>10</v>
      </c>
      <c r="BA14" s="122">
        <f>'【国内】常规用户招募-数据源 （正职）'!AQ14*2.3</f>
        <v>0.23</v>
      </c>
      <c r="BB14" s="121">
        <v>0</v>
      </c>
      <c r="BC14" s="122">
        <f t="shared" si="17"/>
        <v>4.29833333333333</v>
      </c>
      <c r="BD14" s="122">
        <v>3.3</v>
      </c>
      <c r="BE14" s="122">
        <f t="shared" si="18"/>
        <v>1</v>
      </c>
      <c r="BF14" s="122">
        <f t="shared" si="24"/>
        <v>750.5</v>
      </c>
      <c r="BG14" s="122">
        <f>'【国内】常规用户招募-数据源 （正职）'!AU14</f>
        <v>750.5</v>
      </c>
      <c r="BH14" s="165">
        <f t="shared" si="7"/>
        <v>0</v>
      </c>
      <c r="BI14" s="167">
        <v>250</v>
      </c>
      <c r="BJ14" s="169">
        <f t="shared" si="8"/>
        <v>275.05</v>
      </c>
      <c r="BK14" s="122">
        <f t="shared" si="9"/>
        <v>25.05</v>
      </c>
    </row>
    <row r="15" spans="1:63">
      <c r="A15" s="121">
        <v>11</v>
      </c>
      <c r="B15" s="122">
        <f>'【国内】常规用户招募-数据源 （正职）'!B15*2.5</f>
        <v>0.25</v>
      </c>
      <c r="C15" s="121">
        <v>0</v>
      </c>
      <c r="D15" s="122">
        <f t="shared" si="19"/>
        <v>1.92083333333333</v>
      </c>
      <c r="E15" s="121">
        <v>2.3</v>
      </c>
      <c r="F15" s="122">
        <f t="shared" si="2"/>
        <v>406.363636363636</v>
      </c>
      <c r="G15" s="157">
        <f>'【国内】常规用户招募-数据源 （正职）'!F15</f>
        <v>406.363636363636</v>
      </c>
      <c r="H15" s="157">
        <f t="shared" si="10"/>
        <v>0</v>
      </c>
      <c r="I15" s="121">
        <v>200</v>
      </c>
      <c r="K15" s="150">
        <f t="shared" si="1"/>
        <v>-200</v>
      </c>
      <c r="L15" s="159">
        <v>690</v>
      </c>
      <c r="M15" s="155"/>
      <c r="N15" s="121">
        <v>11</v>
      </c>
      <c r="O15" s="122">
        <f>'【国内】常规用户招募-数据源 （正职）'!M15*2.5</f>
        <v>0.25</v>
      </c>
      <c r="P15" s="121">
        <f t="shared" ref="P15:P24" si="27">0/2</f>
        <v>0</v>
      </c>
      <c r="Q15" s="122">
        <f t="shared" si="20"/>
        <v>2.2875</v>
      </c>
      <c r="R15" s="122">
        <v>3.3</v>
      </c>
      <c r="S15" s="160">
        <f t="shared" si="11"/>
        <v>473.636363636364</v>
      </c>
      <c r="T15" s="157">
        <f>'【国内】常规用户招募-数据源 （正职）'!Q15</f>
        <v>473.636363636364</v>
      </c>
      <c r="U15" s="157">
        <f t="shared" si="12"/>
        <v>0</v>
      </c>
      <c r="V15" s="121">
        <v>250</v>
      </c>
      <c r="W15" s="150">
        <f t="shared" si="4"/>
        <v>293.057851239669</v>
      </c>
      <c r="X15" s="159">
        <v>690</v>
      </c>
      <c r="Y15" s="155"/>
      <c r="Z15" s="121">
        <v>11</v>
      </c>
      <c r="AA15" s="122">
        <f>'【国内】常规用户招募-数据源 （正职）'!W15*2.5</f>
        <v>0.25</v>
      </c>
      <c r="AB15" s="121">
        <v>0</v>
      </c>
      <c r="AC15" s="122">
        <f t="shared" si="21"/>
        <v>3.1625</v>
      </c>
      <c r="AD15" s="122">
        <v>3.3</v>
      </c>
      <c r="AE15" s="121">
        <f t="shared" si="13"/>
        <v>1</v>
      </c>
      <c r="AF15" s="160">
        <f t="shared" si="22"/>
        <v>569.090909090909</v>
      </c>
      <c r="AG15" s="161">
        <f>'【国内】常规用户招募-数据源 （正职）'!AA15</f>
        <v>569.090909090909</v>
      </c>
      <c r="AH15" s="161">
        <f t="shared" si="14"/>
        <v>0</v>
      </c>
      <c r="AI15" s="121">
        <v>250</v>
      </c>
      <c r="AJ15" s="150">
        <f t="shared" si="5"/>
        <v>301.735537190083</v>
      </c>
      <c r="AK15" s="150">
        <v>700</v>
      </c>
      <c r="AL15" s="155"/>
      <c r="AM15" s="121">
        <v>11</v>
      </c>
      <c r="AN15" s="122">
        <f>'【国内】常规用户招募-数据源 （正职）'!AG15*2.2</f>
        <v>0.22</v>
      </c>
      <c r="AO15" s="121">
        <v>0</v>
      </c>
      <c r="AP15" s="122">
        <f t="shared" si="25"/>
        <v>3.804</v>
      </c>
      <c r="AQ15" s="122">
        <f t="shared" si="26"/>
        <v>3.564</v>
      </c>
      <c r="AR15" s="122">
        <f t="shared" si="15"/>
        <v>0</v>
      </c>
      <c r="AS15" s="122">
        <f t="shared" si="23"/>
        <v>630.181818181818</v>
      </c>
      <c r="AT15" s="122">
        <f>'【国内】常规用户招募-数据源 （正职）'!AK15</f>
        <v>630.181818181818</v>
      </c>
      <c r="AU15" s="122">
        <f t="shared" si="16"/>
        <v>0</v>
      </c>
      <c r="AV15" s="121">
        <v>250</v>
      </c>
      <c r="AW15" s="150">
        <f t="shared" si="6"/>
        <v>257.289256198347</v>
      </c>
      <c r="AX15" s="150">
        <v>720</v>
      </c>
      <c r="AY15" s="155"/>
      <c r="AZ15" s="121">
        <v>11</v>
      </c>
      <c r="BA15" s="122">
        <f>'【国内】常规用户招募-数据源 （正职）'!AQ15*2.3</f>
        <v>0.23</v>
      </c>
      <c r="BB15" s="121">
        <v>0</v>
      </c>
      <c r="BC15" s="122">
        <f t="shared" si="17"/>
        <v>4.12333333333333</v>
      </c>
      <c r="BD15" s="122">
        <v>4.3</v>
      </c>
      <c r="BE15" s="122">
        <f t="shared" si="18"/>
        <v>1</v>
      </c>
      <c r="BF15" s="122">
        <f t="shared" si="24"/>
        <v>690.454545454545</v>
      </c>
      <c r="BG15" s="122">
        <f>'【国内】常规用户招募-数据源 （正职）'!AU15</f>
        <v>690.454545454545</v>
      </c>
      <c r="BH15" s="160">
        <f t="shared" si="7"/>
        <v>0</v>
      </c>
      <c r="BI15" s="121">
        <v>250</v>
      </c>
      <c r="BJ15" s="150">
        <f t="shared" si="8"/>
        <v>262.768595041322</v>
      </c>
      <c r="BK15" s="122">
        <f t="shared" si="9"/>
        <v>12.7685950413223</v>
      </c>
    </row>
    <row r="16" spans="1:63">
      <c r="A16" s="121">
        <v>12</v>
      </c>
      <c r="B16" s="122">
        <f>'【国内】常规用户招募-数据源 （正职）'!B16*2.5</f>
        <v>0.25</v>
      </c>
      <c r="C16" s="121">
        <v>0</v>
      </c>
      <c r="D16" s="122">
        <f t="shared" si="19"/>
        <v>2.15416666666667</v>
      </c>
      <c r="E16" s="121">
        <v>2.5</v>
      </c>
      <c r="F16" s="122">
        <f t="shared" si="2"/>
        <v>400.833333333333</v>
      </c>
      <c r="G16" s="157">
        <f>'【国内】常规用户招募-数据源 （正职）'!F16</f>
        <v>400.833333333333</v>
      </c>
      <c r="H16" s="157">
        <f t="shared" si="10"/>
        <v>0</v>
      </c>
      <c r="I16" s="121">
        <v>200</v>
      </c>
      <c r="K16" s="150">
        <f t="shared" si="1"/>
        <v>-200</v>
      </c>
      <c r="L16" s="159">
        <v>690</v>
      </c>
      <c r="M16" s="155"/>
      <c r="N16" s="121">
        <v>12</v>
      </c>
      <c r="O16" s="122">
        <f>'【国内】常规用户招募-数据源 （正职）'!M16*2.5</f>
        <v>0.25</v>
      </c>
      <c r="P16" s="121">
        <f t="shared" si="27"/>
        <v>0</v>
      </c>
      <c r="Q16" s="122">
        <f t="shared" si="20"/>
        <v>2.52083333333333</v>
      </c>
      <c r="R16" s="122">
        <v>3.5</v>
      </c>
      <c r="S16" s="160">
        <f t="shared" si="11"/>
        <v>462.5</v>
      </c>
      <c r="T16" s="157">
        <f>'【国内】常规用户招募-数据源 （正职）'!Q16</f>
        <v>462.5</v>
      </c>
      <c r="U16" s="157">
        <f t="shared" si="12"/>
        <v>0</v>
      </c>
      <c r="V16" s="121">
        <v>250</v>
      </c>
      <c r="W16" s="150">
        <f t="shared" si="4"/>
        <v>288.541666666667</v>
      </c>
      <c r="X16" s="159">
        <v>690</v>
      </c>
      <c r="Y16" s="155"/>
      <c r="Z16" s="121">
        <v>12</v>
      </c>
      <c r="AA16" s="122">
        <f>'【国内】常规用户招募-数据源 （正职）'!W16*2.5</f>
        <v>0.25</v>
      </c>
      <c r="AB16" s="121">
        <v>0</v>
      </c>
      <c r="AC16" s="122">
        <f t="shared" si="21"/>
        <v>3.42083333333333</v>
      </c>
      <c r="AD16" s="122">
        <v>3.5</v>
      </c>
      <c r="AE16" s="121">
        <f t="shared" si="13"/>
        <v>1</v>
      </c>
      <c r="AF16" s="160">
        <f t="shared" si="22"/>
        <v>552.5</v>
      </c>
      <c r="AG16" s="161">
        <f>'【国内】常规用户招募-数据源 （正职）'!AA16</f>
        <v>552.5</v>
      </c>
      <c r="AH16" s="161">
        <f t="shared" si="14"/>
        <v>0</v>
      </c>
      <c r="AI16" s="121">
        <v>250</v>
      </c>
      <c r="AJ16" s="150">
        <f t="shared" si="5"/>
        <v>296.041666666667</v>
      </c>
      <c r="AK16" s="150">
        <v>700</v>
      </c>
      <c r="AL16" s="155"/>
      <c r="AM16" s="121">
        <v>12</v>
      </c>
      <c r="AN16" s="122">
        <f>'【国内】常规用户招募-数据源 （正职）'!AG16*2.2</f>
        <v>0.22</v>
      </c>
      <c r="AO16" s="121">
        <v>0</v>
      </c>
      <c r="AP16" s="122">
        <f t="shared" si="25"/>
        <v>4.39833333333333</v>
      </c>
      <c r="AQ16" s="122">
        <f t="shared" si="26"/>
        <v>3.78</v>
      </c>
      <c r="AR16" s="122">
        <f t="shared" si="15"/>
        <v>0</v>
      </c>
      <c r="AS16" s="122">
        <f t="shared" si="23"/>
        <v>642.5</v>
      </c>
      <c r="AT16" s="122">
        <f>'【国内】常规用户招募-数据源 （正职）'!AK16</f>
        <v>642.5</v>
      </c>
      <c r="AU16" s="122">
        <f t="shared" si="16"/>
        <v>0</v>
      </c>
      <c r="AV16" s="121">
        <v>250</v>
      </c>
      <c r="AW16" s="150">
        <f t="shared" si="6"/>
        <v>253.541666666667</v>
      </c>
      <c r="AX16" s="150">
        <v>720</v>
      </c>
      <c r="AY16" s="155"/>
      <c r="AZ16" s="121">
        <v>12</v>
      </c>
      <c r="BA16" s="122">
        <f>'【国内】常规用户招募-数据源 （正职）'!AQ16*2.3</f>
        <v>0.23</v>
      </c>
      <c r="BB16" s="121">
        <v>0</v>
      </c>
      <c r="BC16" s="122">
        <f t="shared" si="17"/>
        <v>4.4775</v>
      </c>
      <c r="BD16" s="122">
        <v>4.4</v>
      </c>
      <c r="BE16" s="122">
        <f t="shared" si="18"/>
        <v>1</v>
      </c>
      <c r="BF16" s="122">
        <f t="shared" si="24"/>
        <v>670.833333333333</v>
      </c>
      <c r="BG16" s="122">
        <f>'【国内】常规用户招募-数据源 （正职）'!AU16</f>
        <v>670.833333333333</v>
      </c>
      <c r="BH16" s="160">
        <f t="shared" si="7"/>
        <v>0</v>
      </c>
      <c r="BI16" s="121">
        <v>250</v>
      </c>
      <c r="BJ16" s="150">
        <f t="shared" si="8"/>
        <v>255.902777777778</v>
      </c>
      <c r="BK16" s="122">
        <f t="shared" si="9"/>
        <v>5.9027777777778</v>
      </c>
    </row>
    <row r="17" spans="1:63">
      <c r="A17" s="121">
        <v>13</v>
      </c>
      <c r="B17" s="122">
        <f>'【国内】常规用户招募-数据源 （正职）'!B17*2.5</f>
        <v>0.25</v>
      </c>
      <c r="C17" s="121">
        <v>0</v>
      </c>
      <c r="D17" s="122">
        <f t="shared" si="19"/>
        <v>2.17916666666667</v>
      </c>
      <c r="E17" s="121">
        <v>2.5</v>
      </c>
      <c r="F17" s="122">
        <f t="shared" si="2"/>
        <v>372.307692307692</v>
      </c>
      <c r="G17" s="157">
        <f>'【国内】常规用户招募-数据源 （正职）'!F17</f>
        <v>372.307692307692</v>
      </c>
      <c r="H17" s="157">
        <f t="shared" si="10"/>
        <v>0</v>
      </c>
      <c r="I17" s="121">
        <v>200</v>
      </c>
      <c r="K17" s="150">
        <f t="shared" si="1"/>
        <v>-200</v>
      </c>
      <c r="L17" s="159">
        <v>690</v>
      </c>
      <c r="M17" s="155"/>
      <c r="N17" s="121">
        <v>13</v>
      </c>
      <c r="O17" s="122">
        <f>'【国内】常规用户招募-数据源 （正职）'!M17*2.5</f>
        <v>0.25</v>
      </c>
      <c r="P17" s="121">
        <f t="shared" si="27"/>
        <v>0</v>
      </c>
      <c r="Q17" s="122">
        <f t="shared" si="20"/>
        <v>2.54583333333333</v>
      </c>
      <c r="R17" s="122">
        <v>3.5</v>
      </c>
      <c r="S17" s="160">
        <f t="shared" si="11"/>
        <v>429.230769230769</v>
      </c>
      <c r="T17" s="157">
        <f>'【国内】常规用户招募-数据源 （正职）'!Q17</f>
        <v>429.230769230769</v>
      </c>
      <c r="U17" s="157">
        <f t="shared" si="12"/>
        <v>0</v>
      </c>
      <c r="V17" s="121">
        <v>250</v>
      </c>
      <c r="W17" s="150">
        <f t="shared" si="4"/>
        <v>283.01775147929</v>
      </c>
      <c r="X17" s="159">
        <v>690</v>
      </c>
      <c r="Y17" s="155"/>
      <c r="Z17" s="121">
        <v>13</v>
      </c>
      <c r="AA17" s="122">
        <f>'【国内】常规用户招募-数据源 （正职）'!W17*2.5</f>
        <v>0.25</v>
      </c>
      <c r="AB17" s="121">
        <v>0</v>
      </c>
      <c r="AC17" s="122">
        <f t="shared" si="21"/>
        <v>3.37083333333333</v>
      </c>
      <c r="AD17" s="122">
        <v>3.8</v>
      </c>
      <c r="AE17" s="121">
        <f t="shared" si="13"/>
        <v>1</v>
      </c>
      <c r="AF17" s="160">
        <f t="shared" si="22"/>
        <v>512.307692307692</v>
      </c>
      <c r="AG17" s="161">
        <f>'【国内】常规用户招募-数据源 （正职）'!AA17</f>
        <v>512.307692307692</v>
      </c>
      <c r="AH17" s="161">
        <f t="shared" si="14"/>
        <v>0</v>
      </c>
      <c r="AI17" s="121">
        <v>250</v>
      </c>
      <c r="AJ17" s="150">
        <f t="shared" si="5"/>
        <v>289.408284023669</v>
      </c>
      <c r="AK17" s="150">
        <v>700</v>
      </c>
      <c r="AL17" s="155"/>
      <c r="AM17" s="121">
        <v>13</v>
      </c>
      <c r="AN17" s="122">
        <f>'【国内】常规用户招募-数据源 （正职）'!AG17*2.2</f>
        <v>0.22</v>
      </c>
      <c r="AO17" s="121">
        <v>0</v>
      </c>
      <c r="AP17" s="122">
        <f t="shared" si="25"/>
        <v>4.62566666666667</v>
      </c>
      <c r="AQ17" s="122">
        <f t="shared" si="26"/>
        <v>4.104</v>
      </c>
      <c r="AR17" s="122">
        <f t="shared" si="15"/>
        <v>0</v>
      </c>
      <c r="AS17" s="122">
        <f t="shared" si="23"/>
        <v>621.538461538462</v>
      </c>
      <c r="AT17" s="122">
        <f>'【国内】常规用户招募-数据源 （正职）'!AK17</f>
        <v>621.538461538462</v>
      </c>
      <c r="AU17" s="122">
        <f t="shared" si="16"/>
        <v>0</v>
      </c>
      <c r="AV17" s="121">
        <v>250</v>
      </c>
      <c r="AW17" s="150">
        <f t="shared" si="6"/>
        <v>247.810650887574</v>
      </c>
      <c r="AX17" s="150">
        <v>720</v>
      </c>
      <c r="AY17" s="155"/>
      <c r="AZ17" s="121">
        <v>13</v>
      </c>
      <c r="BA17" s="122">
        <f>'【国内】常规用户招募-数据源 （正职）'!AQ17*2.3</f>
        <v>0.23</v>
      </c>
      <c r="BB17" s="121">
        <v>0</v>
      </c>
      <c r="BC17" s="122">
        <f t="shared" si="17"/>
        <v>4.4025</v>
      </c>
      <c r="BD17" s="122">
        <v>4.8</v>
      </c>
      <c r="BE17" s="122">
        <f t="shared" si="18"/>
        <v>0</v>
      </c>
      <c r="BF17" s="122">
        <f t="shared" si="24"/>
        <v>621.538461538462</v>
      </c>
      <c r="BG17" s="122">
        <f>'【国内】常规用户招募-数据源 （正职）'!AU17</f>
        <v>621.538461538462</v>
      </c>
      <c r="BH17" s="160">
        <f t="shared" si="7"/>
        <v>0</v>
      </c>
      <c r="BI17" s="121">
        <v>250</v>
      </c>
      <c r="BJ17" s="150">
        <f t="shared" si="8"/>
        <v>247.810650887574</v>
      </c>
      <c r="BK17" s="122">
        <f t="shared" si="9"/>
        <v>-2.18934911242604</v>
      </c>
    </row>
    <row r="18" spans="1:63">
      <c r="A18" s="121">
        <v>14</v>
      </c>
      <c r="B18" s="122">
        <f>'【国内】常规用户招募-数据源 （正职）'!B18*2.5</f>
        <v>0.25</v>
      </c>
      <c r="C18" s="121">
        <v>0</v>
      </c>
      <c r="D18" s="122">
        <f t="shared" si="19"/>
        <v>2.4375</v>
      </c>
      <c r="E18" s="122">
        <v>2.6</v>
      </c>
      <c r="F18" s="122">
        <f t="shared" si="2"/>
        <v>370</v>
      </c>
      <c r="G18" s="157">
        <f>'【国内】常规用户招募-数据源 （正职）'!F18</f>
        <v>370</v>
      </c>
      <c r="H18" s="157">
        <f t="shared" si="10"/>
        <v>0</v>
      </c>
      <c r="I18" s="121">
        <v>200</v>
      </c>
      <c r="K18" s="150">
        <f t="shared" si="1"/>
        <v>-200</v>
      </c>
      <c r="L18" s="159">
        <v>690</v>
      </c>
      <c r="M18" s="155"/>
      <c r="N18" s="121">
        <v>14</v>
      </c>
      <c r="O18" s="122">
        <f>'【国内】常规用户招募-数据源 （正职）'!M18*2.5</f>
        <v>0.25</v>
      </c>
      <c r="P18" s="121">
        <f t="shared" si="27"/>
        <v>0</v>
      </c>
      <c r="Q18" s="122">
        <f t="shared" si="20"/>
        <v>2.77916666666667</v>
      </c>
      <c r="R18" s="122">
        <v>3.7</v>
      </c>
      <c r="S18" s="160">
        <f t="shared" si="11"/>
        <v>422.857142857143</v>
      </c>
      <c r="T18" s="157">
        <f>'【国内】常规用户招募-数据源 （正职）'!Q18</f>
        <v>422.857142857143</v>
      </c>
      <c r="U18" s="157">
        <f t="shared" si="12"/>
        <v>0</v>
      </c>
      <c r="V18" s="121">
        <v>250</v>
      </c>
      <c r="W18" s="150">
        <f t="shared" si="4"/>
        <v>280.204081632653</v>
      </c>
      <c r="X18" s="159">
        <v>690</v>
      </c>
      <c r="Y18" s="155"/>
      <c r="Z18" s="121">
        <v>14</v>
      </c>
      <c r="AA18" s="122">
        <f>'【国内】常规用户招募-数据源 （正职）'!W18*2.5</f>
        <v>0.25</v>
      </c>
      <c r="AB18" s="121">
        <v>0</v>
      </c>
      <c r="AC18" s="122">
        <f t="shared" si="21"/>
        <v>3.62916666666667</v>
      </c>
      <c r="AD18" s="122">
        <v>3.9</v>
      </c>
      <c r="AE18" s="121">
        <f t="shared" si="13"/>
        <v>1</v>
      </c>
      <c r="AF18" s="160">
        <f t="shared" si="22"/>
        <v>500</v>
      </c>
      <c r="AG18" s="161">
        <f>'【国内】常规用户招募-数据源 （正职）'!AA18</f>
        <v>500</v>
      </c>
      <c r="AH18" s="161">
        <f t="shared" si="14"/>
        <v>0</v>
      </c>
      <c r="AI18" s="121">
        <v>250</v>
      </c>
      <c r="AJ18" s="150">
        <f t="shared" si="5"/>
        <v>285.714285714286</v>
      </c>
      <c r="AK18" s="150">
        <v>700</v>
      </c>
      <c r="AL18" s="155"/>
      <c r="AM18" s="121">
        <v>14</v>
      </c>
      <c r="AN18" s="122">
        <f>'【国内】常规用户招募-数据源 （正职）'!AG18*2.2</f>
        <v>0.22</v>
      </c>
      <c r="AO18" s="121">
        <v>0</v>
      </c>
      <c r="AP18" s="122">
        <f t="shared" si="25"/>
        <v>5.16533333333333</v>
      </c>
      <c r="AQ18" s="122">
        <f t="shared" si="26"/>
        <v>4.212</v>
      </c>
      <c r="AR18" s="122">
        <f t="shared" si="15"/>
        <v>0</v>
      </c>
      <c r="AS18" s="122">
        <f t="shared" si="23"/>
        <v>625.714285714286</v>
      </c>
      <c r="AT18" s="122">
        <f>'【国内】常规用户招募-数据源 （正职）'!AK18</f>
        <v>625.714285714286</v>
      </c>
      <c r="AU18" s="122">
        <f t="shared" si="16"/>
        <v>0</v>
      </c>
      <c r="AV18" s="121">
        <v>250</v>
      </c>
      <c r="AW18" s="150">
        <f t="shared" si="6"/>
        <v>244.69387755102</v>
      </c>
      <c r="AX18" s="150">
        <v>720</v>
      </c>
      <c r="AY18" s="155"/>
      <c r="AZ18" s="121">
        <v>14</v>
      </c>
      <c r="BA18" s="122">
        <f>'【国内】常规用户招募-数据源 （正职）'!AQ18*2.3</f>
        <v>0.23</v>
      </c>
      <c r="BB18" s="121">
        <v>0</v>
      </c>
      <c r="BC18" s="122">
        <f t="shared" si="17"/>
        <v>4.58166666666667</v>
      </c>
      <c r="BD18" s="122">
        <v>5.5</v>
      </c>
      <c r="BE18" s="122">
        <f t="shared" si="18"/>
        <v>0</v>
      </c>
      <c r="BF18" s="122">
        <f t="shared" si="24"/>
        <v>607.5</v>
      </c>
      <c r="BG18" s="122">
        <f>'【国内】常规用户招募-数据源 （正职）'!AU18</f>
        <v>607.5</v>
      </c>
      <c r="BH18" s="160">
        <f t="shared" si="7"/>
        <v>0</v>
      </c>
      <c r="BI18" s="121">
        <v>250</v>
      </c>
      <c r="BJ18" s="150">
        <f t="shared" si="8"/>
        <v>243.392857142857</v>
      </c>
      <c r="BK18" s="122">
        <f t="shared" si="9"/>
        <v>-6.60714285714286</v>
      </c>
    </row>
    <row r="19" s="148" customFormat="1" spans="1:63">
      <c r="A19" s="121">
        <v>15</v>
      </c>
      <c r="B19" s="122">
        <f>'【国内】常规用户招募-数据源 （正职）'!B19*2.5</f>
        <v>0.25</v>
      </c>
      <c r="C19" s="121">
        <v>0</v>
      </c>
      <c r="D19" s="122">
        <f t="shared" si="19"/>
        <v>3.02916666666667</v>
      </c>
      <c r="E19" s="121">
        <v>2.7</v>
      </c>
      <c r="F19" s="122">
        <f t="shared" si="2"/>
        <v>394.666666666667</v>
      </c>
      <c r="G19" s="157">
        <f>'【国内】常规用户招募-数据源 （正职）'!F19</f>
        <v>394.666666666667</v>
      </c>
      <c r="H19" s="157">
        <f t="shared" si="10"/>
        <v>0</v>
      </c>
      <c r="I19" s="121">
        <v>200</v>
      </c>
      <c r="J19" s="150"/>
      <c r="K19" s="150">
        <f t="shared" si="1"/>
        <v>-200</v>
      </c>
      <c r="L19" s="159">
        <v>690</v>
      </c>
      <c r="M19" s="155"/>
      <c r="N19" s="121">
        <v>15</v>
      </c>
      <c r="O19" s="122">
        <f>'【国内】常规用户招募-数据源 （正职）'!M19*2.5</f>
        <v>0.25</v>
      </c>
      <c r="P19" s="121">
        <f t="shared" si="27"/>
        <v>0</v>
      </c>
      <c r="Q19" s="122">
        <f t="shared" si="20"/>
        <v>3.0625</v>
      </c>
      <c r="R19" s="122">
        <v>3.8</v>
      </c>
      <c r="S19" s="160">
        <f t="shared" si="11"/>
        <v>419.333333333333</v>
      </c>
      <c r="T19" s="157">
        <f>'【国内】常规用户招募-数据源 （正职）'!Q19</f>
        <v>419.333333333333</v>
      </c>
      <c r="U19" s="157">
        <f t="shared" si="12"/>
        <v>0</v>
      </c>
      <c r="V19" s="121">
        <v>250</v>
      </c>
      <c r="W19" s="150">
        <f t="shared" si="4"/>
        <v>277.955555555556</v>
      </c>
      <c r="X19" s="159">
        <v>690</v>
      </c>
      <c r="Y19" s="155"/>
      <c r="Z19" s="121">
        <v>15</v>
      </c>
      <c r="AA19" s="122">
        <f>'【国内】常规用户招募-数据源 （正职）'!W19*2.5</f>
        <v>0.25</v>
      </c>
      <c r="AB19" s="121">
        <v>0</v>
      </c>
      <c r="AC19" s="122">
        <f t="shared" si="21"/>
        <v>4.12083333333333</v>
      </c>
      <c r="AD19" s="122">
        <v>4.3</v>
      </c>
      <c r="AE19" s="121">
        <f t="shared" si="13"/>
        <v>1</v>
      </c>
      <c r="AF19" s="160">
        <f t="shared" si="22"/>
        <v>514</v>
      </c>
      <c r="AG19" s="161">
        <f>'【国内】常规用户招募-数据源 （正职）'!AA19</f>
        <v>514</v>
      </c>
      <c r="AH19" s="161">
        <f t="shared" si="14"/>
        <v>0</v>
      </c>
      <c r="AI19" s="121">
        <v>250</v>
      </c>
      <c r="AJ19" s="150">
        <f t="shared" si="5"/>
        <v>284.266666666667</v>
      </c>
      <c r="AK19" s="150">
        <v>700</v>
      </c>
      <c r="AL19" s="155"/>
      <c r="AM19" s="121">
        <v>15</v>
      </c>
      <c r="AN19" s="122">
        <f>'【国内】常规用户招募-数据源 （正职）'!AG19*2.2</f>
        <v>0.22</v>
      </c>
      <c r="AO19" s="121">
        <v>0</v>
      </c>
      <c r="AP19" s="122">
        <f t="shared" si="25"/>
        <v>5.39066666666667</v>
      </c>
      <c r="AQ19" s="122">
        <f t="shared" si="26"/>
        <v>4.644</v>
      </c>
      <c r="AR19" s="122">
        <f t="shared" si="15"/>
        <v>0</v>
      </c>
      <c r="AS19" s="122">
        <f t="shared" si="23"/>
        <v>610.666666666667</v>
      </c>
      <c r="AT19" s="122">
        <f>'【国内】常规用户招募-数据源 （正职）'!AK19</f>
        <v>610.666666666667</v>
      </c>
      <c r="AU19" s="122">
        <f t="shared" si="16"/>
        <v>0</v>
      </c>
      <c r="AV19" s="121">
        <v>250</v>
      </c>
      <c r="AW19" s="150">
        <f t="shared" si="6"/>
        <v>240.711111111111</v>
      </c>
      <c r="AX19" s="150">
        <v>720</v>
      </c>
      <c r="AY19" s="155"/>
      <c r="AZ19" s="121">
        <v>15</v>
      </c>
      <c r="BA19" s="122">
        <f>'【国内】常规用户招募-数据源 （正职）'!AQ19*2.3</f>
        <v>0.23</v>
      </c>
      <c r="BB19" s="121">
        <v>0</v>
      </c>
      <c r="BC19" s="122">
        <f t="shared" si="17"/>
        <v>5.34</v>
      </c>
      <c r="BD19" s="122">
        <v>5.8</v>
      </c>
      <c r="BE19" s="122">
        <f t="shared" si="18"/>
        <v>0</v>
      </c>
      <c r="BF19" s="122">
        <f t="shared" si="24"/>
        <v>633.666666666667</v>
      </c>
      <c r="BG19" s="122">
        <f>'【国内】常规用户招募-数据源 （正职）'!AU19</f>
        <v>633.666666666667</v>
      </c>
      <c r="BH19" s="160">
        <f t="shared" si="7"/>
        <v>0</v>
      </c>
      <c r="BI19" s="121">
        <v>250</v>
      </c>
      <c r="BJ19" s="150">
        <f t="shared" si="8"/>
        <v>242.244444444444</v>
      </c>
      <c r="BK19" s="122">
        <f t="shared" si="9"/>
        <v>-7.75555555555556</v>
      </c>
    </row>
    <row r="20" spans="1:63">
      <c r="A20" s="121">
        <v>16</v>
      </c>
      <c r="B20" s="122">
        <f>'【国内】常规用户招募-数据源 （正职）'!B20*1.75</f>
        <v>0.175</v>
      </c>
      <c r="C20" s="121">
        <v>0</v>
      </c>
      <c r="D20" s="122">
        <f t="shared" si="19"/>
        <v>3.55625</v>
      </c>
      <c r="E20" s="122">
        <v>3.2</v>
      </c>
      <c r="F20" s="122">
        <f t="shared" si="2"/>
        <v>391.25</v>
      </c>
      <c r="G20" s="157">
        <f>'【国内】常规用户招募-数据源 （正职）'!F20</f>
        <v>391.25</v>
      </c>
      <c r="H20" s="157">
        <f t="shared" si="10"/>
        <v>0</v>
      </c>
      <c r="I20" s="121">
        <v>200</v>
      </c>
      <c r="K20" s="150">
        <f t="shared" si="1"/>
        <v>-200</v>
      </c>
      <c r="L20" s="159">
        <v>690</v>
      </c>
      <c r="M20" s="155"/>
      <c r="N20" s="121">
        <v>16</v>
      </c>
      <c r="O20" s="122">
        <f>'【国内】常规用户招募-数据源 （正职）'!M20*1.8</f>
        <v>0.18</v>
      </c>
      <c r="P20" s="121">
        <f t="shared" si="27"/>
        <v>0</v>
      </c>
      <c r="Q20" s="122">
        <f t="shared" si="20"/>
        <v>3.665</v>
      </c>
      <c r="R20" s="122">
        <v>4</v>
      </c>
      <c r="S20" s="160">
        <f t="shared" si="11"/>
        <v>416.25</v>
      </c>
      <c r="T20" s="157">
        <f>'【国内】常规用户招募-数据源 （正职）'!Q20</f>
        <v>416.25</v>
      </c>
      <c r="U20" s="157">
        <f t="shared" si="12"/>
        <v>0</v>
      </c>
      <c r="V20" s="121">
        <v>250</v>
      </c>
      <c r="W20" s="150">
        <f t="shared" si="4"/>
        <v>276.015625</v>
      </c>
      <c r="X20" s="159">
        <v>690</v>
      </c>
      <c r="Y20" s="155"/>
      <c r="Z20" s="175">
        <v>16</v>
      </c>
      <c r="AA20" s="122">
        <f>'【国内】常规用户招募-数据源 （正职）'!W20*2</f>
        <v>0.4</v>
      </c>
      <c r="AB20" s="121">
        <v>0</v>
      </c>
      <c r="AC20" s="122">
        <f t="shared" si="21"/>
        <v>4.46666666666667</v>
      </c>
      <c r="AD20" s="122">
        <v>4.5</v>
      </c>
      <c r="AE20" s="121">
        <f t="shared" si="13"/>
        <v>1</v>
      </c>
      <c r="AF20" s="160">
        <f t="shared" si="22"/>
        <v>566.875</v>
      </c>
      <c r="AG20" s="161">
        <f>'【国内】常规用户招募-数据源 （正职）'!AA20</f>
        <v>566.875</v>
      </c>
      <c r="AH20" s="161">
        <f t="shared" si="14"/>
        <v>0</v>
      </c>
      <c r="AI20" s="121">
        <v>250</v>
      </c>
      <c r="AJ20" s="150">
        <f t="shared" si="5"/>
        <v>285.4296875</v>
      </c>
      <c r="AK20" s="150">
        <v>700</v>
      </c>
      <c r="AL20" s="155"/>
      <c r="AM20" s="121">
        <v>16</v>
      </c>
      <c r="AN20" s="122">
        <f>'【国内】常规用户招募-数据源 （正职）'!AG20*2.2</f>
        <v>0.44</v>
      </c>
      <c r="AO20" s="121">
        <v>0</v>
      </c>
      <c r="AP20" s="122">
        <f t="shared" si="25"/>
        <v>5.105</v>
      </c>
      <c r="AQ20" s="122">
        <f t="shared" si="26"/>
        <v>4.86</v>
      </c>
      <c r="AR20" s="122">
        <f t="shared" si="15"/>
        <v>1</v>
      </c>
      <c r="AS20" s="122">
        <f t="shared" si="23"/>
        <v>636.25</v>
      </c>
      <c r="AT20" s="122">
        <f>'【国内】常规用户招募-数据源 （正职）'!AK20</f>
        <v>636.25</v>
      </c>
      <c r="AU20" s="122">
        <f t="shared" si="16"/>
        <v>0</v>
      </c>
      <c r="AV20" s="121">
        <v>250</v>
      </c>
      <c r="AW20" s="150">
        <f t="shared" si="6"/>
        <v>239.765625</v>
      </c>
      <c r="AX20" s="150">
        <v>720</v>
      </c>
      <c r="AY20" s="155"/>
      <c r="AZ20" s="121">
        <v>16</v>
      </c>
      <c r="BA20" s="122">
        <f>'【国内】常规用户招募-数据源 （正职）'!AQ20*2.3</f>
        <v>0.46</v>
      </c>
      <c r="BB20" s="121">
        <v>0</v>
      </c>
      <c r="BC20" s="122">
        <f t="shared" si="17"/>
        <v>5.40916666666667</v>
      </c>
      <c r="BD20" s="122">
        <v>5.8</v>
      </c>
      <c r="BE20" s="122">
        <f t="shared" si="18"/>
        <v>1</v>
      </c>
      <c r="BF20" s="122">
        <f t="shared" si="24"/>
        <v>684.0625</v>
      </c>
      <c r="BG20" s="122">
        <f>'【国内】常规用户招募-数据源 （正职）'!AU20</f>
        <v>684.0625</v>
      </c>
      <c r="BH20" s="160">
        <f t="shared" si="7"/>
        <v>0</v>
      </c>
      <c r="BI20" s="121">
        <v>250</v>
      </c>
      <c r="BJ20" s="150">
        <f t="shared" si="8"/>
        <v>242.75390625</v>
      </c>
      <c r="BK20" s="122">
        <f t="shared" si="9"/>
        <v>-7.24609375</v>
      </c>
    </row>
    <row r="21" spans="1:63">
      <c r="A21" s="121">
        <v>17</v>
      </c>
      <c r="B21" s="122">
        <f>'【国内】常规用户招募-数据源 （正职）'!B21*1.75</f>
        <v>0.175</v>
      </c>
      <c r="C21" s="121">
        <v>0</v>
      </c>
      <c r="D21" s="122">
        <f t="shared" si="19"/>
        <v>3.83958333333333</v>
      </c>
      <c r="E21" s="122">
        <v>3.3</v>
      </c>
      <c r="F21" s="122">
        <f t="shared" si="2"/>
        <v>390</v>
      </c>
      <c r="G21" s="157">
        <f>'【国内】常规用户招募-数据源 （正职）'!F21</f>
        <v>390</v>
      </c>
      <c r="H21" s="157">
        <f t="shared" si="10"/>
        <v>0</v>
      </c>
      <c r="I21" s="121">
        <v>200</v>
      </c>
      <c r="K21" s="150">
        <f t="shared" si="1"/>
        <v>-200</v>
      </c>
      <c r="L21" s="159">
        <v>690</v>
      </c>
      <c r="M21" s="155"/>
      <c r="N21" s="121">
        <v>17</v>
      </c>
      <c r="O21" s="122">
        <f>'【国内】常规用户招募-数据源 （正职）'!M21*1.8</f>
        <v>0.18</v>
      </c>
      <c r="P21" s="121">
        <f t="shared" si="27"/>
        <v>0</v>
      </c>
      <c r="Q21" s="122">
        <f t="shared" si="20"/>
        <v>3.94833333333333</v>
      </c>
      <c r="R21" s="122">
        <v>4.2</v>
      </c>
      <c r="S21" s="160">
        <f t="shared" si="11"/>
        <v>415.294117647059</v>
      </c>
      <c r="T21" s="157">
        <f>'【国内】常规用户招募-数据源 （正职）'!Q21</f>
        <v>415.294117647059</v>
      </c>
      <c r="U21" s="157">
        <f t="shared" si="12"/>
        <v>0</v>
      </c>
      <c r="V21" s="121">
        <v>250</v>
      </c>
      <c r="W21" s="150">
        <f t="shared" si="4"/>
        <v>274.429065743945</v>
      </c>
      <c r="X21" s="159">
        <v>690</v>
      </c>
      <c r="Y21" s="155"/>
      <c r="Z21" s="121">
        <v>17</v>
      </c>
      <c r="AA21" s="122">
        <f>'【国内】常规用户招募-数据源 （正职）'!W21*2</f>
        <v>0.4</v>
      </c>
      <c r="AB21" s="121">
        <v>0</v>
      </c>
      <c r="AC21" s="122">
        <f t="shared" si="21"/>
        <v>4.725</v>
      </c>
      <c r="AD21" s="122">
        <v>4.6</v>
      </c>
      <c r="AE21" s="121">
        <f t="shared" si="13"/>
        <v>1</v>
      </c>
      <c r="AF21" s="160">
        <f t="shared" si="22"/>
        <v>553.529411764706</v>
      </c>
      <c r="AG21" s="161">
        <f>'【国内】常规用户招募-数据源 （正职）'!AA21</f>
        <v>553.529411764706</v>
      </c>
      <c r="AH21" s="161">
        <f t="shared" si="14"/>
        <v>0</v>
      </c>
      <c r="AI21" s="121">
        <v>250</v>
      </c>
      <c r="AJ21" s="150">
        <f t="shared" si="5"/>
        <v>282.560553633218</v>
      </c>
      <c r="AK21" s="150">
        <v>700</v>
      </c>
      <c r="AL21" s="155"/>
      <c r="AM21" s="121">
        <v>17</v>
      </c>
      <c r="AN21" s="122">
        <f>'【国内】常规用户招募-数据源 （正职）'!AG21*2.2</f>
        <v>0.44</v>
      </c>
      <c r="AO21" s="121">
        <v>0</v>
      </c>
      <c r="AP21" s="122">
        <f t="shared" si="25"/>
        <v>5.36133333333333</v>
      </c>
      <c r="AQ21" s="122">
        <f t="shared" si="26"/>
        <v>4.968</v>
      </c>
      <c r="AR21" s="122">
        <f t="shared" si="15"/>
        <v>1</v>
      </c>
      <c r="AS21" s="122">
        <f t="shared" si="23"/>
        <v>618.823529411765</v>
      </c>
      <c r="AT21" s="122">
        <f>'【国内】常规用户招募-数据源 （正职）'!AK21</f>
        <v>618.823529411765</v>
      </c>
      <c r="AU21" s="122">
        <f t="shared" si="16"/>
        <v>0</v>
      </c>
      <c r="AV21" s="121">
        <v>250</v>
      </c>
      <c r="AW21" s="150">
        <f t="shared" si="6"/>
        <v>236.401384083045</v>
      </c>
      <c r="AX21" s="150">
        <v>720</v>
      </c>
      <c r="AY21" s="155"/>
      <c r="AZ21" s="121">
        <v>17</v>
      </c>
      <c r="BA21" s="122">
        <f>'【国内】常规用户招募-数据源 （正职）'!AQ21*2.3</f>
        <v>0.46</v>
      </c>
      <c r="BB21" s="121">
        <v>0</v>
      </c>
      <c r="BC21" s="122">
        <f t="shared" si="17"/>
        <v>5.71333333333333</v>
      </c>
      <c r="BD21" s="122">
        <v>6</v>
      </c>
      <c r="BE21" s="122">
        <f t="shared" si="18"/>
        <v>1</v>
      </c>
      <c r="BF21" s="122">
        <f t="shared" si="24"/>
        <v>668.823529411765</v>
      </c>
      <c r="BG21" s="122">
        <f>'【国内】常规用户招募-数据源 （正职）'!AU21</f>
        <v>668.823529411765</v>
      </c>
      <c r="BH21" s="160">
        <f t="shared" si="7"/>
        <v>0</v>
      </c>
      <c r="BI21" s="121">
        <v>250</v>
      </c>
      <c r="BJ21" s="150">
        <f t="shared" si="8"/>
        <v>239.342560553633</v>
      </c>
      <c r="BK21" s="122">
        <f t="shared" si="9"/>
        <v>-10.6574394463668</v>
      </c>
    </row>
    <row r="22" spans="1:63">
      <c r="A22" s="121">
        <v>18</v>
      </c>
      <c r="B22" s="122">
        <f>'【国内】常规用户招募-数据源 （正职）'!B22*1.75</f>
        <v>0.175</v>
      </c>
      <c r="C22" s="121">
        <v>0</v>
      </c>
      <c r="D22" s="122">
        <f t="shared" si="19"/>
        <v>4.28125</v>
      </c>
      <c r="E22" s="122">
        <v>3.8</v>
      </c>
      <c r="F22" s="122">
        <f t="shared" si="2"/>
        <v>406.111111111111</v>
      </c>
      <c r="G22" s="157">
        <f>'【国内】常规用户招募-数据源 （正职）'!F22</f>
        <v>406.111111111111</v>
      </c>
      <c r="H22" s="157">
        <f t="shared" si="10"/>
        <v>0</v>
      </c>
      <c r="I22" s="121">
        <v>200</v>
      </c>
      <c r="K22" s="150">
        <f t="shared" si="1"/>
        <v>-200</v>
      </c>
      <c r="L22" s="159">
        <v>690</v>
      </c>
      <c r="M22" s="155"/>
      <c r="N22" s="121">
        <v>18</v>
      </c>
      <c r="O22" s="122">
        <f>'【国内】常规用户招募-数据源 （正职）'!M22*1.8</f>
        <v>0.18</v>
      </c>
      <c r="P22" s="121">
        <f t="shared" si="27"/>
        <v>0</v>
      </c>
      <c r="Q22" s="122">
        <f t="shared" si="20"/>
        <v>4.465</v>
      </c>
      <c r="R22" s="122">
        <v>4.4</v>
      </c>
      <c r="S22" s="160">
        <f t="shared" si="11"/>
        <v>430</v>
      </c>
      <c r="T22" s="157">
        <f>'【国内】常规用户招募-数据源 （正职）'!Q22</f>
        <v>430</v>
      </c>
      <c r="U22" s="157">
        <f t="shared" si="12"/>
        <v>0</v>
      </c>
      <c r="V22" s="121">
        <v>250</v>
      </c>
      <c r="W22" s="150">
        <f t="shared" si="4"/>
        <v>273.888888888889</v>
      </c>
      <c r="X22" s="159">
        <v>690</v>
      </c>
      <c r="Y22" s="155"/>
      <c r="Z22" s="121">
        <v>18</v>
      </c>
      <c r="AA22" s="122">
        <f>'【国内】常规用户招募-数据源 （正职）'!W22*2</f>
        <v>0.4</v>
      </c>
      <c r="AB22" s="121">
        <v>0</v>
      </c>
      <c r="AC22" s="122">
        <f t="shared" si="21"/>
        <v>5.00833333333333</v>
      </c>
      <c r="AD22" s="122">
        <v>4.6</v>
      </c>
      <c r="AE22" s="121">
        <f t="shared" si="13"/>
        <v>1</v>
      </c>
      <c r="AF22" s="160">
        <f t="shared" si="22"/>
        <v>541.666666666667</v>
      </c>
      <c r="AG22" s="161">
        <f>'【国内】常规用户招募-数据源 （正职）'!AA22</f>
        <v>541.666666666667</v>
      </c>
      <c r="AH22" s="161">
        <f t="shared" si="14"/>
        <v>0</v>
      </c>
      <c r="AI22" s="121">
        <v>250</v>
      </c>
      <c r="AJ22" s="150">
        <f t="shared" si="5"/>
        <v>280.092592592593</v>
      </c>
      <c r="AK22" s="150">
        <v>700</v>
      </c>
      <c r="AL22" s="155"/>
      <c r="AM22" s="121">
        <v>18</v>
      </c>
      <c r="AN22" s="122">
        <f>'【国内】常规用户招募-数据源 （正职）'!AG22*2.2</f>
        <v>0.44</v>
      </c>
      <c r="AO22" s="121">
        <v>0</v>
      </c>
      <c r="AP22" s="122">
        <f t="shared" si="25"/>
        <v>5.978</v>
      </c>
      <c r="AQ22" s="122">
        <f t="shared" si="26"/>
        <v>4.968</v>
      </c>
      <c r="AR22" s="122">
        <f t="shared" si="15"/>
        <v>1</v>
      </c>
      <c r="AS22" s="122">
        <f t="shared" si="23"/>
        <v>625.555555555556</v>
      </c>
      <c r="AT22" s="122">
        <f>'【国内】常规用户招募-数据源 （正职）'!AK22</f>
        <v>625.555555555556</v>
      </c>
      <c r="AU22" s="122">
        <f t="shared" si="16"/>
        <v>0</v>
      </c>
      <c r="AV22" s="121">
        <v>250</v>
      </c>
      <c r="AW22" s="150">
        <f t="shared" si="6"/>
        <v>234.753086419753</v>
      </c>
      <c r="AX22" s="150">
        <v>720</v>
      </c>
      <c r="AY22" s="155"/>
      <c r="AZ22" s="121">
        <v>18</v>
      </c>
      <c r="BA22" s="122">
        <f>'【国内】常规用户招募-数据源 （正职）'!AQ22*2.3</f>
        <v>0.46</v>
      </c>
      <c r="BB22" s="121">
        <v>0</v>
      </c>
      <c r="BC22" s="122">
        <f t="shared" si="17"/>
        <v>6.0675</v>
      </c>
      <c r="BD22" s="122">
        <v>6</v>
      </c>
      <c r="BE22" s="122">
        <f t="shared" si="18"/>
        <v>1</v>
      </c>
      <c r="BF22" s="122">
        <f t="shared" si="24"/>
        <v>655.277777777778</v>
      </c>
      <c r="BG22" s="122">
        <f>'【国内】常规用户招募-数据源 （正职）'!AU22</f>
        <v>655.277777777778</v>
      </c>
      <c r="BH22" s="160">
        <f t="shared" si="7"/>
        <v>0</v>
      </c>
      <c r="BI22" s="121">
        <v>250</v>
      </c>
      <c r="BJ22" s="150">
        <f t="shared" si="8"/>
        <v>236.404320987654</v>
      </c>
      <c r="BK22" s="122">
        <f t="shared" si="9"/>
        <v>-13.5956790123457</v>
      </c>
    </row>
    <row r="23" spans="1:63">
      <c r="A23" s="121">
        <v>19</v>
      </c>
      <c r="B23" s="122">
        <f>'【国内】常规用户招募-数据源 （正职）'!B23*1.75</f>
        <v>0.175</v>
      </c>
      <c r="C23" s="121">
        <v>0</v>
      </c>
      <c r="D23" s="122">
        <f t="shared" si="19"/>
        <v>4.61458333333333</v>
      </c>
      <c r="E23" s="122">
        <v>3.8</v>
      </c>
      <c r="F23" s="122">
        <f t="shared" si="2"/>
        <v>405.789473684211</v>
      </c>
      <c r="G23" s="157">
        <f>'【国内】常规用户招募-数据源 （正职）'!F23</f>
        <v>405.789473684211</v>
      </c>
      <c r="H23" s="157">
        <f t="shared" si="10"/>
        <v>0</v>
      </c>
      <c r="I23" s="121">
        <v>200</v>
      </c>
      <c r="K23" s="150">
        <f t="shared" si="1"/>
        <v>-200</v>
      </c>
      <c r="L23" s="159">
        <v>690</v>
      </c>
      <c r="M23" s="155"/>
      <c r="N23" s="121">
        <v>19</v>
      </c>
      <c r="O23" s="122">
        <f>'【国内】常规用户招募-数据源 （正职）'!M23*1.8</f>
        <v>0.18</v>
      </c>
      <c r="P23" s="121">
        <f t="shared" si="27"/>
        <v>0</v>
      </c>
      <c r="Q23" s="122">
        <f t="shared" si="20"/>
        <v>4.77333333333333</v>
      </c>
      <c r="R23" s="122">
        <v>4.5</v>
      </c>
      <c r="S23" s="160">
        <f t="shared" si="11"/>
        <v>428.421052631579</v>
      </c>
      <c r="T23" s="157">
        <f>'【国内】常规用户招募-数据源 （正职）'!Q23</f>
        <v>428.421052631579</v>
      </c>
      <c r="U23" s="157">
        <f t="shared" si="12"/>
        <v>0</v>
      </c>
      <c r="V23" s="121">
        <v>250</v>
      </c>
      <c r="W23" s="150">
        <f t="shared" si="4"/>
        <v>272.548476454294</v>
      </c>
      <c r="X23" s="159">
        <v>690</v>
      </c>
      <c r="Y23" s="155"/>
      <c r="Z23" s="121">
        <v>19</v>
      </c>
      <c r="AA23" s="122">
        <f>'【国内】常规用户招募-数据源 （正职）'!W23*2</f>
        <v>0.4</v>
      </c>
      <c r="AB23" s="121">
        <v>0</v>
      </c>
      <c r="AC23" s="122">
        <f t="shared" si="21"/>
        <v>5.6</v>
      </c>
      <c r="AD23" s="122">
        <v>4.7</v>
      </c>
      <c r="AE23" s="121">
        <f t="shared" si="13"/>
        <v>1</v>
      </c>
      <c r="AF23" s="160">
        <f t="shared" si="22"/>
        <v>552.105263157895</v>
      </c>
      <c r="AG23" s="161">
        <f>'【国内】常规用户招募-数据源 （正职）'!AA23</f>
        <v>552.105263157895</v>
      </c>
      <c r="AH23" s="161">
        <f t="shared" si="14"/>
        <v>0</v>
      </c>
      <c r="AI23" s="121">
        <v>250</v>
      </c>
      <c r="AJ23" s="150">
        <f t="shared" si="5"/>
        <v>279.058171745152</v>
      </c>
      <c r="AK23" s="150">
        <v>700</v>
      </c>
      <c r="AL23" s="155"/>
      <c r="AM23" s="121">
        <v>19</v>
      </c>
      <c r="AN23" s="122">
        <f>'【国内】常规用户招募-数据源 （正职）'!AG23*2.2</f>
        <v>0.44</v>
      </c>
      <c r="AO23" s="121">
        <v>0</v>
      </c>
      <c r="AP23" s="122">
        <f t="shared" si="25"/>
        <v>6.23433333333333</v>
      </c>
      <c r="AQ23" s="122">
        <f t="shared" si="26"/>
        <v>5.076</v>
      </c>
      <c r="AR23" s="122">
        <f t="shared" si="15"/>
        <v>1</v>
      </c>
      <c r="AS23" s="122">
        <f t="shared" si="23"/>
        <v>610.526315789474</v>
      </c>
      <c r="AT23" s="122">
        <f>'【国内】常规用户招募-数据源 （正职）'!AK23</f>
        <v>610.526315789474</v>
      </c>
      <c r="AU23" s="122">
        <f t="shared" si="16"/>
        <v>0</v>
      </c>
      <c r="AV23" s="121">
        <v>250</v>
      </c>
      <c r="AW23" s="150">
        <f t="shared" si="6"/>
        <v>232.13296398892</v>
      </c>
      <c r="AX23" s="150">
        <v>720</v>
      </c>
      <c r="AY23" s="155"/>
      <c r="AZ23" s="121">
        <v>19</v>
      </c>
      <c r="BA23" s="122">
        <f>'【国内】常规用户招募-数据源 （正职）'!AQ23*2.3</f>
        <v>0.46</v>
      </c>
      <c r="BB23" s="121">
        <v>0</v>
      </c>
      <c r="BC23" s="122">
        <f t="shared" si="17"/>
        <v>7.00607333333333</v>
      </c>
      <c r="BD23" s="122">
        <f t="shared" ref="BD23:BD54" si="28">AQ23*1.04</f>
        <v>5.27904</v>
      </c>
      <c r="BE23" s="122">
        <f t="shared" si="18"/>
        <v>1</v>
      </c>
      <c r="BF23" s="122">
        <f t="shared" si="24"/>
        <v>668.684210526316</v>
      </c>
      <c r="BG23" s="122">
        <f>'【国内】常规用户招募-数据源 （正职）'!AU23</f>
        <v>668.684210526316</v>
      </c>
      <c r="BH23" s="160">
        <f t="shared" si="7"/>
        <v>0</v>
      </c>
      <c r="BI23" s="121">
        <v>250</v>
      </c>
      <c r="BJ23" s="150">
        <f t="shared" si="8"/>
        <v>235.193905817175</v>
      </c>
      <c r="BK23" s="122">
        <f t="shared" si="9"/>
        <v>-14.8060941828255</v>
      </c>
    </row>
    <row r="24" s="149" customFormat="1" spans="1:63">
      <c r="A24" s="167">
        <v>20</v>
      </c>
      <c r="B24" s="122">
        <f>'【国内】常规用户招募-数据源 （正职）'!B24*1.75</f>
        <v>0.175</v>
      </c>
      <c r="C24" s="121">
        <v>0</v>
      </c>
      <c r="D24" s="122">
        <f t="shared" si="19"/>
        <v>4.82291666666667</v>
      </c>
      <c r="E24" s="168">
        <v>4.1</v>
      </c>
      <c r="F24" s="122">
        <f t="shared" si="2"/>
        <v>402.5</v>
      </c>
      <c r="G24" s="157">
        <f>'【国内】常规用户招募-数据源 （正职）'!F24</f>
        <v>402.5</v>
      </c>
      <c r="H24" s="157">
        <f t="shared" si="10"/>
        <v>0</v>
      </c>
      <c r="I24" s="167">
        <v>200</v>
      </c>
      <c r="J24" s="169"/>
      <c r="K24" s="150">
        <f t="shared" si="1"/>
        <v>-200</v>
      </c>
      <c r="L24" s="170">
        <v>690</v>
      </c>
      <c r="M24" s="171"/>
      <c r="N24" s="167">
        <v>20</v>
      </c>
      <c r="O24" s="122">
        <f>'【国内】常规用户招募-数据源 （正职）'!M24*1.8</f>
        <v>0.36</v>
      </c>
      <c r="P24" s="121">
        <f t="shared" si="27"/>
        <v>0</v>
      </c>
      <c r="Q24" s="122">
        <f t="shared" si="20"/>
        <v>4.56140833333333</v>
      </c>
      <c r="R24" s="122">
        <f>E24*1.197</f>
        <v>4.9077</v>
      </c>
      <c r="S24" s="160">
        <f t="shared" si="11"/>
        <v>453.5</v>
      </c>
      <c r="T24" s="157">
        <f>'【国内】常规用户招募-数据源 （正职）'!Q24</f>
        <v>453.5</v>
      </c>
      <c r="U24" s="157">
        <f t="shared" si="12"/>
        <v>0</v>
      </c>
      <c r="V24" s="167">
        <v>250</v>
      </c>
      <c r="W24" s="150">
        <f t="shared" si="4"/>
        <v>272.675</v>
      </c>
      <c r="X24" s="170">
        <v>690</v>
      </c>
      <c r="Y24" s="171"/>
      <c r="Z24" s="172">
        <v>20</v>
      </c>
      <c r="AA24" s="122">
        <f>'【国内】常规用户招募-数据源 （正职）'!W24*2</f>
        <v>0.4</v>
      </c>
      <c r="AB24" s="121">
        <v>0</v>
      </c>
      <c r="AC24" s="122">
        <f t="shared" si="21"/>
        <v>5.80833333333333</v>
      </c>
      <c r="AD24" s="122">
        <v>5.3</v>
      </c>
      <c r="AE24" s="121">
        <f t="shared" si="13"/>
        <v>1</v>
      </c>
      <c r="AF24" s="173">
        <f t="shared" si="22"/>
        <v>546</v>
      </c>
      <c r="AG24" s="161">
        <f>'【国内】常规用户招募-数据源 （正职）'!AA24</f>
        <v>546</v>
      </c>
      <c r="AH24" s="161">
        <f t="shared" si="14"/>
        <v>0</v>
      </c>
      <c r="AI24" s="172">
        <v>250</v>
      </c>
      <c r="AJ24" s="174">
        <f t="shared" si="5"/>
        <v>277.3</v>
      </c>
      <c r="AK24" s="174">
        <v>700</v>
      </c>
      <c r="AL24" s="171"/>
      <c r="AM24" s="167">
        <v>20</v>
      </c>
      <c r="AN24" s="122">
        <f>'【国内】常规用户招募-数据源 （正职）'!AG24*2.2</f>
        <v>0.66</v>
      </c>
      <c r="AO24" s="121">
        <v>0</v>
      </c>
      <c r="AP24" s="122">
        <f t="shared" si="25"/>
        <v>5.84066666666667</v>
      </c>
      <c r="AQ24" s="122">
        <f t="shared" si="26"/>
        <v>5.724</v>
      </c>
      <c r="AR24" s="122">
        <f t="shared" si="15"/>
        <v>1</v>
      </c>
      <c r="AS24" s="122">
        <f t="shared" si="23"/>
        <v>631</v>
      </c>
      <c r="AT24" s="122">
        <f>'【国内】常规用户招募-数据源 （正职）'!AK24</f>
        <v>631</v>
      </c>
      <c r="AU24" s="122">
        <f t="shared" si="16"/>
        <v>0</v>
      </c>
      <c r="AV24" s="167">
        <v>250</v>
      </c>
      <c r="AW24" s="169">
        <f t="shared" si="6"/>
        <v>231.55</v>
      </c>
      <c r="AX24" s="169">
        <v>720</v>
      </c>
      <c r="AY24" s="171"/>
      <c r="AZ24" s="167">
        <v>20</v>
      </c>
      <c r="BA24" s="122">
        <f>'【国内】常规用户招募-数据源 （正职）'!AQ24*2.3</f>
        <v>0.69</v>
      </c>
      <c r="BB24" s="121">
        <v>0</v>
      </c>
      <c r="BC24" s="122">
        <f t="shared" si="17"/>
        <v>6.67759333333333</v>
      </c>
      <c r="BD24" s="122">
        <f t="shared" si="28"/>
        <v>5.95296</v>
      </c>
      <c r="BE24" s="122">
        <f t="shared" si="18"/>
        <v>1</v>
      </c>
      <c r="BF24" s="122">
        <f t="shared" si="24"/>
        <v>693.5</v>
      </c>
      <c r="BG24" s="122">
        <f>'【国内】常规用户招募-数据源 （正职）'!AU24</f>
        <v>693.5</v>
      </c>
      <c r="BH24" s="160">
        <f t="shared" si="7"/>
        <v>0</v>
      </c>
      <c r="BI24" s="167">
        <v>250</v>
      </c>
      <c r="BJ24" s="169">
        <f t="shared" si="8"/>
        <v>234.675</v>
      </c>
      <c r="BK24" s="122">
        <f t="shared" si="9"/>
        <v>-15.325</v>
      </c>
    </row>
    <row r="25" spans="1:63">
      <c r="A25" s="121">
        <v>21</v>
      </c>
      <c r="B25" s="122">
        <f>'【国内】常规用户招募-数据源 （正职）'!B25*1.75</f>
        <v>0.35</v>
      </c>
      <c r="C25" s="121">
        <v>0</v>
      </c>
      <c r="D25" s="122">
        <f t="shared" si="19"/>
        <v>3.8375</v>
      </c>
      <c r="E25" s="121">
        <v>4.5</v>
      </c>
      <c r="F25" s="122">
        <f t="shared" si="2"/>
        <v>381.904761904762</v>
      </c>
      <c r="G25" s="157">
        <f>'【国内】常规用户招募-数据源 （正职）'!F25</f>
        <v>381.904761904762</v>
      </c>
      <c r="H25" s="157">
        <f t="shared" si="10"/>
        <v>0</v>
      </c>
      <c r="I25" s="121">
        <v>200</v>
      </c>
      <c r="K25" s="150">
        <f t="shared" si="1"/>
        <v>-200</v>
      </c>
      <c r="L25" s="159">
        <v>690</v>
      </c>
      <c r="M25" s="155"/>
      <c r="N25" s="121">
        <v>21</v>
      </c>
      <c r="O25" s="122">
        <f>'【国内】常规用户招募-数据源 （正职）'!M25*1.8</f>
        <v>0.36</v>
      </c>
      <c r="P25" s="121">
        <f t="shared" ref="P25:P34" si="29">0/2</f>
        <v>0</v>
      </c>
      <c r="Q25" s="122">
        <f t="shared" si="20"/>
        <v>4.56333333333333</v>
      </c>
      <c r="R25" s="122">
        <v>5.1</v>
      </c>
      <c r="S25" s="160">
        <f t="shared" si="11"/>
        <v>434.761904761905</v>
      </c>
      <c r="T25" s="157">
        <f>'【国内】常规用户招募-数据源 （正职）'!Q25</f>
        <v>434.761904761905</v>
      </c>
      <c r="U25" s="157">
        <f t="shared" si="12"/>
        <v>0</v>
      </c>
      <c r="V25" s="121">
        <v>250</v>
      </c>
      <c r="W25" s="150">
        <f t="shared" si="4"/>
        <v>270.702947845805</v>
      </c>
      <c r="X25" s="159">
        <v>690</v>
      </c>
      <c r="Y25" s="155"/>
      <c r="Z25" s="121">
        <v>21</v>
      </c>
      <c r="AA25" s="122">
        <f>'【国内】常规用户招募-数据源 （正职）'!W25*2</f>
        <v>0.6</v>
      </c>
      <c r="AB25" s="121">
        <v>0</v>
      </c>
      <c r="AC25" s="122">
        <f t="shared" si="21"/>
        <v>5.55</v>
      </c>
      <c r="AD25" s="122">
        <v>5.5</v>
      </c>
      <c r="AE25" s="121">
        <f t="shared" si="13"/>
        <v>1</v>
      </c>
      <c r="AF25" s="160">
        <f t="shared" si="22"/>
        <v>564.285714285714</v>
      </c>
      <c r="AG25" s="161">
        <f>'【国内】常规用户招募-数据源 （正职）'!AA25</f>
        <v>564.285714285714</v>
      </c>
      <c r="AH25" s="161">
        <f t="shared" si="14"/>
        <v>0</v>
      </c>
      <c r="AI25" s="121">
        <v>250</v>
      </c>
      <c r="AJ25" s="150">
        <f t="shared" si="5"/>
        <v>276.87074829932</v>
      </c>
      <c r="AK25" s="150">
        <v>700</v>
      </c>
      <c r="AL25" s="155"/>
      <c r="AM25" s="121">
        <v>21</v>
      </c>
      <c r="AN25" s="122">
        <f>'【国内】常规用户招募-数据源 （正职）'!AG25*2.2</f>
        <v>0.66</v>
      </c>
      <c r="AO25" s="121">
        <v>0</v>
      </c>
      <c r="AP25" s="122">
        <f t="shared" si="25"/>
        <v>6.35333333333333</v>
      </c>
      <c r="AQ25" s="122">
        <f t="shared" si="26"/>
        <v>5.94</v>
      </c>
      <c r="AR25" s="122">
        <f t="shared" si="15"/>
        <v>1</v>
      </c>
      <c r="AS25" s="122">
        <f t="shared" si="23"/>
        <v>633.333333333333</v>
      </c>
      <c r="AT25" s="122">
        <f>'【国内】常规用户招募-数据源 （正职）'!AK25</f>
        <v>633.333333333333</v>
      </c>
      <c r="AU25" s="122">
        <f t="shared" si="16"/>
        <v>0</v>
      </c>
      <c r="AV25" s="121">
        <v>250</v>
      </c>
      <c r="AW25" s="150">
        <f t="shared" si="6"/>
        <v>230.15873015873</v>
      </c>
      <c r="AX25" s="150">
        <v>720</v>
      </c>
      <c r="AY25" s="155"/>
      <c r="AZ25" s="121">
        <v>21</v>
      </c>
      <c r="BA25" s="122">
        <f>'【国内】常规用户招募-数据源 （正职）'!AQ25*2.3</f>
        <v>0.69</v>
      </c>
      <c r="BB25" s="121">
        <v>0</v>
      </c>
      <c r="BC25" s="122">
        <f t="shared" si="17"/>
        <v>7.32976666666667</v>
      </c>
      <c r="BD25" s="122">
        <f t="shared" si="28"/>
        <v>6.1776</v>
      </c>
      <c r="BE25" s="122">
        <f t="shared" si="18"/>
        <v>1</v>
      </c>
      <c r="BF25" s="122">
        <f t="shared" si="24"/>
        <v>700.952380952381</v>
      </c>
      <c r="BG25" s="122">
        <f>'【国内】常规用户招募-数据源 （正职）'!AU25</f>
        <v>700.952380952381</v>
      </c>
      <c r="BH25" s="160">
        <f t="shared" si="7"/>
        <v>0</v>
      </c>
      <c r="BI25" s="121">
        <v>250</v>
      </c>
      <c r="BJ25" s="150">
        <f t="shared" si="8"/>
        <v>233.378684807256</v>
      </c>
      <c r="BK25" s="122">
        <f t="shared" si="9"/>
        <v>-16.6213151927438</v>
      </c>
    </row>
    <row r="26" spans="1:63">
      <c r="A26" s="121">
        <v>22</v>
      </c>
      <c r="B26" s="122">
        <f>'【国内】常规用户招募-数据源 （正职）'!B26*1.75</f>
        <v>0.35</v>
      </c>
      <c r="C26" s="121">
        <v>0</v>
      </c>
      <c r="D26" s="122">
        <f t="shared" si="19"/>
        <v>4.32916666666667</v>
      </c>
      <c r="E26" s="122">
        <v>4.8</v>
      </c>
      <c r="F26" s="122">
        <f t="shared" si="2"/>
        <v>395.454545454545</v>
      </c>
      <c r="G26" s="157">
        <f>'【国内】常规用户招募-数据源 （正职）'!F26</f>
        <v>395.454545454545</v>
      </c>
      <c r="H26" s="157">
        <f t="shared" si="10"/>
        <v>0</v>
      </c>
      <c r="I26" s="121">
        <v>200</v>
      </c>
      <c r="K26" s="150">
        <f t="shared" si="1"/>
        <v>-200</v>
      </c>
      <c r="L26" s="159">
        <v>690</v>
      </c>
      <c r="M26" s="155"/>
      <c r="N26" s="121">
        <v>22</v>
      </c>
      <c r="O26" s="122">
        <f>'【国内】常规用户招募-数据源 （正职）'!M26*1.8</f>
        <v>0.36</v>
      </c>
      <c r="P26" s="121">
        <f t="shared" si="29"/>
        <v>0</v>
      </c>
      <c r="Q26" s="122">
        <f t="shared" si="20"/>
        <v>4.56333333333333</v>
      </c>
      <c r="R26" s="122">
        <v>5.1</v>
      </c>
      <c r="S26" s="160">
        <f t="shared" si="11"/>
        <v>415</v>
      </c>
      <c r="T26" s="157">
        <f>'【国内】常规用户招募-数据源 （正职）'!Q26</f>
        <v>415</v>
      </c>
      <c r="U26" s="157">
        <f t="shared" si="12"/>
        <v>0</v>
      </c>
      <c r="V26" s="121">
        <v>250</v>
      </c>
      <c r="W26" s="150">
        <f t="shared" si="4"/>
        <v>268.863636363636</v>
      </c>
      <c r="X26" s="159">
        <v>690</v>
      </c>
      <c r="Y26" s="155"/>
      <c r="Z26" s="121">
        <v>22</v>
      </c>
      <c r="AA26" s="122">
        <f>'【国内】常规用户招募-数据源 （正职）'!W26*2</f>
        <v>0.6</v>
      </c>
      <c r="AB26" s="121">
        <v>0</v>
      </c>
      <c r="AC26" s="122">
        <f t="shared" si="21"/>
        <v>6.35</v>
      </c>
      <c r="AD26" s="122">
        <v>5.8</v>
      </c>
      <c r="AE26" s="121">
        <f t="shared" si="13"/>
        <v>1</v>
      </c>
      <c r="AF26" s="160">
        <f t="shared" si="22"/>
        <v>586.363636363636</v>
      </c>
      <c r="AG26" s="161">
        <f>'【国内】常规用户招募-数据源 （正职）'!AA26</f>
        <v>586.363636363636</v>
      </c>
      <c r="AH26" s="161">
        <f t="shared" si="14"/>
        <v>0</v>
      </c>
      <c r="AI26" s="121">
        <v>250</v>
      </c>
      <c r="AJ26" s="150">
        <f t="shared" si="5"/>
        <v>276.652892561983</v>
      </c>
      <c r="AK26" s="150">
        <v>700</v>
      </c>
      <c r="AL26" s="155"/>
      <c r="AM26" s="121">
        <v>22</v>
      </c>
      <c r="AN26" s="122">
        <f>'【国内】常规用户招募-数据源 （正职）'!AG26*2.2</f>
        <v>0.66</v>
      </c>
      <c r="AO26" s="121">
        <v>0</v>
      </c>
      <c r="AP26" s="122">
        <f t="shared" si="25"/>
        <v>6.839</v>
      </c>
      <c r="AQ26" s="122">
        <f t="shared" si="26"/>
        <v>6.264</v>
      </c>
      <c r="AR26" s="122">
        <f t="shared" si="15"/>
        <v>1</v>
      </c>
      <c r="AS26" s="122">
        <f t="shared" si="23"/>
        <v>635.454545454545</v>
      </c>
      <c r="AT26" s="122">
        <f>'【国内】常规用户招募-数据源 （正职）'!AK26</f>
        <v>635.454545454545</v>
      </c>
      <c r="AU26" s="122">
        <f t="shared" si="16"/>
        <v>0</v>
      </c>
      <c r="AV26" s="121">
        <v>250</v>
      </c>
      <c r="AW26" s="150">
        <f t="shared" si="6"/>
        <v>228.884297520661</v>
      </c>
      <c r="AX26" s="150">
        <v>720</v>
      </c>
      <c r="AY26" s="155"/>
      <c r="AZ26" s="121">
        <v>22</v>
      </c>
      <c r="BA26" s="122">
        <f>'【国内】常规用户招募-数据源 （正职）'!AQ26*2.3</f>
        <v>0.69</v>
      </c>
      <c r="BB26" s="121">
        <v>0</v>
      </c>
      <c r="BC26" s="122">
        <f t="shared" si="17"/>
        <v>7.97886</v>
      </c>
      <c r="BD26" s="122">
        <f t="shared" si="28"/>
        <v>6.51456</v>
      </c>
      <c r="BE26" s="122">
        <f t="shared" si="18"/>
        <v>1</v>
      </c>
      <c r="BF26" s="122">
        <f t="shared" si="24"/>
        <v>709.090909090909</v>
      </c>
      <c r="BG26" s="122">
        <f>'【国内】常规用户招募-数据源 （正职）'!AU26</f>
        <v>709.090909090909</v>
      </c>
      <c r="BH26" s="160">
        <f t="shared" si="7"/>
        <v>0</v>
      </c>
      <c r="BI26" s="121">
        <v>250</v>
      </c>
      <c r="BJ26" s="150">
        <f t="shared" si="8"/>
        <v>232.231404958678</v>
      </c>
      <c r="BK26" s="122">
        <f t="shared" si="9"/>
        <v>-17.7685950413223</v>
      </c>
    </row>
    <row r="27" spans="1:63">
      <c r="A27" s="121">
        <v>23</v>
      </c>
      <c r="B27" s="122">
        <f>'【国内】常规用户招募-数据源 （正职）'!B27*1.75</f>
        <v>0.35</v>
      </c>
      <c r="C27" s="121">
        <v>0</v>
      </c>
      <c r="D27" s="122">
        <f t="shared" si="19"/>
        <v>4.35416666666667</v>
      </c>
      <c r="E27" s="122">
        <v>4.9</v>
      </c>
      <c r="F27" s="122">
        <f t="shared" si="2"/>
        <v>380.869565217391</v>
      </c>
      <c r="G27" s="157">
        <f>'【国内】常规用户招募-数据源 （正职）'!F27</f>
        <v>380.869565217391</v>
      </c>
      <c r="H27" s="157">
        <f t="shared" si="10"/>
        <v>0</v>
      </c>
      <c r="I27" s="121">
        <v>200</v>
      </c>
      <c r="K27" s="150">
        <f t="shared" si="1"/>
        <v>-200</v>
      </c>
      <c r="L27" s="159">
        <v>690</v>
      </c>
      <c r="M27" s="155"/>
      <c r="N27" s="121">
        <v>23</v>
      </c>
      <c r="O27" s="122">
        <f>'【国内】常规用户招募-数据源 （正职）'!M27*1.8</f>
        <v>0.36</v>
      </c>
      <c r="P27" s="121">
        <f t="shared" si="29"/>
        <v>0</v>
      </c>
      <c r="Q27" s="122">
        <f t="shared" si="20"/>
        <v>4.70534166666667</v>
      </c>
      <c r="R27" s="122">
        <f>E27*1.197</f>
        <v>5.8653</v>
      </c>
      <c r="S27" s="160">
        <f t="shared" si="11"/>
        <v>414.347826086957</v>
      </c>
      <c r="T27" s="157">
        <f>'【国内】常规用户招募-数据源 （正职）'!Q27</f>
        <v>414.347826086957</v>
      </c>
      <c r="U27" s="157">
        <f t="shared" si="12"/>
        <v>0</v>
      </c>
      <c r="V27" s="121">
        <v>250</v>
      </c>
      <c r="W27" s="150">
        <f t="shared" si="4"/>
        <v>268.015122873346</v>
      </c>
      <c r="X27" s="159">
        <v>690</v>
      </c>
      <c r="Y27" s="155"/>
      <c r="Z27" s="121">
        <v>23</v>
      </c>
      <c r="AA27" s="122">
        <f>'【国内】常规用户招募-数据源 （正职）'!W27*2</f>
        <v>0.6</v>
      </c>
      <c r="AB27" s="121">
        <v>0</v>
      </c>
      <c r="AC27" s="122">
        <f t="shared" si="21"/>
        <v>6.63333333333333</v>
      </c>
      <c r="AD27" s="122">
        <v>6</v>
      </c>
      <c r="AE27" s="121">
        <f t="shared" si="13"/>
        <v>1</v>
      </c>
      <c r="AF27" s="160">
        <f t="shared" si="22"/>
        <v>578.260869565217</v>
      </c>
      <c r="AG27" s="161">
        <f>'【国内】常规用户招募-数据源 （正职）'!AA27</f>
        <v>578.260869565217</v>
      </c>
      <c r="AH27" s="161">
        <f t="shared" si="14"/>
        <v>0</v>
      </c>
      <c r="AI27" s="121">
        <v>250</v>
      </c>
      <c r="AJ27" s="150">
        <f t="shared" si="5"/>
        <v>275.141776937618</v>
      </c>
      <c r="AK27" s="150">
        <v>700</v>
      </c>
      <c r="AL27" s="155"/>
      <c r="AM27" s="121">
        <v>23</v>
      </c>
      <c r="AN27" s="122">
        <f>'【国内】常规用户招募-数据源 （正职）'!AG27*2.2</f>
        <v>0.66</v>
      </c>
      <c r="AO27" s="121">
        <v>0</v>
      </c>
      <c r="AP27" s="122">
        <f t="shared" si="25"/>
        <v>7.37666666666667</v>
      </c>
      <c r="AQ27" s="122">
        <f t="shared" si="26"/>
        <v>6.48</v>
      </c>
      <c r="AR27" s="122">
        <f t="shared" si="15"/>
        <v>1</v>
      </c>
      <c r="AS27" s="122">
        <f t="shared" si="23"/>
        <v>638.695652173913</v>
      </c>
      <c r="AT27" s="122">
        <f>'【国内】常规用户招募-数据源 （正职）'!AK27</f>
        <v>638.695652173913</v>
      </c>
      <c r="AU27" s="122">
        <f t="shared" si="16"/>
        <v>0</v>
      </c>
      <c r="AV27" s="121">
        <v>250</v>
      </c>
      <c r="AW27" s="150">
        <f t="shared" si="6"/>
        <v>227.769376181474</v>
      </c>
      <c r="AX27" s="150">
        <v>720</v>
      </c>
      <c r="AY27" s="155"/>
      <c r="AZ27" s="121">
        <v>23</v>
      </c>
      <c r="BA27" s="122">
        <f>'【国内】常规用户招募-数据源 （正职）'!AQ27*2.3</f>
        <v>0.69</v>
      </c>
      <c r="BB27" s="121">
        <v>0</v>
      </c>
      <c r="BC27" s="122">
        <f t="shared" si="17"/>
        <v>8.32686666666667</v>
      </c>
      <c r="BD27" s="122">
        <f t="shared" si="28"/>
        <v>6.7392</v>
      </c>
      <c r="BE27" s="122">
        <f t="shared" si="18"/>
        <v>1</v>
      </c>
      <c r="BF27" s="122">
        <f t="shared" si="24"/>
        <v>699.347826086957</v>
      </c>
      <c r="BG27" s="122">
        <f>'【国内】常规用户招募-数据源 （正职）'!AU27</f>
        <v>699.347826086957</v>
      </c>
      <c r="BH27" s="160">
        <f t="shared" si="7"/>
        <v>0</v>
      </c>
      <c r="BI27" s="121">
        <v>250</v>
      </c>
      <c r="BJ27" s="150">
        <f t="shared" si="8"/>
        <v>230.406427221172</v>
      </c>
      <c r="BK27" s="122">
        <f t="shared" si="9"/>
        <v>-19.593572778828</v>
      </c>
    </row>
    <row r="28" spans="1:63">
      <c r="A28" s="121">
        <v>24</v>
      </c>
      <c r="B28" s="122">
        <f>'【国内】常规用户招募-数据源 （正职）'!B28*1.75</f>
        <v>0.35</v>
      </c>
      <c r="C28" s="121">
        <v>0</v>
      </c>
      <c r="D28" s="122">
        <f t="shared" si="19"/>
        <v>4.79583333333333</v>
      </c>
      <c r="E28" s="122">
        <v>5.4</v>
      </c>
      <c r="F28" s="122">
        <f t="shared" si="2"/>
        <v>393.333333333333</v>
      </c>
      <c r="G28" s="157">
        <f>'【国内】常规用户招募-数据源 （正职）'!F28</f>
        <v>393.333333333333</v>
      </c>
      <c r="H28" s="157">
        <f t="shared" si="10"/>
        <v>0</v>
      </c>
      <c r="I28" s="121">
        <v>200</v>
      </c>
      <c r="K28" s="150">
        <f t="shared" si="1"/>
        <v>-200</v>
      </c>
      <c r="L28" s="159">
        <v>690</v>
      </c>
      <c r="M28" s="155"/>
      <c r="N28" s="121">
        <v>24</v>
      </c>
      <c r="O28" s="122">
        <f>'【国内】常规用户招募-数据源 （正职）'!M28*1.8</f>
        <v>0.36</v>
      </c>
      <c r="P28" s="121">
        <f t="shared" si="29"/>
        <v>0</v>
      </c>
      <c r="Q28" s="122">
        <f t="shared" si="20"/>
        <v>4.955</v>
      </c>
      <c r="R28" s="122">
        <v>6</v>
      </c>
      <c r="S28" s="160">
        <f t="shared" si="11"/>
        <v>411.25</v>
      </c>
      <c r="T28" s="157">
        <f>'【国内】常规用户招募-数据源 （正职）'!Q28</f>
        <v>411.25</v>
      </c>
      <c r="U28" s="157">
        <f t="shared" si="12"/>
        <v>0</v>
      </c>
      <c r="V28" s="121">
        <v>250</v>
      </c>
      <c r="W28" s="150">
        <f t="shared" si="4"/>
        <v>267.135416666667</v>
      </c>
      <c r="X28" s="159">
        <v>690</v>
      </c>
      <c r="Y28" s="155"/>
      <c r="Z28" s="121">
        <v>24</v>
      </c>
      <c r="AA28" s="122">
        <f>'【国内】常规用户招募-数据源 （正职）'!W28*2</f>
        <v>0.6</v>
      </c>
      <c r="AB28" s="121">
        <v>0</v>
      </c>
      <c r="AC28" s="122">
        <f t="shared" si="21"/>
        <v>6.65833333333333</v>
      </c>
      <c r="AD28" s="122">
        <v>6</v>
      </c>
      <c r="AE28" s="121">
        <f t="shared" si="13"/>
        <v>1</v>
      </c>
      <c r="AF28" s="160">
        <f t="shared" si="22"/>
        <v>555.416666666667</v>
      </c>
      <c r="AG28" s="161">
        <f>'【国内】常规用户招募-数据源 （正职）'!AA28</f>
        <v>555.416666666667</v>
      </c>
      <c r="AH28" s="161">
        <f t="shared" si="14"/>
        <v>0</v>
      </c>
      <c r="AI28" s="121">
        <v>250</v>
      </c>
      <c r="AJ28" s="150">
        <f t="shared" si="5"/>
        <v>273.142361111111</v>
      </c>
      <c r="AK28" s="150">
        <v>700</v>
      </c>
      <c r="AL28" s="155"/>
      <c r="AM28" s="121">
        <v>24</v>
      </c>
      <c r="AN28" s="122">
        <f>'【国内】常规用户招募-数据源 （正职）'!AG28*2.2</f>
        <v>0.66</v>
      </c>
      <c r="AO28" s="121">
        <v>0</v>
      </c>
      <c r="AP28" s="122">
        <f t="shared" si="25"/>
        <v>7.71</v>
      </c>
      <c r="AQ28" s="122">
        <f t="shared" si="26"/>
        <v>6.48</v>
      </c>
      <c r="AR28" s="122">
        <f t="shared" si="15"/>
        <v>1</v>
      </c>
      <c r="AS28" s="122">
        <f t="shared" si="23"/>
        <v>628.75</v>
      </c>
      <c r="AT28" s="122">
        <f>'【国内】常规用户招募-数据源 （正职）'!AK28</f>
        <v>628.75</v>
      </c>
      <c r="AU28" s="122">
        <f t="shared" si="16"/>
        <v>0</v>
      </c>
      <c r="AV28" s="121">
        <v>250</v>
      </c>
      <c r="AW28" s="150">
        <f t="shared" si="6"/>
        <v>226.197916666667</v>
      </c>
      <c r="AX28" s="150">
        <v>720</v>
      </c>
      <c r="AY28" s="155"/>
      <c r="AZ28" s="121">
        <v>24</v>
      </c>
      <c r="BA28" s="122">
        <f>'【国内】常规用户招募-数据源 （正职）'!AQ28*2.3</f>
        <v>0.69</v>
      </c>
      <c r="BB28" s="121">
        <v>0</v>
      </c>
      <c r="BC28" s="122">
        <f t="shared" si="17"/>
        <v>8.37686666666667</v>
      </c>
      <c r="BD28" s="122">
        <f t="shared" si="28"/>
        <v>6.7392</v>
      </c>
      <c r="BE28" s="122">
        <f t="shared" si="18"/>
        <v>1</v>
      </c>
      <c r="BF28" s="122">
        <f t="shared" si="24"/>
        <v>672.708333333333</v>
      </c>
      <c r="BG28" s="122">
        <f>'【国内】常规用户招募-数据源 （正职）'!AU28</f>
        <v>672.708333333333</v>
      </c>
      <c r="BH28" s="160">
        <f t="shared" si="7"/>
        <v>0</v>
      </c>
      <c r="BI28" s="121">
        <v>250</v>
      </c>
      <c r="BJ28" s="150">
        <f t="shared" si="8"/>
        <v>228.029513888889</v>
      </c>
      <c r="BK28" s="122">
        <f t="shared" si="9"/>
        <v>-21.9704861111111</v>
      </c>
    </row>
    <row r="29" s="148" customFormat="1" spans="1:63">
      <c r="A29" s="121">
        <v>25</v>
      </c>
      <c r="B29" s="122">
        <f>'【国内】常规用户招募-数据源 （正职）'!B29*1.75</f>
        <v>0.35</v>
      </c>
      <c r="C29" s="121">
        <v>0</v>
      </c>
      <c r="D29" s="122">
        <f t="shared" si="19"/>
        <v>4.89583333333333</v>
      </c>
      <c r="E29" s="121">
        <v>5.4</v>
      </c>
      <c r="F29" s="122">
        <f t="shared" si="2"/>
        <v>382.4</v>
      </c>
      <c r="G29" s="157">
        <f>'【国内】常规用户招募-数据源 （正职）'!F29</f>
        <v>382.4</v>
      </c>
      <c r="H29" s="157">
        <f t="shared" si="10"/>
        <v>0</v>
      </c>
      <c r="I29" s="121">
        <v>200</v>
      </c>
      <c r="J29" s="150"/>
      <c r="K29" s="150">
        <f t="shared" si="1"/>
        <v>-200</v>
      </c>
      <c r="L29" s="159">
        <v>690</v>
      </c>
      <c r="M29" s="155"/>
      <c r="N29" s="121">
        <v>25</v>
      </c>
      <c r="O29" s="122">
        <f>'【国内】常规用户招募-数据源 （正职）'!M29*1.8</f>
        <v>0.36</v>
      </c>
      <c r="P29" s="121">
        <f t="shared" si="29"/>
        <v>0</v>
      </c>
      <c r="Q29" s="122">
        <f t="shared" si="20"/>
        <v>5.03</v>
      </c>
      <c r="R29" s="122">
        <v>6.2</v>
      </c>
      <c r="S29" s="160">
        <f t="shared" si="11"/>
        <v>400.8</v>
      </c>
      <c r="T29" s="157">
        <f>'【国内】常规用户招募-数据源 （正职）'!Q29</f>
        <v>400.8</v>
      </c>
      <c r="U29" s="157">
        <f t="shared" si="12"/>
        <v>0</v>
      </c>
      <c r="V29" s="121">
        <v>250</v>
      </c>
      <c r="W29" s="150">
        <f t="shared" si="4"/>
        <v>266.032</v>
      </c>
      <c r="X29" s="159">
        <v>690</v>
      </c>
      <c r="Y29" s="155"/>
      <c r="Z29" s="121">
        <v>25</v>
      </c>
      <c r="AA29" s="122">
        <f>'【国内】常规用户招募-数据源 （正职）'!W29*2</f>
        <v>0.6</v>
      </c>
      <c r="AB29" s="121">
        <v>0</v>
      </c>
      <c r="AC29" s="122">
        <f t="shared" si="21"/>
        <v>6.86666666666667</v>
      </c>
      <c r="AD29" s="122">
        <v>6.5</v>
      </c>
      <c r="AE29" s="121">
        <f t="shared" si="13"/>
        <v>1</v>
      </c>
      <c r="AF29" s="160">
        <f t="shared" si="22"/>
        <v>549.2</v>
      </c>
      <c r="AG29" s="161">
        <f>'【国内】常规用户招募-数据源 （正职）'!AA29</f>
        <v>549.2</v>
      </c>
      <c r="AH29" s="161">
        <f t="shared" si="14"/>
        <v>0</v>
      </c>
      <c r="AI29" s="121">
        <v>250</v>
      </c>
      <c r="AJ29" s="150">
        <f t="shared" si="5"/>
        <v>271.968</v>
      </c>
      <c r="AK29" s="150">
        <v>700</v>
      </c>
      <c r="AL29" s="155"/>
      <c r="AM29" s="121">
        <v>25</v>
      </c>
      <c r="AN29" s="122">
        <f>'【国内】常规用户招募-数据源 （正职）'!AG29*2.2</f>
        <v>0.66</v>
      </c>
      <c r="AO29" s="121">
        <v>0</v>
      </c>
      <c r="AP29" s="122">
        <f t="shared" si="25"/>
        <v>8.29166666666667</v>
      </c>
      <c r="AQ29" s="122">
        <f t="shared" si="26"/>
        <v>7.02</v>
      </c>
      <c r="AR29" s="122">
        <f t="shared" si="15"/>
        <v>1</v>
      </c>
      <c r="AS29" s="122">
        <f t="shared" si="23"/>
        <v>638</v>
      </c>
      <c r="AT29" s="122">
        <f>'【国内】常规用户招募-数据源 （正职）'!AK29</f>
        <v>638</v>
      </c>
      <c r="AU29" s="122">
        <f t="shared" si="16"/>
        <v>0</v>
      </c>
      <c r="AV29" s="121">
        <v>250</v>
      </c>
      <c r="AW29" s="150">
        <f t="shared" si="6"/>
        <v>225.52</v>
      </c>
      <c r="AX29" s="150">
        <v>720</v>
      </c>
      <c r="AY29" s="155"/>
      <c r="AZ29" s="121">
        <v>25</v>
      </c>
      <c r="BA29" s="122">
        <f>'【国内】常规用户招募-数据源 （正职）'!AQ29*2.3</f>
        <v>0.69</v>
      </c>
      <c r="BB29" s="121">
        <v>0</v>
      </c>
      <c r="BC29" s="122">
        <f t="shared" si="17"/>
        <v>8.64063333333333</v>
      </c>
      <c r="BD29" s="122">
        <f t="shared" si="28"/>
        <v>7.3008</v>
      </c>
      <c r="BE29" s="122">
        <f t="shared" si="18"/>
        <v>1</v>
      </c>
      <c r="BF29" s="122">
        <f t="shared" si="24"/>
        <v>665.2</v>
      </c>
      <c r="BG29" s="122">
        <f>'【国内】常规用户招募-数据源 （正职）'!AU29</f>
        <v>665.2</v>
      </c>
      <c r="BH29" s="160">
        <f t="shared" si="7"/>
        <v>0</v>
      </c>
      <c r="BI29" s="121">
        <v>250</v>
      </c>
      <c r="BJ29" s="150">
        <f t="shared" si="8"/>
        <v>226.608</v>
      </c>
      <c r="BK29" s="122">
        <f t="shared" si="9"/>
        <v>-23.392</v>
      </c>
    </row>
    <row r="30" spans="1:63">
      <c r="A30" s="121">
        <v>26</v>
      </c>
      <c r="B30" s="122">
        <f>'【国内】常规用户招募-数据源 （正职）'!B30*1.75</f>
        <v>0.35</v>
      </c>
      <c r="C30" s="121">
        <v>0</v>
      </c>
      <c r="D30" s="122">
        <f t="shared" si="19"/>
        <v>5.4125</v>
      </c>
      <c r="E30" s="121">
        <v>5.6</v>
      </c>
      <c r="F30" s="122">
        <f t="shared" si="2"/>
        <v>393.846153846154</v>
      </c>
      <c r="G30" s="157">
        <f>'【国内】常规用户招募-数据源 （正职）'!F30</f>
        <v>393.846153846154</v>
      </c>
      <c r="H30" s="157">
        <f t="shared" si="10"/>
        <v>0</v>
      </c>
      <c r="I30" s="121">
        <v>200</v>
      </c>
      <c r="K30" s="150">
        <f t="shared" si="1"/>
        <v>-200</v>
      </c>
      <c r="L30" s="159">
        <v>690</v>
      </c>
      <c r="M30" s="155"/>
      <c r="N30" s="121">
        <v>26</v>
      </c>
      <c r="O30" s="122">
        <f>'【国内】常规用户招募-数据源 （正职）'!M30*1.8</f>
        <v>0.36</v>
      </c>
      <c r="P30" s="121">
        <f t="shared" si="29"/>
        <v>0</v>
      </c>
      <c r="Q30" s="122">
        <f t="shared" si="20"/>
        <v>5.54666666666667</v>
      </c>
      <c r="R30" s="122">
        <v>6.4</v>
      </c>
      <c r="S30" s="160">
        <f t="shared" si="11"/>
        <v>411.538461538462</v>
      </c>
      <c r="T30" s="157">
        <f>'【国内】常规用户招募-数据源 （正职）'!Q30</f>
        <v>411.538461538462</v>
      </c>
      <c r="U30" s="157">
        <f t="shared" si="12"/>
        <v>0</v>
      </c>
      <c r="V30" s="121">
        <v>250</v>
      </c>
      <c r="W30" s="150">
        <f t="shared" si="4"/>
        <v>265.828402366864</v>
      </c>
      <c r="X30" s="159">
        <v>690</v>
      </c>
      <c r="Y30" s="155"/>
      <c r="Z30" s="121">
        <v>26</v>
      </c>
      <c r="AA30" s="122">
        <f>'【国内】常规用户招募-数据源 （正职）'!W30*2</f>
        <v>0.6</v>
      </c>
      <c r="AB30" s="121">
        <v>0</v>
      </c>
      <c r="AC30" s="122">
        <f t="shared" si="21"/>
        <v>7.2</v>
      </c>
      <c r="AD30" s="122">
        <v>6.6</v>
      </c>
      <c r="AE30" s="121">
        <f t="shared" si="13"/>
        <v>1</v>
      </c>
      <c r="AF30" s="160">
        <f t="shared" si="22"/>
        <v>544.615384615385</v>
      </c>
      <c r="AG30" s="161">
        <f>'【国内】常规用户招募-数据源 （正职）'!AA30</f>
        <v>544.615384615385</v>
      </c>
      <c r="AH30" s="161">
        <f t="shared" si="14"/>
        <v>0</v>
      </c>
      <c r="AI30" s="121">
        <v>250</v>
      </c>
      <c r="AJ30" s="150">
        <f t="shared" si="5"/>
        <v>270.94674556213</v>
      </c>
      <c r="AK30" s="150">
        <v>700</v>
      </c>
      <c r="AL30" s="155"/>
      <c r="AM30" s="121">
        <v>26</v>
      </c>
      <c r="AN30" s="122">
        <f>'【国内】常规用户招募-数据源 （正职）'!AG30*2.2</f>
        <v>0.66</v>
      </c>
      <c r="AO30" s="121">
        <v>0</v>
      </c>
      <c r="AP30" s="122">
        <f t="shared" si="25"/>
        <v>8.573</v>
      </c>
      <c r="AQ30" s="122">
        <f t="shared" si="26"/>
        <v>7.128</v>
      </c>
      <c r="AR30" s="122">
        <f t="shared" si="15"/>
        <v>1</v>
      </c>
      <c r="AS30" s="122">
        <f t="shared" si="23"/>
        <v>627.692307692308</v>
      </c>
      <c r="AT30" s="122">
        <f>'【国内】常规用户招募-数据源 （正职）'!AK30</f>
        <v>627.692307692308</v>
      </c>
      <c r="AU30" s="122">
        <f t="shared" si="16"/>
        <v>0</v>
      </c>
      <c r="AV30" s="121">
        <v>250</v>
      </c>
      <c r="AW30" s="150">
        <f t="shared" si="6"/>
        <v>224.14201183432</v>
      </c>
      <c r="AX30" s="150">
        <v>720</v>
      </c>
      <c r="AY30" s="155"/>
      <c r="AZ30" s="121">
        <v>26</v>
      </c>
      <c r="BA30" s="122">
        <f>'【国内】常规用户招募-数据源 （正职）'!AQ30*2.3</f>
        <v>0.69</v>
      </c>
      <c r="BB30" s="121">
        <v>0</v>
      </c>
      <c r="BC30" s="122">
        <f t="shared" si="17"/>
        <v>9.20422</v>
      </c>
      <c r="BD30" s="122">
        <f t="shared" si="28"/>
        <v>7.41312</v>
      </c>
      <c r="BE30" s="122">
        <f t="shared" si="18"/>
        <v>1</v>
      </c>
      <c r="BF30" s="122">
        <f t="shared" si="24"/>
        <v>666.923076923077</v>
      </c>
      <c r="BG30" s="122">
        <f>'【国内】常规用户招募-数据源 （正职）'!AU30</f>
        <v>666.923076923077</v>
      </c>
      <c r="BH30" s="160">
        <f t="shared" si="7"/>
        <v>0</v>
      </c>
      <c r="BI30" s="121">
        <v>250</v>
      </c>
      <c r="BJ30" s="150">
        <f t="shared" si="8"/>
        <v>225.650887573964</v>
      </c>
      <c r="BK30" s="122">
        <f t="shared" si="9"/>
        <v>-24.3491124260355</v>
      </c>
    </row>
    <row r="31" spans="1:63">
      <c r="A31" s="121">
        <v>27</v>
      </c>
      <c r="B31" s="122">
        <f>'【国内】常规用户招募-数据源 （正职）'!B31*1.75</f>
        <v>0.35</v>
      </c>
      <c r="C31" s="121">
        <v>0</v>
      </c>
      <c r="D31" s="122">
        <f t="shared" si="19"/>
        <v>5.4375</v>
      </c>
      <c r="E31" s="122">
        <v>5.7</v>
      </c>
      <c r="F31" s="122">
        <f t="shared" si="2"/>
        <v>381.481481481481</v>
      </c>
      <c r="G31" s="157">
        <f>'【国内】常规用户招募-数据源 （正职）'!F31</f>
        <v>381.481481481481</v>
      </c>
      <c r="H31" s="157">
        <f t="shared" si="10"/>
        <v>0</v>
      </c>
      <c r="I31" s="121">
        <v>200</v>
      </c>
      <c r="K31" s="150">
        <f t="shared" si="1"/>
        <v>-200</v>
      </c>
      <c r="L31" s="159">
        <v>690</v>
      </c>
      <c r="M31" s="155"/>
      <c r="N31" s="121">
        <v>27</v>
      </c>
      <c r="O31" s="122">
        <f>'【国内】常规用户招募-数据源 （正职）'!M31*1.8</f>
        <v>0.36</v>
      </c>
      <c r="P31" s="121">
        <f t="shared" si="29"/>
        <v>0</v>
      </c>
      <c r="Q31" s="122">
        <f t="shared" si="20"/>
        <v>5.54666666666667</v>
      </c>
      <c r="R31" s="122">
        <v>6.6</v>
      </c>
      <c r="S31" s="160">
        <f t="shared" si="11"/>
        <v>398.518518518519</v>
      </c>
      <c r="T31" s="157">
        <f>'【国内】常规用户招募-数据源 （正职）'!Q31</f>
        <v>398.518518518519</v>
      </c>
      <c r="U31" s="157">
        <f t="shared" si="12"/>
        <v>0</v>
      </c>
      <c r="V31" s="121">
        <v>250</v>
      </c>
      <c r="W31" s="150">
        <f t="shared" si="4"/>
        <v>264.759945130315</v>
      </c>
      <c r="X31" s="159">
        <v>690</v>
      </c>
      <c r="Y31" s="155"/>
      <c r="Z31" s="121">
        <v>27</v>
      </c>
      <c r="AA31" s="122">
        <f>'【国内】常规用户招募-数据源 （正职）'!W31*2</f>
        <v>0.6</v>
      </c>
      <c r="AB31" s="121">
        <v>0</v>
      </c>
      <c r="AC31" s="122">
        <f t="shared" si="21"/>
        <v>7.69166666666667</v>
      </c>
      <c r="AD31" s="122">
        <v>7</v>
      </c>
      <c r="AE31" s="121">
        <f t="shared" si="13"/>
        <v>1</v>
      </c>
      <c r="AF31" s="160">
        <f t="shared" si="22"/>
        <v>550.740740740741</v>
      </c>
      <c r="AG31" s="161">
        <f>'【国内】常规用户招募-数据源 （正职）'!AA31</f>
        <v>550.740740740741</v>
      </c>
      <c r="AH31" s="161">
        <f t="shared" si="14"/>
        <v>0</v>
      </c>
      <c r="AI31" s="121">
        <v>250</v>
      </c>
      <c r="AJ31" s="150">
        <f t="shared" si="5"/>
        <v>270.39780521262</v>
      </c>
      <c r="AK31" s="150">
        <v>700</v>
      </c>
      <c r="AL31" s="155"/>
      <c r="AM31" s="121">
        <v>27</v>
      </c>
      <c r="AN31" s="122">
        <f>'【国内】常规用户招募-数据源 （正职）'!AG31*2.2</f>
        <v>0.66</v>
      </c>
      <c r="AO31" s="121">
        <v>0</v>
      </c>
      <c r="AP31" s="122">
        <f t="shared" si="25"/>
        <v>9.05666666666667</v>
      </c>
      <c r="AQ31" s="122">
        <f t="shared" si="26"/>
        <v>7.56</v>
      </c>
      <c r="AR31" s="122">
        <f t="shared" si="15"/>
        <v>1</v>
      </c>
      <c r="AS31" s="122">
        <f t="shared" si="23"/>
        <v>630.740740740741</v>
      </c>
      <c r="AT31" s="122">
        <f>'【国内】常规用户招募-数据源 （正职）'!AK31</f>
        <v>630.740740740741</v>
      </c>
      <c r="AU31" s="122">
        <f t="shared" si="16"/>
        <v>0</v>
      </c>
      <c r="AV31" s="121">
        <v>250</v>
      </c>
      <c r="AW31" s="150">
        <f t="shared" si="6"/>
        <v>223.360768175583</v>
      </c>
      <c r="AX31" s="150">
        <v>720</v>
      </c>
      <c r="AY31" s="155"/>
      <c r="AZ31" s="121">
        <v>27</v>
      </c>
      <c r="BA31" s="122">
        <f>'【国内】常规用户招募-数据源 （正职）'!AQ31*2.3</f>
        <v>0.69</v>
      </c>
      <c r="BB31" s="121">
        <v>0</v>
      </c>
      <c r="BC31" s="122">
        <f t="shared" si="17"/>
        <v>9.9669</v>
      </c>
      <c r="BD31" s="122">
        <f t="shared" si="28"/>
        <v>7.8624</v>
      </c>
      <c r="BE31" s="122">
        <f t="shared" si="18"/>
        <v>1</v>
      </c>
      <c r="BF31" s="122">
        <f t="shared" si="24"/>
        <v>681.111111111111</v>
      </c>
      <c r="BG31" s="122">
        <f>'【国内】常规用户招募-数据源 （正职）'!AU31</f>
        <v>681.111111111111</v>
      </c>
      <c r="BH31" s="160">
        <f t="shared" si="7"/>
        <v>0</v>
      </c>
      <c r="BI31" s="121">
        <v>250</v>
      </c>
      <c r="BJ31" s="150">
        <f t="shared" si="8"/>
        <v>225.22633744856</v>
      </c>
      <c r="BK31" s="122">
        <f t="shared" si="9"/>
        <v>-24.7736625514403</v>
      </c>
    </row>
    <row r="32" spans="1:63">
      <c r="A32" s="121">
        <v>28</v>
      </c>
      <c r="B32" s="122">
        <f>'【国内】常规用户招募-数据源 （正职）'!B32*1.75</f>
        <v>0.35</v>
      </c>
      <c r="C32" s="121">
        <v>0</v>
      </c>
      <c r="D32" s="122">
        <f t="shared" si="19"/>
        <v>5.90416666666667</v>
      </c>
      <c r="E32" s="122">
        <v>6.1</v>
      </c>
      <c r="F32" s="122">
        <f t="shared" si="2"/>
        <v>392.142857142857</v>
      </c>
      <c r="G32" s="157">
        <f>'【国内】常规用户招募-数据源 （正职）'!F32</f>
        <v>392.142857142857</v>
      </c>
      <c r="H32" s="157">
        <f t="shared" si="10"/>
        <v>0</v>
      </c>
      <c r="I32" s="121">
        <v>200</v>
      </c>
      <c r="K32" s="150">
        <f t="shared" si="1"/>
        <v>-200</v>
      </c>
      <c r="L32" s="159">
        <v>690</v>
      </c>
      <c r="M32" s="155"/>
      <c r="N32" s="121">
        <v>28</v>
      </c>
      <c r="O32" s="122">
        <f>'【国内】常规用户招募-数据源 （正职）'!M32*1.8</f>
        <v>0.36</v>
      </c>
      <c r="P32" s="121">
        <f t="shared" si="29"/>
        <v>0</v>
      </c>
      <c r="Q32" s="122">
        <f t="shared" si="20"/>
        <v>5.93790833333333</v>
      </c>
      <c r="R32" s="122">
        <f>E32*1.197</f>
        <v>7.3017</v>
      </c>
      <c r="S32" s="160">
        <f t="shared" si="11"/>
        <v>408.571428571429</v>
      </c>
      <c r="T32" s="157">
        <f>'【国内】常规用户招募-数据源 （正职）'!Q32</f>
        <v>408.571428571429</v>
      </c>
      <c r="U32" s="157">
        <f t="shared" si="12"/>
        <v>0</v>
      </c>
      <c r="V32" s="121">
        <v>250</v>
      </c>
      <c r="W32" s="150">
        <f t="shared" si="4"/>
        <v>264.591836734694</v>
      </c>
      <c r="X32" s="159">
        <v>690</v>
      </c>
      <c r="Y32" s="155"/>
      <c r="Z32" s="121">
        <v>28</v>
      </c>
      <c r="AA32" s="122">
        <f>'【国内】常规用户招募-数据源 （正职）'!W32*2</f>
        <v>0.6</v>
      </c>
      <c r="AB32" s="121">
        <v>0</v>
      </c>
      <c r="AC32" s="122">
        <f t="shared" si="21"/>
        <v>8.20833333333333</v>
      </c>
      <c r="AD32" s="122">
        <v>7.2</v>
      </c>
      <c r="AE32" s="121">
        <f t="shared" si="13"/>
        <v>1</v>
      </c>
      <c r="AF32" s="160">
        <f t="shared" si="22"/>
        <v>555.357142857143</v>
      </c>
      <c r="AG32" s="161">
        <f>'【国内】常规用户招募-数据源 （正职）'!AA32</f>
        <v>555.357142857143</v>
      </c>
      <c r="AH32" s="161">
        <f t="shared" si="14"/>
        <v>0</v>
      </c>
      <c r="AI32" s="121">
        <v>250</v>
      </c>
      <c r="AJ32" s="150">
        <f t="shared" si="5"/>
        <v>269.834183673469</v>
      </c>
      <c r="AK32" s="150">
        <v>700</v>
      </c>
      <c r="AL32" s="155"/>
      <c r="AM32" s="121">
        <v>28</v>
      </c>
      <c r="AN32" s="122">
        <f>'【国内】常规用户招募-数据源 （正职）'!AG32*2.2</f>
        <v>0.66</v>
      </c>
      <c r="AO32" s="121">
        <v>0</v>
      </c>
      <c r="AP32" s="122">
        <f t="shared" si="25"/>
        <v>9.286</v>
      </c>
      <c r="AQ32" s="122">
        <f t="shared" si="26"/>
        <v>7.776</v>
      </c>
      <c r="AR32" s="122">
        <f t="shared" si="15"/>
        <v>1</v>
      </c>
      <c r="AS32" s="122">
        <f t="shared" si="23"/>
        <v>620.357142857143</v>
      </c>
      <c r="AT32" s="122">
        <f>'【国内】常规用户招募-数据源 （正职）'!AK32</f>
        <v>620.357142857143</v>
      </c>
      <c r="AU32" s="122">
        <f t="shared" si="16"/>
        <v>0</v>
      </c>
      <c r="AV32" s="121">
        <v>250</v>
      </c>
      <c r="AW32" s="150">
        <f t="shared" si="6"/>
        <v>222.155612244898</v>
      </c>
      <c r="AX32" s="150">
        <v>720</v>
      </c>
      <c r="AY32" s="155"/>
      <c r="AZ32" s="121">
        <v>28</v>
      </c>
      <c r="BA32" s="122">
        <f>'【国内】常规用户招募-数据源 （正职）'!AQ32*2.3</f>
        <v>0.69</v>
      </c>
      <c r="BB32" s="121">
        <v>0</v>
      </c>
      <c r="BC32" s="122">
        <f t="shared" si="17"/>
        <v>10.2649066666667</v>
      </c>
      <c r="BD32" s="122">
        <f t="shared" si="28"/>
        <v>8.08704</v>
      </c>
      <c r="BE32" s="122">
        <f t="shared" si="18"/>
        <v>1</v>
      </c>
      <c r="BF32" s="122">
        <f t="shared" si="24"/>
        <v>671.964285714286</v>
      </c>
      <c r="BG32" s="122">
        <f>'【国内】常规用户招募-数据源 （正职）'!AU32</f>
        <v>671.964285714286</v>
      </c>
      <c r="BH32" s="160">
        <f t="shared" si="7"/>
        <v>0</v>
      </c>
      <c r="BI32" s="121">
        <v>250</v>
      </c>
      <c r="BJ32" s="150">
        <f t="shared" si="8"/>
        <v>223.998724489796</v>
      </c>
      <c r="BK32" s="122">
        <f t="shared" si="9"/>
        <v>-26.0012755102041</v>
      </c>
    </row>
    <row r="33" spans="1:63">
      <c r="A33" s="121">
        <v>29</v>
      </c>
      <c r="B33" s="122">
        <f>'【国内】常规用户招募-数据源 （正职）'!B33*1.75</f>
        <v>0.35</v>
      </c>
      <c r="C33" s="121">
        <v>0</v>
      </c>
      <c r="D33" s="122">
        <f t="shared" si="19"/>
        <v>5.92916666666667</v>
      </c>
      <c r="E33" s="121">
        <v>6.2</v>
      </c>
      <c r="F33" s="122">
        <f t="shared" si="2"/>
        <v>380.689655172414</v>
      </c>
      <c r="G33" s="157">
        <f>'【国内】常规用户招募-数据源 （正职）'!F33</f>
        <v>380.689655172414</v>
      </c>
      <c r="H33" s="157">
        <f t="shared" si="10"/>
        <v>0</v>
      </c>
      <c r="I33" s="121">
        <v>200</v>
      </c>
      <c r="K33" s="150">
        <f t="shared" si="1"/>
        <v>-200</v>
      </c>
      <c r="L33" s="159">
        <v>690</v>
      </c>
      <c r="M33" s="155"/>
      <c r="N33" s="121">
        <v>29</v>
      </c>
      <c r="O33" s="122">
        <f>'【国内】常规用户招募-数据源 （正职）'!M33*1.8</f>
        <v>0.36</v>
      </c>
      <c r="P33" s="121">
        <f t="shared" si="29"/>
        <v>0</v>
      </c>
      <c r="Q33" s="122">
        <f t="shared" si="20"/>
        <v>5.95798333333333</v>
      </c>
      <c r="R33" s="122">
        <f>E33*1.197</f>
        <v>7.4214</v>
      </c>
      <c r="S33" s="160">
        <f t="shared" si="11"/>
        <v>396.551724137931</v>
      </c>
      <c r="T33" s="157">
        <f>'【国内】常规用户招募-数据源 （正职）'!Q33</f>
        <v>396.551724137931</v>
      </c>
      <c r="U33" s="157">
        <f t="shared" si="12"/>
        <v>0</v>
      </c>
      <c r="V33" s="121">
        <v>250</v>
      </c>
      <c r="W33" s="150">
        <f t="shared" si="4"/>
        <v>263.674197384067</v>
      </c>
      <c r="X33" s="159">
        <v>690</v>
      </c>
      <c r="Y33" s="155"/>
      <c r="Z33" s="121">
        <v>29</v>
      </c>
      <c r="AA33" s="122">
        <f>'【国内】常规用户招募-数据源 （正职）'!W33*2</f>
        <v>0.6</v>
      </c>
      <c r="AB33" s="121">
        <v>0</v>
      </c>
      <c r="AC33" s="122">
        <f t="shared" si="21"/>
        <v>8.675</v>
      </c>
      <c r="AD33" s="122">
        <v>7.7</v>
      </c>
      <c r="AE33" s="121">
        <f t="shared" si="13"/>
        <v>1</v>
      </c>
      <c r="AF33" s="160">
        <f t="shared" si="22"/>
        <v>560.689655172414</v>
      </c>
      <c r="AG33" s="161">
        <f>'【国内】常规用户招募-数据源 （正职）'!AA33</f>
        <v>560.689655172414</v>
      </c>
      <c r="AH33" s="161">
        <f t="shared" si="14"/>
        <v>0</v>
      </c>
      <c r="AI33" s="121">
        <v>250</v>
      </c>
      <c r="AJ33" s="150">
        <f t="shared" si="5"/>
        <v>269.334126040428</v>
      </c>
      <c r="AK33" s="150">
        <v>700</v>
      </c>
      <c r="AL33" s="155"/>
      <c r="AM33" s="121">
        <v>29</v>
      </c>
      <c r="AN33" s="122">
        <f>'【国内】常规用户招募-数据源 （正职）'!AG33*2.2</f>
        <v>0.66</v>
      </c>
      <c r="AO33" s="121">
        <v>0</v>
      </c>
      <c r="AP33" s="122">
        <f t="shared" si="25"/>
        <v>9.45933333333333</v>
      </c>
      <c r="AQ33" s="122">
        <f t="shared" si="26"/>
        <v>8.316</v>
      </c>
      <c r="AR33" s="122">
        <f t="shared" si="15"/>
        <v>1</v>
      </c>
      <c r="AS33" s="122">
        <f t="shared" si="23"/>
        <v>611.724137931035</v>
      </c>
      <c r="AT33" s="122">
        <f>'【国内】常规用户招募-数据源 （正职）'!AK33</f>
        <v>611.724137931035</v>
      </c>
      <c r="AU33" s="122">
        <f t="shared" si="16"/>
        <v>0</v>
      </c>
      <c r="AV33" s="121">
        <v>250</v>
      </c>
      <c r="AW33" s="150">
        <f t="shared" si="6"/>
        <v>221.093935790725</v>
      </c>
      <c r="AX33" s="150">
        <v>720</v>
      </c>
      <c r="AY33" s="155"/>
      <c r="AZ33" s="121">
        <v>29</v>
      </c>
      <c r="BA33" s="122">
        <f>'【国内】常规用户招募-数据源 （正职）'!AQ33*2.3</f>
        <v>0.69</v>
      </c>
      <c r="BB33" s="121">
        <v>0</v>
      </c>
      <c r="BC33" s="122">
        <f t="shared" si="17"/>
        <v>10.145</v>
      </c>
      <c r="BD33" s="122">
        <v>11.5</v>
      </c>
      <c r="BE33" s="122">
        <f t="shared" si="18"/>
        <v>1</v>
      </c>
      <c r="BF33" s="122">
        <f t="shared" si="24"/>
        <v>679.137931034483</v>
      </c>
      <c r="BG33" s="122">
        <f>'【国内】常规用户招募-数据源 （正职）'!AU33</f>
        <v>679.137931034483</v>
      </c>
      <c r="BH33" s="160">
        <f t="shared" si="7"/>
        <v>0</v>
      </c>
      <c r="BI33" s="121">
        <v>250</v>
      </c>
      <c r="BJ33" s="150">
        <f t="shared" si="8"/>
        <v>223.418549346017</v>
      </c>
      <c r="BK33" s="122">
        <f t="shared" si="9"/>
        <v>-26.5814506539834</v>
      </c>
    </row>
    <row r="34" s="149" customFormat="1" spans="1:63">
      <c r="A34" s="167">
        <v>30</v>
      </c>
      <c r="B34" s="122">
        <f>'【国内】常规用户招募-数据源 （正职）'!B34*1.75</f>
        <v>0.525</v>
      </c>
      <c r="C34" s="121">
        <v>0</v>
      </c>
      <c r="D34" s="122">
        <f t="shared" si="19"/>
        <v>5.74375</v>
      </c>
      <c r="E34" s="168">
        <v>6.6</v>
      </c>
      <c r="F34" s="122">
        <f t="shared" si="2"/>
        <v>399</v>
      </c>
      <c r="G34" s="157">
        <f>'【国内】常规用户招募-数据源 （正职）'!F34</f>
        <v>399</v>
      </c>
      <c r="H34" s="157">
        <f t="shared" si="10"/>
        <v>0</v>
      </c>
      <c r="I34" s="167">
        <v>200</v>
      </c>
      <c r="J34" s="169"/>
      <c r="K34" s="150">
        <f t="shared" si="1"/>
        <v>-200</v>
      </c>
      <c r="L34" s="170">
        <v>690</v>
      </c>
      <c r="M34" s="171"/>
      <c r="N34" s="167">
        <v>30</v>
      </c>
      <c r="O34" s="122">
        <f>'【国内】常规用户招募-数据源 （正职）'!M34*1.8</f>
        <v>0.54</v>
      </c>
      <c r="P34" s="121">
        <f t="shared" si="29"/>
        <v>0</v>
      </c>
      <c r="Q34" s="122">
        <f t="shared" si="20"/>
        <v>6.01161666666667</v>
      </c>
      <c r="R34" s="122">
        <f>E34*1.197</f>
        <v>7.9002</v>
      </c>
      <c r="S34" s="160">
        <f t="shared" si="11"/>
        <v>425.666666666667</v>
      </c>
      <c r="T34" s="157">
        <f>'【国内】常规用户招募-数据源 （正职）'!Q34</f>
        <v>425.666666666667</v>
      </c>
      <c r="U34" s="157">
        <f t="shared" si="12"/>
        <v>0</v>
      </c>
      <c r="V34" s="167">
        <v>250</v>
      </c>
      <c r="W34" s="150">
        <f t="shared" si="4"/>
        <v>264.188888888889</v>
      </c>
      <c r="X34" s="170">
        <v>690</v>
      </c>
      <c r="Y34" s="171"/>
      <c r="Z34" s="172">
        <v>30</v>
      </c>
      <c r="AA34" s="122">
        <f>'【国内】常规用户招募-数据源 （正职）'!W34*2</f>
        <v>0.8</v>
      </c>
      <c r="AB34" s="121">
        <v>0</v>
      </c>
      <c r="AC34" s="122">
        <f t="shared" si="21"/>
        <v>8.41666666666667</v>
      </c>
      <c r="AD34" s="122">
        <v>8</v>
      </c>
      <c r="AE34" s="121">
        <f t="shared" si="13"/>
        <v>1</v>
      </c>
      <c r="AF34" s="173">
        <f t="shared" si="22"/>
        <v>574</v>
      </c>
      <c r="AG34" s="161">
        <f>'【国内】常规用户招募-数据源 （正职）'!AA34</f>
        <v>574</v>
      </c>
      <c r="AH34" s="161">
        <f t="shared" si="14"/>
        <v>0</v>
      </c>
      <c r="AI34" s="172">
        <v>250</v>
      </c>
      <c r="AJ34" s="174">
        <f t="shared" si="5"/>
        <v>269.133333333333</v>
      </c>
      <c r="AK34" s="174">
        <v>700</v>
      </c>
      <c r="AL34" s="171"/>
      <c r="AM34" s="167">
        <v>30</v>
      </c>
      <c r="AN34" s="122">
        <f>'【国内】常规用户招募-数据源 （正职）'!AG34*2.2</f>
        <v>1.1</v>
      </c>
      <c r="AO34" s="121">
        <v>0</v>
      </c>
      <c r="AP34" s="122">
        <f t="shared" si="25"/>
        <v>8.22333333333333</v>
      </c>
      <c r="AQ34" s="122">
        <f t="shared" si="26"/>
        <v>8.64</v>
      </c>
      <c r="AR34" s="122">
        <f t="shared" si="15"/>
        <v>0</v>
      </c>
      <c r="AS34" s="122">
        <f t="shared" si="23"/>
        <v>631.666666666667</v>
      </c>
      <c r="AT34" s="122">
        <f>'【国内】常规用户招募-数据源 （正职）'!AK34</f>
        <v>631.666666666667</v>
      </c>
      <c r="AU34" s="122">
        <f t="shared" si="16"/>
        <v>0</v>
      </c>
      <c r="AV34" s="167">
        <v>250</v>
      </c>
      <c r="AW34" s="169">
        <f t="shared" si="6"/>
        <v>221.055555555556</v>
      </c>
      <c r="AX34" s="169">
        <v>720</v>
      </c>
      <c r="AY34" s="171"/>
      <c r="AZ34" s="167">
        <v>30</v>
      </c>
      <c r="BA34" s="122">
        <f>'【国内】常规用户招募-数据源 （正职）'!AQ34*2.3</f>
        <v>1.15</v>
      </c>
      <c r="BB34" s="121">
        <v>0</v>
      </c>
      <c r="BC34" s="122">
        <f t="shared" si="17"/>
        <v>9.87443333333333</v>
      </c>
      <c r="BD34" s="122">
        <f t="shared" si="28"/>
        <v>8.9856</v>
      </c>
      <c r="BE34" s="122">
        <f t="shared" si="18"/>
        <v>1</v>
      </c>
      <c r="BF34" s="122">
        <f t="shared" si="24"/>
        <v>711</v>
      </c>
      <c r="BG34" s="122">
        <f>'【国内】常规用户招募-数据源 （正职）'!AU34</f>
        <v>711</v>
      </c>
      <c r="BH34" s="160">
        <f t="shared" si="7"/>
        <v>0</v>
      </c>
      <c r="BI34" s="167">
        <v>250</v>
      </c>
      <c r="BJ34" s="169">
        <f t="shared" si="8"/>
        <v>223.7</v>
      </c>
      <c r="BK34" s="122">
        <f t="shared" si="9"/>
        <v>-26.3</v>
      </c>
    </row>
    <row r="35" spans="1:63">
      <c r="A35" s="121">
        <v>31</v>
      </c>
      <c r="B35" s="122">
        <f>'【国内】常规用户招募-数据源 （正职）'!B35*1.75</f>
        <v>0.525</v>
      </c>
      <c r="C35" s="121">
        <v>0</v>
      </c>
      <c r="D35" s="122">
        <f t="shared" si="19"/>
        <v>6.02708333333333</v>
      </c>
      <c r="E35" s="122">
        <v>6.8</v>
      </c>
      <c r="F35" s="122">
        <f t="shared" si="2"/>
        <v>399.032258064516</v>
      </c>
      <c r="G35" s="157">
        <f>'【国内】常规用户招募-数据源 （正职）'!F35</f>
        <v>399.032258064516</v>
      </c>
      <c r="H35" s="157">
        <f t="shared" si="10"/>
        <v>0</v>
      </c>
      <c r="I35" s="121">
        <v>200</v>
      </c>
      <c r="K35" s="150">
        <f t="shared" si="1"/>
        <v>-200</v>
      </c>
      <c r="L35" s="159">
        <v>690</v>
      </c>
      <c r="M35" s="155"/>
      <c r="N35" s="121">
        <v>31</v>
      </c>
      <c r="O35" s="122">
        <f>'【国内】常规用户招募-数据源 （正职）'!M35*1.8</f>
        <v>0.54</v>
      </c>
      <c r="P35" s="121">
        <f t="shared" ref="P35:P44" si="30">0/2</f>
        <v>0</v>
      </c>
      <c r="Q35" s="122">
        <f t="shared" si="20"/>
        <v>5.95176666666667</v>
      </c>
      <c r="R35" s="122">
        <f>E35*1.197</f>
        <v>8.1396</v>
      </c>
      <c r="S35" s="160">
        <f t="shared" si="11"/>
        <v>411.935483870968</v>
      </c>
      <c r="T35" s="157">
        <f>'【国内】常规用户招募-数据源 （正职）'!Q35</f>
        <v>411.935483870968</v>
      </c>
      <c r="U35" s="157">
        <f t="shared" si="12"/>
        <v>0</v>
      </c>
      <c r="V35" s="121">
        <v>250</v>
      </c>
      <c r="W35" s="150">
        <f t="shared" si="4"/>
        <v>263.288241415192</v>
      </c>
      <c r="X35" s="159">
        <v>690</v>
      </c>
      <c r="Y35" s="155"/>
      <c r="Z35" s="121">
        <v>31</v>
      </c>
      <c r="AA35" s="122">
        <v>1.1</v>
      </c>
      <c r="AB35" s="121">
        <v>0</v>
      </c>
      <c r="AC35" s="122">
        <f t="shared" si="21"/>
        <v>7.175</v>
      </c>
      <c r="AD35" s="122">
        <v>8.2</v>
      </c>
      <c r="AE35" s="121">
        <f t="shared" si="13"/>
        <v>1</v>
      </c>
      <c r="AF35" s="160">
        <f t="shared" si="22"/>
        <v>566.451612903226</v>
      </c>
      <c r="AG35" s="161">
        <f>'【国内】常规用户招募-数据源 （正职）'!AA35</f>
        <v>566.451612903226</v>
      </c>
      <c r="AH35" s="161">
        <f t="shared" si="14"/>
        <v>0</v>
      </c>
      <c r="AI35" s="121">
        <v>250</v>
      </c>
      <c r="AJ35" s="150">
        <f t="shared" si="5"/>
        <v>268.272632674298</v>
      </c>
      <c r="AK35" s="150">
        <v>700</v>
      </c>
      <c r="AL35" s="155"/>
      <c r="AM35" s="121">
        <v>31</v>
      </c>
      <c r="AN35" s="122">
        <f>'【国内】常规用户招募-数据源 （正职）'!AG35*2.2</f>
        <v>1.1</v>
      </c>
      <c r="AO35" s="121">
        <v>0</v>
      </c>
      <c r="AP35" s="122">
        <f t="shared" si="25"/>
        <v>8.736</v>
      </c>
      <c r="AQ35" s="122">
        <f t="shared" si="26"/>
        <v>8.856</v>
      </c>
      <c r="AR35" s="122">
        <f t="shared" si="15"/>
        <v>0</v>
      </c>
      <c r="AS35" s="122">
        <f t="shared" si="23"/>
        <v>633.225806451613</v>
      </c>
      <c r="AT35" s="122">
        <f>'【国内】常规用户招募-数据源 （正职）'!AK35</f>
        <v>633.225806451613</v>
      </c>
      <c r="AU35" s="122">
        <f t="shared" si="16"/>
        <v>0</v>
      </c>
      <c r="AV35" s="121">
        <v>250</v>
      </c>
      <c r="AW35" s="150">
        <f t="shared" si="6"/>
        <v>220.426638917794</v>
      </c>
      <c r="AX35" s="150">
        <v>720</v>
      </c>
      <c r="AY35" s="155"/>
      <c r="AZ35" s="121">
        <v>31</v>
      </c>
      <c r="BA35" s="122">
        <f>'【国内】常规用户招募-数据源 （正职）'!AQ35*2.3</f>
        <v>1.15</v>
      </c>
      <c r="BB35" s="121">
        <v>0</v>
      </c>
      <c r="BC35" s="122">
        <f t="shared" si="17"/>
        <v>10.17244</v>
      </c>
      <c r="BD35" s="122">
        <f t="shared" si="28"/>
        <v>9.21024</v>
      </c>
      <c r="BE35" s="122">
        <f t="shared" si="18"/>
        <v>1</v>
      </c>
      <c r="BF35" s="122">
        <f t="shared" si="24"/>
        <v>701.774193548387</v>
      </c>
      <c r="BG35" s="122">
        <f>'【国内】常规用户招募-数据源 （正职）'!AU35</f>
        <v>701.774193548387</v>
      </c>
      <c r="BH35" s="160">
        <f t="shared" si="7"/>
        <v>0</v>
      </c>
      <c r="BI35" s="121">
        <v>250</v>
      </c>
      <c r="BJ35" s="150">
        <f t="shared" si="8"/>
        <v>222.637877211238</v>
      </c>
      <c r="BK35" s="122">
        <f t="shared" si="9"/>
        <v>-27.3621227887617</v>
      </c>
    </row>
    <row r="36" spans="1:63">
      <c r="A36" s="121">
        <v>32</v>
      </c>
      <c r="B36" s="122">
        <f>'【国内】常规用户招募-数据源 （正职）'!B36*1.75</f>
        <v>0.525</v>
      </c>
      <c r="C36" s="121">
        <v>0</v>
      </c>
      <c r="D36" s="122">
        <f t="shared" si="19"/>
        <v>6.28541666666667</v>
      </c>
      <c r="E36" s="122">
        <v>6.9</v>
      </c>
      <c r="F36" s="122">
        <f t="shared" si="2"/>
        <v>397.1875</v>
      </c>
      <c r="G36" s="157">
        <f>'【国内】常规用户招募-数据源 （正职）'!F36</f>
        <v>397.1875</v>
      </c>
      <c r="H36" s="157">
        <f t="shared" si="10"/>
        <v>0</v>
      </c>
      <c r="I36" s="121">
        <v>200</v>
      </c>
      <c r="K36" s="150">
        <f t="shared" si="1"/>
        <v>-200</v>
      </c>
      <c r="L36" s="159">
        <v>690</v>
      </c>
      <c r="M36" s="155"/>
      <c r="N36" s="121">
        <v>32</v>
      </c>
      <c r="O36" s="122">
        <f>'【国内】常规用户招募-数据源 （正职）'!M36*1.8</f>
        <v>0.54</v>
      </c>
      <c r="P36" s="121">
        <f t="shared" si="30"/>
        <v>0</v>
      </c>
      <c r="Q36" s="122">
        <f t="shared" si="20"/>
        <v>6.47833333333333</v>
      </c>
      <c r="R36" s="122">
        <v>8.3</v>
      </c>
      <c r="S36" s="160">
        <f t="shared" si="11"/>
        <v>420.3125</v>
      </c>
      <c r="T36" s="157">
        <f>'【国内】常规用户招募-数据源 （正职）'!Q36</f>
        <v>420.3125</v>
      </c>
      <c r="U36" s="157">
        <f t="shared" si="12"/>
        <v>0</v>
      </c>
      <c r="V36" s="121">
        <v>250</v>
      </c>
      <c r="W36" s="150">
        <f t="shared" si="4"/>
        <v>263.134765625</v>
      </c>
      <c r="X36" s="159">
        <v>690</v>
      </c>
      <c r="Y36" s="155"/>
      <c r="Z36" s="121">
        <v>32</v>
      </c>
      <c r="AA36" s="122">
        <v>1.1</v>
      </c>
      <c r="AB36" s="121">
        <v>0</v>
      </c>
      <c r="AC36" s="122">
        <f t="shared" si="21"/>
        <v>7.38333333333333</v>
      </c>
      <c r="AD36" s="122">
        <v>8.5</v>
      </c>
      <c r="AE36" s="121">
        <f t="shared" si="13"/>
        <v>1</v>
      </c>
      <c r="AF36" s="160">
        <f t="shared" si="22"/>
        <v>559.375</v>
      </c>
      <c r="AG36" s="161">
        <f>'【国内】常规用户招募-数据源 （正职）'!AA36</f>
        <v>559.375</v>
      </c>
      <c r="AH36" s="161">
        <f t="shared" si="14"/>
        <v>0</v>
      </c>
      <c r="AI36" s="121">
        <v>250</v>
      </c>
      <c r="AJ36" s="150">
        <f t="shared" si="5"/>
        <v>267.48046875</v>
      </c>
      <c r="AK36" s="150">
        <v>700</v>
      </c>
      <c r="AL36" s="155"/>
      <c r="AM36" s="121">
        <v>32</v>
      </c>
      <c r="AN36" s="122">
        <f>'【国内】常规用户招募-数据源 （正职）'!AG36*2.2</f>
        <v>1.1</v>
      </c>
      <c r="AO36" s="121">
        <v>0</v>
      </c>
      <c r="AP36" s="122">
        <f t="shared" si="25"/>
        <v>8.93833333333333</v>
      </c>
      <c r="AQ36" s="122">
        <f t="shared" si="26"/>
        <v>9.18</v>
      </c>
      <c r="AR36" s="122">
        <f t="shared" si="15"/>
        <v>0</v>
      </c>
      <c r="AS36" s="122">
        <f t="shared" si="23"/>
        <v>624.0625</v>
      </c>
      <c r="AT36" s="122">
        <f>'【国内】常规用户招募-数据源 （正职）'!AK36</f>
        <v>624.0625</v>
      </c>
      <c r="AU36" s="122">
        <f t="shared" si="16"/>
        <v>0</v>
      </c>
      <c r="AV36" s="121">
        <v>250</v>
      </c>
      <c r="AW36" s="150">
        <f t="shared" si="6"/>
        <v>219.501953125</v>
      </c>
      <c r="AX36" s="150">
        <v>720</v>
      </c>
      <c r="AY36" s="155"/>
      <c r="AZ36" s="121">
        <v>32</v>
      </c>
      <c r="BA36" s="122">
        <f>'【国内】常规用户招募-数据源 （正职）'!AQ36*2.3</f>
        <v>1.15</v>
      </c>
      <c r="BB36" s="121">
        <v>0</v>
      </c>
      <c r="BC36" s="122">
        <f t="shared" si="17"/>
        <v>10.4423666666667</v>
      </c>
      <c r="BD36" s="122">
        <f t="shared" si="28"/>
        <v>9.5472</v>
      </c>
      <c r="BE36" s="122">
        <f t="shared" si="18"/>
        <v>1</v>
      </c>
      <c r="BF36" s="122">
        <f t="shared" si="24"/>
        <v>693.125</v>
      </c>
      <c r="BG36" s="122">
        <f>'【国内】常规用户招募-数据源 （正职）'!AU36</f>
        <v>693.125</v>
      </c>
      <c r="BH36" s="160">
        <f t="shared" si="7"/>
        <v>0</v>
      </c>
      <c r="BI36" s="121">
        <v>250</v>
      </c>
      <c r="BJ36" s="150">
        <f t="shared" si="8"/>
        <v>221.66015625</v>
      </c>
      <c r="BK36" s="122">
        <f t="shared" si="9"/>
        <v>-28.33984375</v>
      </c>
    </row>
    <row r="37" spans="1:63">
      <c r="A37" s="121">
        <v>33</v>
      </c>
      <c r="B37" s="122">
        <f>'【国内】常规用户招募-数据源 （正职）'!B37*1.75</f>
        <v>0.525</v>
      </c>
      <c r="C37" s="121">
        <v>0</v>
      </c>
      <c r="D37" s="122">
        <f t="shared" si="19"/>
        <v>6.59375</v>
      </c>
      <c r="E37" s="122">
        <v>7</v>
      </c>
      <c r="F37" s="122">
        <f t="shared" ref="F37:F54" si="31">(B37*5900+D37*1200+E37*300)/A37</f>
        <v>397.272727272727</v>
      </c>
      <c r="G37" s="157">
        <f>'【国内】常规用户招募-数据源 （正职）'!F37</f>
        <v>397.272727272727</v>
      </c>
      <c r="H37" s="157">
        <f t="shared" si="10"/>
        <v>0</v>
      </c>
      <c r="I37" s="121">
        <v>200</v>
      </c>
      <c r="K37" s="150">
        <f t="shared" si="1"/>
        <v>-200</v>
      </c>
      <c r="L37" s="159">
        <v>690</v>
      </c>
      <c r="M37" s="155"/>
      <c r="N37" s="121">
        <v>33</v>
      </c>
      <c r="O37" s="122">
        <f>'【国内】常规用户招募-数据源 （正职）'!M37*1.8</f>
        <v>0.54</v>
      </c>
      <c r="P37" s="121">
        <f t="shared" si="30"/>
        <v>0</v>
      </c>
      <c r="Q37" s="122">
        <f t="shared" si="20"/>
        <v>6.50333333333333</v>
      </c>
      <c r="R37" s="122">
        <v>8.4</v>
      </c>
      <c r="S37" s="160">
        <f t="shared" si="11"/>
        <v>409.393939393939</v>
      </c>
      <c r="T37" s="157">
        <f>'【国内】常规用户招募-数据源 （正职）'!Q37</f>
        <v>409.393939393939</v>
      </c>
      <c r="U37" s="157">
        <f t="shared" si="12"/>
        <v>0</v>
      </c>
      <c r="V37" s="121">
        <v>250</v>
      </c>
      <c r="W37" s="150">
        <f t="shared" si="4"/>
        <v>262.405876951331</v>
      </c>
      <c r="X37" s="159">
        <v>690</v>
      </c>
      <c r="Y37" s="155"/>
      <c r="Z37" s="121">
        <v>33</v>
      </c>
      <c r="AA37" s="122">
        <f>'【国内】常规用户招募-数据源 （正职）'!W37*2</f>
        <v>0.8</v>
      </c>
      <c r="AB37" s="121">
        <v>0</v>
      </c>
      <c r="AC37" s="122">
        <f t="shared" si="21"/>
        <v>9.09166666666667</v>
      </c>
      <c r="AD37" s="122">
        <f>R37+0.5</f>
        <v>8.9</v>
      </c>
      <c r="AE37" s="121">
        <f t="shared" ref="AE37:AE54" si="32">IF(AND(AA37&gt;=O37,AC37&gt;=Q37),1,0)</f>
        <v>1</v>
      </c>
      <c r="AF37" s="160">
        <f t="shared" si="22"/>
        <v>554.545454545455</v>
      </c>
      <c r="AG37" s="161">
        <f>'【国内】常规用户招募-数据源 （正职）'!AA37</f>
        <v>554.545454545455</v>
      </c>
      <c r="AH37" s="161">
        <f t="shared" si="14"/>
        <v>0</v>
      </c>
      <c r="AI37" s="121">
        <v>250</v>
      </c>
      <c r="AJ37" s="150">
        <f t="shared" si="5"/>
        <v>266.804407713499</v>
      </c>
      <c r="AK37" s="150">
        <v>700</v>
      </c>
      <c r="AL37" s="155"/>
      <c r="AM37" s="121">
        <v>33</v>
      </c>
      <c r="AN37" s="122">
        <f>'【国内】常规用户招募-数据源 （正职）'!AG37*2.2</f>
        <v>1.1</v>
      </c>
      <c r="AO37" s="121">
        <v>0</v>
      </c>
      <c r="AP37" s="122">
        <f t="shared" si="25"/>
        <v>9.73033333333333</v>
      </c>
      <c r="AQ37" s="122">
        <f t="shared" si="26"/>
        <v>9.612</v>
      </c>
      <c r="AR37" s="122">
        <f t="shared" ref="AR37:AR54" si="33">IF(AND(AN37&gt;AA37,AP37&gt;AC37,AQ37&gt;AD37),1,0)</f>
        <v>1</v>
      </c>
      <c r="AS37" s="122">
        <f t="shared" si="23"/>
        <v>637.878787878788</v>
      </c>
      <c r="AT37" s="122">
        <f>'【国内】常规用户招募-数据源 （正职）'!AK37</f>
        <v>637.878787878788</v>
      </c>
      <c r="AU37" s="122">
        <f t="shared" si="16"/>
        <v>0</v>
      </c>
      <c r="AV37" s="121">
        <v>250</v>
      </c>
      <c r="AW37" s="150">
        <f t="shared" si="6"/>
        <v>219.329660238751</v>
      </c>
      <c r="AX37" s="150">
        <v>720</v>
      </c>
      <c r="AY37" s="155"/>
      <c r="AZ37" s="121">
        <v>33</v>
      </c>
      <c r="BA37" s="122">
        <f>'【国内】常规用户招募-数据源 （正职）'!AQ37*2.3</f>
        <v>1.15</v>
      </c>
      <c r="BB37" s="121">
        <v>0</v>
      </c>
      <c r="BC37" s="122">
        <f t="shared" si="17"/>
        <v>10.7342133333333</v>
      </c>
      <c r="BD37" s="122">
        <f t="shared" si="28"/>
        <v>9.99648</v>
      </c>
      <c r="BE37" s="122">
        <f t="shared" ref="BE37:BE54" si="34">IF(AND(BA37&gt;=AN37,BC37&gt;=AP37),1,0)</f>
        <v>1</v>
      </c>
      <c r="BF37" s="122">
        <f t="shared" si="24"/>
        <v>686.818181818182</v>
      </c>
      <c r="BG37" s="122">
        <f>'【国内】常规用户招募-数据源 （正职）'!AU37</f>
        <v>686.818181818182</v>
      </c>
      <c r="BH37" s="160">
        <f t="shared" ref="BH37:BH54" si="35">BG37-BF37</f>
        <v>0</v>
      </c>
      <c r="BI37" s="121">
        <v>250</v>
      </c>
      <c r="BJ37" s="150">
        <f t="shared" si="8"/>
        <v>220.812672176309</v>
      </c>
      <c r="BK37" s="122">
        <f t="shared" si="9"/>
        <v>-29.1873278236914</v>
      </c>
    </row>
    <row r="38" spans="1:63">
      <c r="A38" s="121">
        <v>34</v>
      </c>
      <c r="B38" s="122">
        <f>'【国内】常规用户招募-数据源 （正职）'!B38*1.75</f>
        <v>0.525</v>
      </c>
      <c r="C38" s="121">
        <v>0</v>
      </c>
      <c r="D38" s="122">
        <f t="shared" si="19"/>
        <v>6.85208333333333</v>
      </c>
      <c r="E38" s="121">
        <v>7.1</v>
      </c>
      <c r="F38" s="122">
        <f t="shared" si="31"/>
        <v>395.588235294118</v>
      </c>
      <c r="G38" s="157">
        <f>'【国内】常规用户招募-数据源 （正职）'!F38</f>
        <v>395.588235294118</v>
      </c>
      <c r="H38" s="157">
        <f t="shared" ref="H38:H54" si="36">G38-F38</f>
        <v>0</v>
      </c>
      <c r="I38" s="121">
        <v>200</v>
      </c>
      <c r="K38" s="150">
        <f t="shared" si="1"/>
        <v>-200</v>
      </c>
      <c r="L38" s="159">
        <v>690</v>
      </c>
      <c r="M38" s="155"/>
      <c r="N38" s="121">
        <v>34</v>
      </c>
      <c r="O38" s="122">
        <f>'【国内】常规用户招募-数据源 （正职）'!M38*1.8</f>
        <v>0.54</v>
      </c>
      <c r="P38" s="121">
        <f t="shared" si="30"/>
        <v>0</v>
      </c>
      <c r="Q38" s="122">
        <f t="shared" si="20"/>
        <v>7.045</v>
      </c>
      <c r="R38" s="122">
        <v>8.5</v>
      </c>
      <c r="S38" s="160">
        <f t="shared" ref="S38:S54" si="37">(O38*5900+Q38*1200+R38*300)/N38</f>
        <v>417.352941176471</v>
      </c>
      <c r="T38" s="157">
        <f>'【国内】常规用户招募-数据源 （正职）'!Q38</f>
        <v>417.352941176471</v>
      </c>
      <c r="U38" s="157">
        <f t="shared" ref="U38:U54" si="38">T38-S38</f>
        <v>0</v>
      </c>
      <c r="V38" s="121">
        <v>250</v>
      </c>
      <c r="W38" s="150">
        <f t="shared" si="4"/>
        <v>262.27508650519</v>
      </c>
      <c r="X38" s="159">
        <v>690</v>
      </c>
      <c r="Y38" s="155"/>
      <c r="Z38" s="121">
        <v>34</v>
      </c>
      <c r="AA38" s="122">
        <f>'【国内】常规用户招募-数据源 （正职）'!W38*2</f>
        <v>0.8</v>
      </c>
      <c r="AB38" s="121">
        <v>0</v>
      </c>
      <c r="AC38" s="122">
        <f t="shared" si="21"/>
        <v>9.4</v>
      </c>
      <c r="AD38" s="122">
        <f>R38+0.3</f>
        <v>8.8</v>
      </c>
      <c r="AE38" s="121">
        <f t="shared" si="32"/>
        <v>1</v>
      </c>
      <c r="AF38" s="160">
        <f t="shared" si="22"/>
        <v>548.235294117647</v>
      </c>
      <c r="AG38" s="161">
        <f>'【国内】常规用户招募-数据源 （正职）'!AA38</f>
        <v>548.235294117647</v>
      </c>
      <c r="AH38" s="161">
        <f t="shared" ref="AH38:AH54" si="39">AG38-AF38</f>
        <v>0</v>
      </c>
      <c r="AI38" s="121">
        <v>250</v>
      </c>
      <c r="AJ38" s="150">
        <f t="shared" si="5"/>
        <v>266.124567474048</v>
      </c>
      <c r="AK38" s="150">
        <v>700</v>
      </c>
      <c r="AL38" s="155"/>
      <c r="AM38" s="121">
        <v>34</v>
      </c>
      <c r="AN38" s="122">
        <f>'【国内】常规用户招募-数据源 （正职）'!AG38*2.2</f>
        <v>1.1</v>
      </c>
      <c r="AO38" s="121">
        <v>0</v>
      </c>
      <c r="AP38" s="122">
        <f t="shared" si="25"/>
        <v>10.324</v>
      </c>
      <c r="AQ38" s="122">
        <f t="shared" si="26"/>
        <v>9.504</v>
      </c>
      <c r="AR38" s="122">
        <f t="shared" si="33"/>
        <v>1</v>
      </c>
      <c r="AS38" s="122">
        <f t="shared" si="23"/>
        <v>639.117647058824</v>
      </c>
      <c r="AT38" s="122">
        <f>'【国内】常规用户招募-数据源 （正职）'!AK38</f>
        <v>639.117647058824</v>
      </c>
      <c r="AU38" s="122">
        <f t="shared" ref="AU38:AU54" si="40">AT38-AS38</f>
        <v>0</v>
      </c>
      <c r="AV38" s="121">
        <v>250</v>
      </c>
      <c r="AW38" s="150">
        <f t="shared" si="6"/>
        <v>218.797577854671</v>
      </c>
      <c r="AX38" s="150">
        <v>720</v>
      </c>
      <c r="AY38" s="155"/>
      <c r="AZ38" s="121">
        <v>34</v>
      </c>
      <c r="BA38" s="122">
        <f>'【国内】常规用户招募-数据源 （正职）'!AQ38*2.3</f>
        <v>1.15</v>
      </c>
      <c r="BB38" s="121">
        <v>0</v>
      </c>
      <c r="BC38" s="122">
        <f t="shared" ref="BC38:BC54" si="41">(BG38*AZ38-BA38*5900-BD38*300)/1200</f>
        <v>11.11646</v>
      </c>
      <c r="BD38" s="122">
        <f t="shared" si="28"/>
        <v>9.88416</v>
      </c>
      <c r="BE38" s="122">
        <f t="shared" si="34"/>
        <v>1</v>
      </c>
      <c r="BF38" s="122">
        <f t="shared" si="24"/>
        <v>679.117647058824</v>
      </c>
      <c r="BG38" s="122">
        <f>'【国内】常规用户招募-数据源 （正职）'!AU38</f>
        <v>679.117647058824</v>
      </c>
      <c r="BH38" s="160">
        <f t="shared" si="35"/>
        <v>0</v>
      </c>
      <c r="BI38" s="121">
        <v>250</v>
      </c>
      <c r="BJ38" s="150">
        <f t="shared" si="8"/>
        <v>219.974048442907</v>
      </c>
      <c r="BK38" s="122">
        <f t="shared" si="9"/>
        <v>-30.0259515570934</v>
      </c>
    </row>
    <row r="39" s="148" customFormat="1" spans="1:63">
      <c r="A39" s="121">
        <v>35</v>
      </c>
      <c r="B39" s="122">
        <f>'【国内】常规用户招募-数据源 （正职）'!B39*1.75</f>
        <v>0.525</v>
      </c>
      <c r="C39" s="121">
        <v>0</v>
      </c>
      <c r="D39" s="122">
        <f t="shared" si="19"/>
        <v>7.16041666666667</v>
      </c>
      <c r="E39" s="122">
        <v>7.2</v>
      </c>
      <c r="F39" s="122">
        <f t="shared" si="31"/>
        <v>395.714285714286</v>
      </c>
      <c r="G39" s="157">
        <f>'【国内】常规用户招募-数据源 （正职）'!F39</f>
        <v>395.714285714286</v>
      </c>
      <c r="H39" s="157">
        <f t="shared" si="36"/>
        <v>0</v>
      </c>
      <c r="I39" s="121">
        <v>200</v>
      </c>
      <c r="J39" s="150"/>
      <c r="K39" s="150">
        <f t="shared" si="1"/>
        <v>-200</v>
      </c>
      <c r="L39" s="159">
        <v>690</v>
      </c>
      <c r="M39" s="155"/>
      <c r="N39" s="121">
        <v>35</v>
      </c>
      <c r="O39" s="122">
        <f>'【国内】常规用户招募-数据源 （正职）'!M39*1.8</f>
        <v>0.54</v>
      </c>
      <c r="P39" s="121">
        <f t="shared" si="30"/>
        <v>0</v>
      </c>
      <c r="Q39" s="122">
        <f t="shared" si="20"/>
        <v>7.07</v>
      </c>
      <c r="R39" s="122">
        <v>8.8</v>
      </c>
      <c r="S39" s="160">
        <f t="shared" si="37"/>
        <v>408.857142857143</v>
      </c>
      <c r="T39" s="157">
        <f>'【国内】常规用户招募-数据源 （正职）'!Q39</f>
        <v>408.857142857143</v>
      </c>
      <c r="U39" s="157">
        <f t="shared" si="38"/>
        <v>0</v>
      </c>
      <c r="V39" s="121">
        <v>250</v>
      </c>
      <c r="W39" s="150">
        <f t="shared" si="4"/>
        <v>261.681632653061</v>
      </c>
      <c r="X39" s="159">
        <v>690</v>
      </c>
      <c r="Y39" s="155"/>
      <c r="Z39" s="121">
        <v>35</v>
      </c>
      <c r="AA39" s="122">
        <v>1.3</v>
      </c>
      <c r="AB39" s="121">
        <v>0</v>
      </c>
      <c r="AC39" s="122">
        <f t="shared" si="21"/>
        <v>7.25</v>
      </c>
      <c r="AD39" s="122">
        <f>R39+0.3</f>
        <v>9.1</v>
      </c>
      <c r="AE39" s="121">
        <f t="shared" si="32"/>
        <v>1</v>
      </c>
      <c r="AF39" s="160">
        <f t="shared" si="22"/>
        <v>545.714285714286</v>
      </c>
      <c r="AG39" s="161">
        <f>'【国内】常规用户招募-数据源 （正职）'!AA39</f>
        <v>545.714285714286</v>
      </c>
      <c r="AH39" s="161">
        <f t="shared" si="39"/>
        <v>0</v>
      </c>
      <c r="AI39" s="121">
        <v>250</v>
      </c>
      <c r="AJ39" s="150">
        <f t="shared" si="5"/>
        <v>265.591836734694</v>
      </c>
      <c r="AK39" s="150">
        <v>700</v>
      </c>
      <c r="AL39" s="155"/>
      <c r="AM39" s="121">
        <v>35</v>
      </c>
      <c r="AN39" s="122">
        <f>'【国内】常规用户招募-数据源 （正职）'!AG39*2.2</f>
        <v>1.1</v>
      </c>
      <c r="AO39" s="121">
        <v>0</v>
      </c>
      <c r="AP39" s="122">
        <f t="shared" si="25"/>
        <v>10.9096666666667</v>
      </c>
      <c r="AQ39" s="122">
        <f t="shared" si="26"/>
        <v>9.828</v>
      </c>
      <c r="AR39" s="122">
        <f t="shared" si="33"/>
        <v>0</v>
      </c>
      <c r="AS39" s="122">
        <f t="shared" si="23"/>
        <v>643.714285714286</v>
      </c>
      <c r="AT39" s="122">
        <f>'【国内】常规用户招募-数据源 （正职）'!AK39</f>
        <v>643.714285714286</v>
      </c>
      <c r="AU39" s="122">
        <f t="shared" si="40"/>
        <v>0</v>
      </c>
      <c r="AV39" s="121">
        <v>250</v>
      </c>
      <c r="AW39" s="150">
        <f t="shared" si="6"/>
        <v>218.391836734694</v>
      </c>
      <c r="AX39" s="150">
        <v>720</v>
      </c>
      <c r="AY39" s="155"/>
      <c r="AZ39" s="121">
        <v>35</v>
      </c>
      <c r="BA39" s="122">
        <f>'【国内】常规用户招募-数据源 （正职）'!AQ39*2.3</f>
        <v>1.15</v>
      </c>
      <c r="BB39" s="121">
        <v>0</v>
      </c>
      <c r="BC39" s="122">
        <f t="shared" si="41"/>
        <v>11.4863866666667</v>
      </c>
      <c r="BD39" s="122">
        <f t="shared" si="28"/>
        <v>10.22112</v>
      </c>
      <c r="BE39" s="122">
        <f t="shared" si="34"/>
        <v>1</v>
      </c>
      <c r="BF39" s="122">
        <f t="shared" si="24"/>
        <v>675.285714285714</v>
      </c>
      <c r="BG39" s="122">
        <f>'【国内】常规用户招募-数据源 （正职）'!AU39</f>
        <v>675.285714285714</v>
      </c>
      <c r="BH39" s="160">
        <f t="shared" si="35"/>
        <v>0</v>
      </c>
      <c r="BI39" s="121">
        <v>250</v>
      </c>
      <c r="BJ39" s="150">
        <f t="shared" si="8"/>
        <v>219.29387755102</v>
      </c>
      <c r="BK39" s="122">
        <f t="shared" si="9"/>
        <v>-30.7061224489796</v>
      </c>
    </row>
    <row r="40" spans="1:63">
      <c r="A40" s="121">
        <v>36</v>
      </c>
      <c r="B40" s="122">
        <f>'【国内】常规用户招募-数据源 （正职）'!B40*1.75</f>
        <v>0.525</v>
      </c>
      <c r="C40" s="121">
        <v>0</v>
      </c>
      <c r="D40" s="122">
        <f t="shared" si="19"/>
        <v>7.11041666666667</v>
      </c>
      <c r="E40" s="122">
        <v>7.4</v>
      </c>
      <c r="F40" s="122">
        <f t="shared" si="31"/>
        <v>384.722222222222</v>
      </c>
      <c r="G40" s="157">
        <f>'【国内】常规用户招募-数据源 （正职）'!F40</f>
        <v>384.722222222222</v>
      </c>
      <c r="H40" s="157">
        <f t="shared" si="36"/>
        <v>0</v>
      </c>
      <c r="I40" s="121">
        <v>200</v>
      </c>
      <c r="K40" s="150">
        <f t="shared" si="1"/>
        <v>-200</v>
      </c>
      <c r="L40" s="159">
        <v>690</v>
      </c>
      <c r="M40" s="155"/>
      <c r="N40" s="121">
        <v>36</v>
      </c>
      <c r="O40" s="122">
        <f>'【国内】常规用户招募-数据源 （正职）'!M40*1.8</f>
        <v>0.54</v>
      </c>
      <c r="P40" s="121">
        <f t="shared" si="30"/>
        <v>0</v>
      </c>
      <c r="Q40" s="122">
        <f t="shared" si="20"/>
        <v>7.07</v>
      </c>
      <c r="R40" s="122">
        <v>8.8</v>
      </c>
      <c r="S40" s="160">
        <f t="shared" si="37"/>
        <v>397.5</v>
      </c>
      <c r="T40" s="157">
        <f>'【国内】常规用户招募-数据源 （正职）'!Q40</f>
        <v>397.5</v>
      </c>
      <c r="U40" s="157">
        <f t="shared" si="38"/>
        <v>0</v>
      </c>
      <c r="V40" s="121">
        <v>250</v>
      </c>
      <c r="W40" s="150">
        <f t="shared" si="4"/>
        <v>261.041666666667</v>
      </c>
      <c r="X40" s="159">
        <v>690</v>
      </c>
      <c r="Y40" s="155"/>
      <c r="Z40" s="121">
        <v>36</v>
      </c>
      <c r="AA40" s="122">
        <f>'【国内】常规用户招募-数据源 （正职）'!W40*2</f>
        <v>0.8</v>
      </c>
      <c r="AB40" s="121">
        <v>0</v>
      </c>
      <c r="AC40" s="122">
        <f t="shared" si="21"/>
        <v>10.1933333333333</v>
      </c>
      <c r="AD40" s="122">
        <f>R40*1.2</f>
        <v>10.56</v>
      </c>
      <c r="AE40" s="121">
        <f t="shared" si="32"/>
        <v>1</v>
      </c>
      <c r="AF40" s="160">
        <f t="shared" si="22"/>
        <v>558.888888888889</v>
      </c>
      <c r="AG40" s="161">
        <f>'【国内】常规用户招募-数据源 （正职）'!AA40</f>
        <v>558.888888888889</v>
      </c>
      <c r="AH40" s="161">
        <f t="shared" si="39"/>
        <v>0</v>
      </c>
      <c r="AI40" s="121">
        <v>250</v>
      </c>
      <c r="AJ40" s="150">
        <f t="shared" si="5"/>
        <v>265.524691358025</v>
      </c>
      <c r="AK40" s="150">
        <v>700</v>
      </c>
      <c r="AL40" s="155"/>
      <c r="AM40" s="121">
        <v>36</v>
      </c>
      <c r="AN40" s="122">
        <f>'【国内】常规用户招募-数据源 （正职）'!AG40*2.2</f>
        <v>1.1</v>
      </c>
      <c r="AO40" s="121">
        <v>0</v>
      </c>
      <c r="AP40" s="122">
        <f t="shared" si="25"/>
        <v>10.7988</v>
      </c>
      <c r="AQ40" s="122">
        <f t="shared" si="26"/>
        <v>11.4048</v>
      </c>
      <c r="AR40" s="122">
        <f t="shared" si="33"/>
        <v>1</v>
      </c>
      <c r="AS40" s="122">
        <f t="shared" si="23"/>
        <v>635.277777777778</v>
      </c>
      <c r="AT40" s="122">
        <f>'【国内】常规用户招募-数据源 （正职）'!AK40</f>
        <v>635.277777777778</v>
      </c>
      <c r="AU40" s="122">
        <f t="shared" si="40"/>
        <v>0</v>
      </c>
      <c r="AV40" s="121">
        <v>250</v>
      </c>
      <c r="AW40" s="150">
        <f t="shared" si="6"/>
        <v>217.646604938272</v>
      </c>
      <c r="AX40" s="150">
        <v>720</v>
      </c>
      <c r="AY40" s="155"/>
      <c r="AZ40" s="121">
        <v>36</v>
      </c>
      <c r="BA40" s="122">
        <f>'【国内】常规用户招募-数据源 （正职）'!AQ40*2.3</f>
        <v>1.15</v>
      </c>
      <c r="BB40" s="121">
        <v>0</v>
      </c>
      <c r="BC40" s="122">
        <f t="shared" si="41"/>
        <v>12.1389186666667</v>
      </c>
      <c r="BD40" s="122">
        <f t="shared" si="28"/>
        <v>11.860992</v>
      </c>
      <c r="BE40" s="122">
        <f t="shared" si="34"/>
        <v>1</v>
      </c>
      <c r="BF40" s="122">
        <f t="shared" si="24"/>
        <v>691.944444444444</v>
      </c>
      <c r="BG40" s="122">
        <f>'【国内】常规用户招募-数据源 （正职）'!AU40</f>
        <v>691.944444444444</v>
      </c>
      <c r="BH40" s="160">
        <f t="shared" si="35"/>
        <v>0</v>
      </c>
      <c r="BI40" s="121">
        <v>250</v>
      </c>
      <c r="BJ40" s="150">
        <f t="shared" si="8"/>
        <v>219.220679012346</v>
      </c>
      <c r="BK40" s="122">
        <f t="shared" si="9"/>
        <v>-30.7793209876543</v>
      </c>
    </row>
    <row r="41" spans="1:63">
      <c r="A41" s="121">
        <v>37</v>
      </c>
      <c r="B41" s="122">
        <f>'【国内】常规用户招募-数据源 （正职）'!B41*1.75</f>
        <v>0.525</v>
      </c>
      <c r="C41" s="121">
        <v>0</v>
      </c>
      <c r="D41" s="122">
        <f t="shared" si="19"/>
        <v>7.41875</v>
      </c>
      <c r="E41" s="122">
        <v>7.5</v>
      </c>
      <c r="F41" s="122">
        <f t="shared" si="31"/>
        <v>385.135135135135</v>
      </c>
      <c r="G41" s="157">
        <f>'【国内】常规用户招募-数据源 （正职）'!F41</f>
        <v>385.135135135135</v>
      </c>
      <c r="H41" s="157">
        <f t="shared" si="36"/>
        <v>0</v>
      </c>
      <c r="I41" s="121">
        <v>200</v>
      </c>
      <c r="K41" s="150">
        <f t="shared" si="1"/>
        <v>-200</v>
      </c>
      <c r="L41" s="159">
        <v>690</v>
      </c>
      <c r="M41" s="155"/>
      <c r="N41" s="121">
        <v>37</v>
      </c>
      <c r="O41" s="122">
        <f>'【国内】常规用户招募-数据源 （正职）'!M41*1.8</f>
        <v>0.54</v>
      </c>
      <c r="P41" s="121">
        <f t="shared" si="30"/>
        <v>0</v>
      </c>
      <c r="Q41" s="122">
        <f t="shared" si="20"/>
        <v>7.68666666666667</v>
      </c>
      <c r="R41" s="122">
        <v>8.8</v>
      </c>
      <c r="S41" s="160">
        <f t="shared" si="37"/>
        <v>406.756756756757</v>
      </c>
      <c r="T41" s="157">
        <f>'【国内】常规用户招募-数据源 （正职）'!Q41</f>
        <v>406.756756756757</v>
      </c>
      <c r="U41" s="157">
        <f t="shared" si="38"/>
        <v>0</v>
      </c>
      <c r="V41" s="121">
        <v>250</v>
      </c>
      <c r="W41" s="150">
        <f t="shared" si="4"/>
        <v>260.993425858291</v>
      </c>
      <c r="X41" s="159">
        <v>690</v>
      </c>
      <c r="Y41" s="155"/>
      <c r="Z41" s="121">
        <v>37</v>
      </c>
      <c r="AA41" s="122">
        <f>'【国内】常规用户招募-数据源 （正职）'!W41*2</f>
        <v>0.8</v>
      </c>
      <c r="AB41" s="121">
        <v>0</v>
      </c>
      <c r="AC41" s="122">
        <f t="shared" si="21"/>
        <v>10.5266666666667</v>
      </c>
      <c r="AD41" s="122">
        <f t="shared" ref="AD41:AD54" si="42">R41*1.2</f>
        <v>10.56</v>
      </c>
      <c r="AE41" s="121">
        <f t="shared" si="32"/>
        <v>1</v>
      </c>
      <c r="AF41" s="160">
        <f t="shared" si="22"/>
        <v>554.594594594595</v>
      </c>
      <c r="AG41" s="161">
        <f>'【国内】常规用户招募-数据源 （正职）'!AA41</f>
        <v>554.594594594595</v>
      </c>
      <c r="AH41" s="161">
        <f t="shared" si="39"/>
        <v>0</v>
      </c>
      <c r="AI41" s="121">
        <v>250</v>
      </c>
      <c r="AJ41" s="150">
        <f t="shared" si="5"/>
        <v>264.989043097151</v>
      </c>
      <c r="AK41" s="150">
        <v>700</v>
      </c>
      <c r="AL41" s="155"/>
      <c r="AM41" s="121">
        <v>37</v>
      </c>
      <c r="AN41" s="122">
        <f>'【国内】常规用户招募-数据源 （正职）'!AG41*2.2</f>
        <v>1.1</v>
      </c>
      <c r="AO41" s="121">
        <v>0</v>
      </c>
      <c r="AP41" s="122">
        <f t="shared" si="25"/>
        <v>11.4154666666667</v>
      </c>
      <c r="AQ41" s="122">
        <f t="shared" si="26"/>
        <v>11.4048</v>
      </c>
      <c r="AR41" s="122">
        <f t="shared" si="33"/>
        <v>1</v>
      </c>
      <c r="AS41" s="122">
        <f t="shared" si="23"/>
        <v>638.108108108108</v>
      </c>
      <c r="AT41" s="122">
        <f>'【国内】常规用户招募-数据源 （正职）'!AK41</f>
        <v>638.108108108108</v>
      </c>
      <c r="AU41" s="122">
        <f t="shared" si="40"/>
        <v>0</v>
      </c>
      <c r="AV41" s="121">
        <v>250</v>
      </c>
      <c r="AW41" s="150">
        <f t="shared" si="6"/>
        <v>217.246165084003</v>
      </c>
      <c r="AX41" s="150">
        <v>720</v>
      </c>
      <c r="AY41" s="155"/>
      <c r="AZ41" s="121">
        <v>37</v>
      </c>
      <c r="BA41" s="122">
        <f>'【国内】常规用户招募-数据源 （正职）'!AQ41*2.3</f>
        <v>1.15</v>
      </c>
      <c r="BB41" s="121">
        <v>0</v>
      </c>
      <c r="BC41" s="122">
        <f t="shared" si="41"/>
        <v>12.5430853333333</v>
      </c>
      <c r="BD41" s="122">
        <f t="shared" si="28"/>
        <v>11.860992</v>
      </c>
      <c r="BE41" s="122">
        <f t="shared" si="34"/>
        <v>1</v>
      </c>
      <c r="BF41" s="122">
        <f t="shared" si="24"/>
        <v>686.351351351351</v>
      </c>
      <c r="BG41" s="122">
        <f>'【国内】常规用户招募-数据源 （正职）'!AU41</f>
        <v>686.351351351351</v>
      </c>
      <c r="BH41" s="160">
        <f t="shared" si="35"/>
        <v>0</v>
      </c>
      <c r="BI41" s="121">
        <v>250</v>
      </c>
      <c r="BJ41" s="150">
        <f t="shared" si="8"/>
        <v>218.55003652301</v>
      </c>
      <c r="BK41" s="122">
        <f t="shared" si="9"/>
        <v>-31.4499634769905</v>
      </c>
    </row>
    <row r="42" spans="1:63">
      <c r="A42" s="121">
        <v>38</v>
      </c>
      <c r="B42" s="122">
        <f>'【国内】常规用户招募-数据源 （正职）'!B42*1.75</f>
        <v>0.525</v>
      </c>
      <c r="C42" s="121">
        <v>0</v>
      </c>
      <c r="D42" s="122">
        <f t="shared" si="19"/>
        <v>7.86041666666667</v>
      </c>
      <c r="E42" s="122">
        <v>8</v>
      </c>
      <c r="F42" s="122">
        <f t="shared" si="31"/>
        <v>392.894736842105</v>
      </c>
      <c r="G42" s="157">
        <f>'【国内】常规用户招募-数据源 （正职）'!F42</f>
        <v>392.894736842105</v>
      </c>
      <c r="H42" s="157">
        <f t="shared" si="36"/>
        <v>0</v>
      </c>
      <c r="I42" s="121">
        <v>200</v>
      </c>
      <c r="K42" s="150">
        <f t="shared" si="1"/>
        <v>-200</v>
      </c>
      <c r="L42" s="159">
        <v>690</v>
      </c>
      <c r="M42" s="155"/>
      <c r="N42" s="121">
        <v>38</v>
      </c>
      <c r="O42" s="122">
        <f>'【国内】常规用户招募-数据源 （正职）'!M42*1.8</f>
        <v>0.54</v>
      </c>
      <c r="P42" s="121">
        <f t="shared" si="30"/>
        <v>0</v>
      </c>
      <c r="Q42" s="122">
        <f t="shared" si="20"/>
        <v>8.22833333333334</v>
      </c>
      <c r="R42" s="122">
        <v>8.9</v>
      </c>
      <c r="S42" s="160">
        <f t="shared" si="37"/>
        <v>413.947368421053</v>
      </c>
      <c r="T42" s="157">
        <f>'【国内】常规用户招募-数据源 （正职）'!Q42</f>
        <v>413.947368421053</v>
      </c>
      <c r="U42" s="157">
        <f t="shared" si="38"/>
        <v>0</v>
      </c>
      <c r="V42" s="121">
        <v>250</v>
      </c>
      <c r="W42" s="150">
        <f t="shared" si="4"/>
        <v>260.893351800554</v>
      </c>
      <c r="X42" s="159">
        <v>690</v>
      </c>
      <c r="Y42" s="155"/>
      <c r="Z42" s="121">
        <v>38</v>
      </c>
      <c r="AA42" s="122">
        <f>'【国内】常规用户招募-数据源 （正职）'!W42*2</f>
        <v>0.8</v>
      </c>
      <c r="AB42" s="121">
        <v>0</v>
      </c>
      <c r="AC42" s="122">
        <f t="shared" si="21"/>
        <v>10.805</v>
      </c>
      <c r="AD42" s="122">
        <f t="shared" si="42"/>
        <v>10.68</v>
      </c>
      <c r="AE42" s="121">
        <f t="shared" si="32"/>
        <v>1</v>
      </c>
      <c r="AF42" s="160">
        <f t="shared" si="22"/>
        <v>549.736842105263</v>
      </c>
      <c r="AG42" s="161">
        <f>'【国内】常规用户招募-数据源 （正职）'!AA42</f>
        <v>549.736842105263</v>
      </c>
      <c r="AH42" s="161">
        <f t="shared" si="39"/>
        <v>0</v>
      </c>
      <c r="AI42" s="121">
        <v>250</v>
      </c>
      <c r="AJ42" s="150">
        <f t="shared" si="5"/>
        <v>264.46675900277</v>
      </c>
      <c r="AK42" s="150">
        <v>700</v>
      </c>
      <c r="AL42" s="155"/>
      <c r="AM42" s="121">
        <v>38</v>
      </c>
      <c r="AN42" s="122">
        <f>'【国内】常规用户招募-数据源 （正职）'!AG42*2.2</f>
        <v>1.1</v>
      </c>
      <c r="AO42" s="121">
        <v>0</v>
      </c>
      <c r="AP42" s="122">
        <f t="shared" si="25"/>
        <v>11.9747333333333</v>
      </c>
      <c r="AQ42" s="122">
        <f t="shared" si="26"/>
        <v>11.5344</v>
      </c>
      <c r="AR42" s="122">
        <f t="shared" si="33"/>
        <v>1</v>
      </c>
      <c r="AS42" s="122">
        <f t="shared" si="23"/>
        <v>640</v>
      </c>
      <c r="AT42" s="122">
        <f>'【国内】常规用户招募-数据源 （正职）'!AK42</f>
        <v>640</v>
      </c>
      <c r="AU42" s="122">
        <f t="shared" si="40"/>
        <v>0</v>
      </c>
      <c r="AV42" s="121">
        <v>250</v>
      </c>
      <c r="AW42" s="150">
        <f t="shared" si="6"/>
        <v>216.842105263158</v>
      </c>
      <c r="AX42" s="150">
        <v>720</v>
      </c>
      <c r="AY42" s="155"/>
      <c r="AZ42" s="121">
        <v>38</v>
      </c>
      <c r="BA42" s="122">
        <f>'【国内】常规用户招募-数据源 （正职）'!AQ42*2.3</f>
        <v>1.15</v>
      </c>
      <c r="BB42" s="121">
        <v>0</v>
      </c>
      <c r="BC42" s="122">
        <f t="shared" si="41"/>
        <v>12.888556</v>
      </c>
      <c r="BD42" s="122">
        <f t="shared" si="28"/>
        <v>11.995776</v>
      </c>
      <c r="BE42" s="122">
        <f t="shared" si="34"/>
        <v>1</v>
      </c>
      <c r="BF42" s="122">
        <f t="shared" si="24"/>
        <v>680.263157894737</v>
      </c>
      <c r="BG42" s="122">
        <f>'【国内】常规用户招募-数据源 （正职）'!AU42</f>
        <v>680.263157894737</v>
      </c>
      <c r="BH42" s="160">
        <f t="shared" si="35"/>
        <v>0</v>
      </c>
      <c r="BI42" s="121">
        <v>250</v>
      </c>
      <c r="BJ42" s="150">
        <f t="shared" si="8"/>
        <v>217.901662049861</v>
      </c>
      <c r="BK42" s="122">
        <f t="shared" si="9"/>
        <v>-32.0983379501385</v>
      </c>
    </row>
    <row r="43" spans="1:63">
      <c r="A43" s="121">
        <v>39</v>
      </c>
      <c r="B43" s="122">
        <f>'【国内】常规用户招募-数据源 （正职）'!B43*1.75</f>
        <v>0.525</v>
      </c>
      <c r="C43" s="121">
        <v>0</v>
      </c>
      <c r="D43" s="122">
        <f t="shared" si="19"/>
        <v>8.14375</v>
      </c>
      <c r="E43" s="122">
        <v>8.2</v>
      </c>
      <c r="F43" s="122">
        <f t="shared" si="31"/>
        <v>393.076923076923</v>
      </c>
      <c r="G43" s="157">
        <f>'【国内】常规用户招募-数据源 （正职）'!F43</f>
        <v>393.076923076923</v>
      </c>
      <c r="H43" s="157">
        <f t="shared" si="36"/>
        <v>0</v>
      </c>
      <c r="I43" s="121">
        <v>200</v>
      </c>
      <c r="K43" s="150">
        <f t="shared" si="1"/>
        <v>-200</v>
      </c>
      <c r="L43" s="159">
        <v>690</v>
      </c>
      <c r="M43" s="155"/>
      <c r="N43" s="121">
        <v>39</v>
      </c>
      <c r="O43" s="122">
        <f>'【国内】常规用户招募-数据源 （正职）'!M43*1.8</f>
        <v>0.54</v>
      </c>
      <c r="P43" s="121">
        <f t="shared" si="30"/>
        <v>0</v>
      </c>
      <c r="Q43" s="122">
        <f t="shared" si="20"/>
        <v>8.25333333333333</v>
      </c>
      <c r="R43" s="122">
        <v>9</v>
      </c>
      <c r="S43" s="160">
        <f t="shared" si="37"/>
        <v>404.871794871795</v>
      </c>
      <c r="T43" s="157">
        <f>'【国内】常规用户招募-数据源 （正职）'!Q43</f>
        <v>404.871794871795</v>
      </c>
      <c r="U43" s="157">
        <f t="shared" si="38"/>
        <v>0</v>
      </c>
      <c r="V43" s="121">
        <v>250</v>
      </c>
      <c r="W43" s="150">
        <f t="shared" si="4"/>
        <v>260.381328073636</v>
      </c>
      <c r="X43" s="159">
        <v>690</v>
      </c>
      <c r="Y43" s="155"/>
      <c r="Z43" s="121">
        <v>39</v>
      </c>
      <c r="AA43" s="122">
        <f>'【国内】常规用户招募-数据源 （正职）'!W43*2</f>
        <v>0.8</v>
      </c>
      <c r="AB43" s="121">
        <v>0</v>
      </c>
      <c r="AC43" s="122">
        <f t="shared" si="21"/>
        <v>11.0833333333333</v>
      </c>
      <c r="AD43" s="122">
        <f t="shared" si="42"/>
        <v>10.8</v>
      </c>
      <c r="AE43" s="121">
        <f t="shared" si="32"/>
        <v>1</v>
      </c>
      <c r="AF43" s="160">
        <f t="shared" si="22"/>
        <v>545.128205128205</v>
      </c>
      <c r="AG43" s="161">
        <f>'【国内】常规用户招募-数据源 （正职）'!AA43</f>
        <v>545.128205128205</v>
      </c>
      <c r="AH43" s="161">
        <f t="shared" si="39"/>
        <v>0</v>
      </c>
      <c r="AI43" s="121">
        <v>250</v>
      </c>
      <c r="AJ43" s="150">
        <f t="shared" si="5"/>
        <v>263.977646285339</v>
      </c>
      <c r="AK43" s="150">
        <v>700</v>
      </c>
      <c r="AL43" s="155"/>
      <c r="AM43" s="121">
        <v>39</v>
      </c>
      <c r="AN43" s="122">
        <f>'【国内】常规用户招募-数据源 （正职）'!AG43*2.2</f>
        <v>1.1</v>
      </c>
      <c r="AO43" s="121">
        <v>0</v>
      </c>
      <c r="AP43" s="122">
        <f t="shared" si="25"/>
        <v>12.2506666666667</v>
      </c>
      <c r="AQ43" s="122">
        <f t="shared" si="26"/>
        <v>11.664</v>
      </c>
      <c r="AR43" s="122">
        <f t="shared" si="33"/>
        <v>1</v>
      </c>
      <c r="AS43" s="122">
        <f t="shared" si="23"/>
        <v>633.076923076923</v>
      </c>
      <c r="AT43" s="122">
        <f>'【国内】常规用户招募-数据源 （正职）'!AK43</f>
        <v>633.076923076923</v>
      </c>
      <c r="AU43" s="122">
        <f t="shared" si="40"/>
        <v>0</v>
      </c>
      <c r="AV43" s="121">
        <v>250</v>
      </c>
      <c r="AW43" s="150">
        <f t="shared" si="6"/>
        <v>216.232741617357</v>
      </c>
      <c r="AX43" s="150">
        <v>720</v>
      </c>
      <c r="AY43" s="155"/>
      <c r="AZ43" s="121">
        <v>39</v>
      </c>
      <c r="BA43" s="122">
        <f>'【国内】常规用户招募-数据源 （正职）'!AQ43*2.3</f>
        <v>1.15</v>
      </c>
      <c r="BB43" s="121">
        <v>0</v>
      </c>
      <c r="BC43" s="122">
        <f t="shared" si="41"/>
        <v>13.2340266666667</v>
      </c>
      <c r="BD43" s="122">
        <f t="shared" si="28"/>
        <v>12.13056</v>
      </c>
      <c r="BE43" s="122">
        <f t="shared" si="34"/>
        <v>1</v>
      </c>
      <c r="BF43" s="122">
        <f t="shared" si="24"/>
        <v>674.487179487179</v>
      </c>
      <c r="BG43" s="122">
        <f>'【国内】常规用户招募-数据源 （正职）'!AU43</f>
        <v>674.487179487179</v>
      </c>
      <c r="BH43" s="160">
        <f t="shared" si="35"/>
        <v>0</v>
      </c>
      <c r="BI43" s="121">
        <v>250</v>
      </c>
      <c r="BJ43" s="150">
        <f t="shared" si="8"/>
        <v>217.294543063774</v>
      </c>
      <c r="BK43" s="122">
        <f t="shared" si="9"/>
        <v>-32.7054569362262</v>
      </c>
    </row>
    <row r="44" s="149" customFormat="1" spans="1:63">
      <c r="A44" s="167">
        <v>40</v>
      </c>
      <c r="B44" s="122">
        <f>'【国内】常规用户招募-数据源 （正职）'!B44*1.75</f>
        <v>0.525</v>
      </c>
      <c r="C44" s="121">
        <v>0</v>
      </c>
      <c r="D44" s="122">
        <f t="shared" si="19"/>
        <v>8.37708333333333</v>
      </c>
      <c r="E44" s="122">
        <v>8.4</v>
      </c>
      <c r="F44" s="122">
        <f t="shared" si="31"/>
        <v>391.75</v>
      </c>
      <c r="G44" s="157">
        <f>'【国内】常规用户招募-数据源 （正职）'!F44</f>
        <v>391.75</v>
      </c>
      <c r="H44" s="157">
        <f t="shared" si="36"/>
        <v>0</v>
      </c>
      <c r="I44" s="167">
        <v>200</v>
      </c>
      <c r="J44" s="169"/>
      <c r="K44" s="150">
        <f t="shared" si="1"/>
        <v>-200</v>
      </c>
      <c r="L44" s="170">
        <v>690</v>
      </c>
      <c r="M44" s="171"/>
      <c r="N44" s="167">
        <v>40</v>
      </c>
      <c r="O44" s="122">
        <f>'【国内】常规用户招募-数据源 （正职）'!M44*1.8</f>
        <v>0.72</v>
      </c>
      <c r="P44" s="121">
        <f t="shared" si="30"/>
        <v>0</v>
      </c>
      <c r="Q44" s="122">
        <f t="shared" si="20"/>
        <v>8.30166666666667</v>
      </c>
      <c r="R44" s="122">
        <v>9.5</v>
      </c>
      <c r="S44" s="160">
        <f t="shared" si="37"/>
        <v>426.5</v>
      </c>
      <c r="T44" s="157">
        <f>'【国内】常规用户招募-数据源 （正职）'!Q44</f>
        <v>426.5</v>
      </c>
      <c r="U44" s="157">
        <f t="shared" si="38"/>
        <v>0</v>
      </c>
      <c r="V44" s="167">
        <v>250</v>
      </c>
      <c r="W44" s="150">
        <f t="shared" si="4"/>
        <v>260.6625</v>
      </c>
      <c r="X44" s="170">
        <v>690</v>
      </c>
      <c r="Y44" s="171"/>
      <c r="Z44" s="172">
        <v>40</v>
      </c>
      <c r="AA44" s="122">
        <v>1.5</v>
      </c>
      <c r="AB44" s="121">
        <v>0</v>
      </c>
      <c r="AC44" s="122">
        <f t="shared" si="21"/>
        <v>8.08333333333333</v>
      </c>
      <c r="AD44" s="122">
        <v>11</v>
      </c>
      <c r="AE44" s="121">
        <f t="shared" si="32"/>
        <v>0</v>
      </c>
      <c r="AF44" s="173">
        <f t="shared" si="22"/>
        <v>546.25</v>
      </c>
      <c r="AG44" s="161">
        <f>'【国内】常规用户招募-数据源 （正职）'!AA44</f>
        <v>546.25</v>
      </c>
      <c r="AH44" s="161">
        <f t="shared" si="39"/>
        <v>0</v>
      </c>
      <c r="AI44" s="172">
        <v>250</v>
      </c>
      <c r="AJ44" s="174">
        <f t="shared" si="5"/>
        <v>263.65625</v>
      </c>
      <c r="AK44" s="174">
        <v>700</v>
      </c>
      <c r="AL44" s="171"/>
      <c r="AM44" s="167">
        <v>40</v>
      </c>
      <c r="AN44" s="122">
        <f>'【国内】常规用户招募-数据源 （正职）'!AG44*2.2</f>
        <v>1.32</v>
      </c>
      <c r="AO44" s="121">
        <v>0</v>
      </c>
      <c r="AP44" s="122">
        <f t="shared" si="25"/>
        <v>11.99</v>
      </c>
      <c r="AQ44" s="122">
        <f t="shared" si="26"/>
        <v>11.88</v>
      </c>
      <c r="AR44" s="122">
        <f t="shared" si="33"/>
        <v>0</v>
      </c>
      <c r="AS44" s="122">
        <f t="shared" si="23"/>
        <v>643.5</v>
      </c>
      <c r="AT44" s="122">
        <f>'【国内】常规用户招募-数据源 （正职）'!AK44</f>
        <v>643.5</v>
      </c>
      <c r="AU44" s="122">
        <f t="shared" si="40"/>
        <v>0</v>
      </c>
      <c r="AV44" s="167">
        <v>250</v>
      </c>
      <c r="AW44" s="169">
        <f t="shared" si="6"/>
        <v>216.0875</v>
      </c>
      <c r="AX44" s="169">
        <v>720</v>
      </c>
      <c r="AY44" s="171"/>
      <c r="AZ44" s="167">
        <v>40</v>
      </c>
      <c r="BA44" s="122">
        <f>'【国内】常规用户招募-数据源 （正职）'!AQ44*2.3</f>
        <v>1.38</v>
      </c>
      <c r="BB44" s="121">
        <v>0</v>
      </c>
      <c r="BC44" s="122">
        <f t="shared" si="41"/>
        <v>12.6387</v>
      </c>
      <c r="BD44" s="122">
        <f t="shared" si="28"/>
        <v>12.3552</v>
      </c>
      <c r="BE44" s="122">
        <f t="shared" si="34"/>
        <v>1</v>
      </c>
      <c r="BF44" s="122">
        <f t="shared" si="24"/>
        <v>675.375</v>
      </c>
      <c r="BG44" s="122">
        <f>'【国内】常规用户招募-数据源 （正职）'!AU44</f>
        <v>675.375</v>
      </c>
      <c r="BH44" s="160">
        <f t="shared" si="35"/>
        <v>0</v>
      </c>
      <c r="BI44" s="167">
        <v>250</v>
      </c>
      <c r="BJ44" s="169">
        <f t="shared" si="8"/>
        <v>216.884375</v>
      </c>
      <c r="BK44" s="122">
        <f t="shared" si="9"/>
        <v>-33.115625</v>
      </c>
    </row>
    <row r="45" spans="1:63">
      <c r="A45" s="121">
        <v>41</v>
      </c>
      <c r="B45" s="122">
        <f>'【国内】常规用户招募-数据源 （正职）'!B45*1.75</f>
        <v>0.525</v>
      </c>
      <c r="C45" s="121">
        <v>0</v>
      </c>
      <c r="D45" s="122">
        <f t="shared" si="19"/>
        <v>8.66041666666667</v>
      </c>
      <c r="E45" s="122">
        <v>8.6</v>
      </c>
      <c r="F45" s="122">
        <f t="shared" si="31"/>
        <v>391.951219512195</v>
      </c>
      <c r="G45" s="157">
        <f>'【国内】常规用户招募-数据源 （正职）'!F45</f>
        <v>391.951219512195</v>
      </c>
      <c r="H45" s="157">
        <f t="shared" si="36"/>
        <v>0</v>
      </c>
      <c r="I45" s="121">
        <v>200</v>
      </c>
      <c r="K45" s="150">
        <f t="shared" si="1"/>
        <v>-200</v>
      </c>
      <c r="L45" s="159">
        <v>690</v>
      </c>
      <c r="M45" s="155"/>
      <c r="N45" s="121">
        <v>41</v>
      </c>
      <c r="O45" s="122">
        <f>'【国内】常规用户招募-数据源 （正职）'!M45*1.8</f>
        <v>0.72</v>
      </c>
      <c r="P45" s="121">
        <f t="shared" ref="P45:P54" si="43">0/2</f>
        <v>0</v>
      </c>
      <c r="Q45" s="122">
        <f t="shared" si="20"/>
        <v>8.35166666666667</v>
      </c>
      <c r="R45" s="122">
        <v>9.5</v>
      </c>
      <c r="S45" s="160">
        <f t="shared" si="37"/>
        <v>417.560975609756</v>
      </c>
      <c r="T45" s="157">
        <f>'【国内】常规用户招募-数据源 （正职）'!Q45</f>
        <v>417.560975609756</v>
      </c>
      <c r="U45" s="157">
        <f t="shared" si="38"/>
        <v>0</v>
      </c>
      <c r="V45" s="121">
        <v>250</v>
      </c>
      <c r="W45" s="150">
        <f t="shared" si="4"/>
        <v>260.184414039262</v>
      </c>
      <c r="X45" s="159">
        <v>690</v>
      </c>
      <c r="Y45" s="155"/>
      <c r="Z45" s="121">
        <v>41</v>
      </c>
      <c r="AA45" s="122">
        <v>1.5</v>
      </c>
      <c r="AB45" s="121">
        <v>0</v>
      </c>
      <c r="AC45" s="122">
        <f t="shared" si="21"/>
        <v>8.775</v>
      </c>
      <c r="AD45" s="122">
        <v>11</v>
      </c>
      <c r="AE45" s="121">
        <f t="shared" si="32"/>
        <v>1</v>
      </c>
      <c r="AF45" s="160">
        <f t="shared" si="22"/>
        <v>553.170731707317</v>
      </c>
      <c r="AG45" s="161">
        <f>'【国内】常规用户招募-数据源 （正职）'!AA45</f>
        <v>553.170731707317</v>
      </c>
      <c r="AH45" s="161">
        <f t="shared" si="39"/>
        <v>0</v>
      </c>
      <c r="AI45" s="121">
        <v>250</v>
      </c>
      <c r="AJ45" s="150">
        <f t="shared" si="5"/>
        <v>263.491969066032</v>
      </c>
      <c r="AK45" s="150">
        <v>700</v>
      </c>
      <c r="AL45" s="155"/>
      <c r="AM45" s="121">
        <v>41</v>
      </c>
      <c r="AN45" s="122">
        <f>'【国内】常规用户招募-数据源 （正职）'!AG45*2.2</f>
        <v>1.32</v>
      </c>
      <c r="AO45" s="121">
        <v>0</v>
      </c>
      <c r="AP45" s="122">
        <f t="shared" si="25"/>
        <v>12.6566666666667</v>
      </c>
      <c r="AQ45" s="122">
        <f t="shared" si="26"/>
        <v>11.88</v>
      </c>
      <c r="AR45" s="122">
        <f t="shared" si="33"/>
        <v>0</v>
      </c>
      <c r="AS45" s="122">
        <f t="shared" si="23"/>
        <v>647.317073170732</v>
      </c>
      <c r="AT45" s="122">
        <f>'【国内】常规用户招募-数据源 （正职）'!AK45</f>
        <v>647.317073170732</v>
      </c>
      <c r="AU45" s="122">
        <f t="shared" si="40"/>
        <v>0</v>
      </c>
      <c r="AV45" s="121">
        <v>250</v>
      </c>
      <c r="AW45" s="150">
        <f t="shared" si="6"/>
        <v>215.788221296847</v>
      </c>
      <c r="AX45" s="150">
        <v>720</v>
      </c>
      <c r="AY45" s="155"/>
      <c r="AZ45" s="121">
        <v>41</v>
      </c>
      <c r="BA45" s="122">
        <f>'【国内】常规用户招募-数据源 （正职）'!AQ45*2.3</f>
        <v>1.38</v>
      </c>
      <c r="BB45" s="121">
        <v>0</v>
      </c>
      <c r="BC45" s="122">
        <f t="shared" si="41"/>
        <v>12.7387</v>
      </c>
      <c r="BD45" s="122">
        <f t="shared" si="28"/>
        <v>12.3552</v>
      </c>
      <c r="BE45" s="122">
        <f t="shared" si="34"/>
        <v>1</v>
      </c>
      <c r="BF45" s="122">
        <f t="shared" si="24"/>
        <v>661.829268292683</v>
      </c>
      <c r="BG45" s="122">
        <f>'【国内】常规用户招募-数据源 （正职）'!AU45</f>
        <v>661.829268292683</v>
      </c>
      <c r="BH45" s="160">
        <f t="shared" si="35"/>
        <v>0</v>
      </c>
      <c r="BI45" s="121">
        <v>250</v>
      </c>
      <c r="BJ45" s="150">
        <f t="shared" si="8"/>
        <v>216.142177275431</v>
      </c>
      <c r="BK45" s="122">
        <f t="shared" si="9"/>
        <v>-33.8578227245687</v>
      </c>
    </row>
    <row r="46" spans="1:63">
      <c r="A46" s="121">
        <v>42</v>
      </c>
      <c r="B46" s="122">
        <f>'【国内】常规用户招募-数据源 （正职）'!B46*1.75</f>
        <v>0.525</v>
      </c>
      <c r="C46" s="121">
        <v>0</v>
      </c>
      <c r="D46" s="122">
        <f t="shared" si="19"/>
        <v>9.12708333333333</v>
      </c>
      <c r="E46" s="122">
        <v>9</v>
      </c>
      <c r="F46" s="122">
        <f t="shared" si="31"/>
        <v>398.809523809524</v>
      </c>
      <c r="G46" s="157">
        <f>'【国内】常规用户招募-数据源 （正职）'!F46</f>
        <v>398.809523809524</v>
      </c>
      <c r="H46" s="157">
        <f t="shared" si="36"/>
        <v>0</v>
      </c>
      <c r="I46" s="121">
        <v>200</v>
      </c>
      <c r="K46" s="150">
        <f t="shared" si="1"/>
        <v>-200</v>
      </c>
      <c r="L46" s="159">
        <v>690</v>
      </c>
      <c r="M46" s="155"/>
      <c r="N46" s="121">
        <v>42</v>
      </c>
      <c r="O46" s="122">
        <f>'【国内】常规用户招募-数据源 （正职）'!M46*1.8</f>
        <v>0.72</v>
      </c>
      <c r="P46" s="121">
        <f t="shared" si="43"/>
        <v>0</v>
      </c>
      <c r="Q46" s="122">
        <f t="shared" si="20"/>
        <v>8.86833333333333</v>
      </c>
      <c r="R46" s="122">
        <v>9.5</v>
      </c>
      <c r="S46" s="160">
        <f t="shared" si="37"/>
        <v>422.380952380952</v>
      </c>
      <c r="T46" s="157">
        <f>'【国内】常规用户招募-数据源 （正职）'!Q46</f>
        <v>422.380952380952</v>
      </c>
      <c r="U46" s="157">
        <f t="shared" si="38"/>
        <v>0</v>
      </c>
      <c r="V46" s="121">
        <v>250</v>
      </c>
      <c r="W46" s="150">
        <f t="shared" si="4"/>
        <v>260.056689342404</v>
      </c>
      <c r="X46" s="159">
        <v>690</v>
      </c>
      <c r="Y46" s="155"/>
      <c r="Z46" s="121">
        <v>42</v>
      </c>
      <c r="AA46" s="122">
        <v>1.5</v>
      </c>
      <c r="AB46" s="121">
        <v>0</v>
      </c>
      <c r="AC46" s="122">
        <f t="shared" si="21"/>
        <v>9.03333333333333</v>
      </c>
      <c r="AD46" s="122">
        <f t="shared" si="42"/>
        <v>11.4</v>
      </c>
      <c r="AE46" s="121">
        <f t="shared" si="32"/>
        <v>1</v>
      </c>
      <c r="AF46" s="160">
        <f t="shared" si="22"/>
        <v>550.238095238095</v>
      </c>
      <c r="AG46" s="161">
        <f>'【国内】常规用户招募-数据源 （正职）'!AA46</f>
        <v>550.238095238095</v>
      </c>
      <c r="AH46" s="161">
        <f t="shared" si="39"/>
        <v>0</v>
      </c>
      <c r="AI46" s="121">
        <v>250</v>
      </c>
      <c r="AJ46" s="150">
        <f t="shared" si="5"/>
        <v>263.100907029478</v>
      </c>
      <c r="AK46" s="150">
        <v>700</v>
      </c>
      <c r="AL46" s="155"/>
      <c r="AM46" s="121">
        <v>42</v>
      </c>
      <c r="AN46" s="122">
        <f>'【国内】常规用户招募-数据源 （正职）'!AG46*2.2</f>
        <v>1.32</v>
      </c>
      <c r="AO46" s="121">
        <v>0</v>
      </c>
      <c r="AP46" s="122">
        <f t="shared" si="25"/>
        <v>12.907</v>
      </c>
      <c r="AQ46" s="122">
        <f t="shared" si="26"/>
        <v>12.312</v>
      </c>
      <c r="AR46" s="122">
        <f t="shared" si="33"/>
        <v>0</v>
      </c>
      <c r="AS46" s="122">
        <f t="shared" si="23"/>
        <v>642.142857142857</v>
      </c>
      <c r="AT46" s="122">
        <f>'【国内】常规用户招募-数据源 （正职）'!AK46</f>
        <v>642.142857142857</v>
      </c>
      <c r="AU46" s="122">
        <f t="shared" si="40"/>
        <v>0</v>
      </c>
      <c r="AV46" s="121">
        <v>250</v>
      </c>
      <c r="AW46" s="150">
        <f t="shared" si="6"/>
        <v>215.289115646258</v>
      </c>
      <c r="AX46" s="150">
        <v>720</v>
      </c>
      <c r="AY46" s="155"/>
      <c r="AZ46" s="121">
        <v>42</v>
      </c>
      <c r="BA46" s="122">
        <f>'【国内】常规用户招募-数据源 （正职）'!AQ46*2.3</f>
        <v>1.38</v>
      </c>
      <c r="BB46" s="121">
        <v>0</v>
      </c>
      <c r="BC46" s="122">
        <f t="shared" si="41"/>
        <v>13.0555466666667</v>
      </c>
      <c r="BD46" s="122">
        <f t="shared" si="28"/>
        <v>12.80448</v>
      </c>
      <c r="BE46" s="122">
        <f t="shared" si="34"/>
        <v>1</v>
      </c>
      <c r="BF46" s="122">
        <f t="shared" si="24"/>
        <v>658.333333333333</v>
      </c>
      <c r="BG46" s="122">
        <f>'【国内】常规用户招募-数据源 （正职）'!AU46</f>
        <v>658.333333333333</v>
      </c>
      <c r="BH46" s="160">
        <f t="shared" si="35"/>
        <v>0</v>
      </c>
      <c r="BI46" s="121">
        <v>250</v>
      </c>
      <c r="BJ46" s="150">
        <f t="shared" si="8"/>
        <v>215.674603174603</v>
      </c>
      <c r="BK46" s="122">
        <f t="shared" si="9"/>
        <v>-34.3253968253968</v>
      </c>
    </row>
    <row r="47" spans="1:63">
      <c r="A47" s="121">
        <v>43</v>
      </c>
      <c r="B47" s="122">
        <f>'【国内】常规用户招募-数据源 （正职）'!B47*1.75</f>
        <v>0.525</v>
      </c>
      <c r="C47" s="121">
        <v>0</v>
      </c>
      <c r="D47" s="122">
        <f t="shared" si="19"/>
        <v>9.15208333333333</v>
      </c>
      <c r="E47" s="121">
        <v>9.1</v>
      </c>
      <c r="F47" s="122">
        <f t="shared" si="31"/>
        <v>390.93023255814</v>
      </c>
      <c r="G47" s="157">
        <f>'【国内】常规用户招募-数据源 （正职）'!F47</f>
        <v>390.93023255814</v>
      </c>
      <c r="H47" s="157">
        <f t="shared" si="36"/>
        <v>0</v>
      </c>
      <c r="I47" s="121">
        <v>200</v>
      </c>
      <c r="K47" s="150">
        <f t="shared" si="1"/>
        <v>-200</v>
      </c>
      <c r="L47" s="159">
        <v>690</v>
      </c>
      <c r="M47" s="155"/>
      <c r="N47" s="121">
        <v>43</v>
      </c>
      <c r="O47" s="122">
        <f>'【国内】常规用户招募-数据源 （正职）'!M47*1.8</f>
        <v>0.72</v>
      </c>
      <c r="P47" s="121">
        <f t="shared" si="43"/>
        <v>0</v>
      </c>
      <c r="Q47" s="122">
        <f t="shared" si="20"/>
        <v>8.94333333333333</v>
      </c>
      <c r="R47" s="122">
        <v>9.6</v>
      </c>
      <c r="S47" s="160">
        <f t="shared" si="37"/>
        <v>415.348837209302</v>
      </c>
      <c r="T47" s="157">
        <f>'【国内】常规用户招募-数据源 （正职）'!Q47</f>
        <v>415.348837209302</v>
      </c>
      <c r="U47" s="157">
        <f t="shared" si="38"/>
        <v>0</v>
      </c>
      <c r="V47" s="121">
        <v>250</v>
      </c>
      <c r="W47" s="150">
        <f t="shared" si="4"/>
        <v>259.659275283937</v>
      </c>
      <c r="X47" s="159">
        <v>690</v>
      </c>
      <c r="Y47" s="155"/>
      <c r="Z47" s="121">
        <v>43</v>
      </c>
      <c r="AA47" s="122">
        <f>'【国内】常规用户招募-数据源 （正职）'!W47*2</f>
        <v>1.2</v>
      </c>
      <c r="AB47" s="121">
        <v>0</v>
      </c>
      <c r="AC47" s="122">
        <f t="shared" si="21"/>
        <v>10.9866666666667</v>
      </c>
      <c r="AD47" s="122">
        <f t="shared" si="42"/>
        <v>11.52</v>
      </c>
      <c r="AE47" s="121">
        <f t="shared" si="32"/>
        <v>1</v>
      </c>
      <c r="AF47" s="160">
        <f t="shared" si="22"/>
        <v>551.627906976744</v>
      </c>
      <c r="AG47" s="161">
        <f>'【国内】常规用户招募-数据源 （正职）'!AA47</f>
        <v>551.627906976744</v>
      </c>
      <c r="AH47" s="161">
        <f t="shared" si="39"/>
        <v>0</v>
      </c>
      <c r="AI47" s="121">
        <v>250</v>
      </c>
      <c r="AJ47" s="150">
        <f t="shared" si="5"/>
        <v>262.828555976203</v>
      </c>
      <c r="AK47" s="150">
        <v>700</v>
      </c>
      <c r="AL47" s="155"/>
      <c r="AM47" s="121">
        <v>43</v>
      </c>
      <c r="AN47" s="122">
        <f>'【国内】常规用户招募-数据源 （正职）'!AG47*2.2</f>
        <v>1.32</v>
      </c>
      <c r="AO47" s="121">
        <v>0</v>
      </c>
      <c r="AP47" s="122">
        <f t="shared" si="25"/>
        <v>13.3829333333333</v>
      </c>
      <c r="AQ47" s="122">
        <f t="shared" si="26"/>
        <v>12.4416</v>
      </c>
      <c r="AR47" s="122">
        <f t="shared" si="33"/>
        <v>1</v>
      </c>
      <c r="AS47" s="122">
        <f t="shared" si="23"/>
        <v>641.395348837209</v>
      </c>
      <c r="AT47" s="122">
        <f>'【国内】常规用户招募-数据源 （正职）'!AK47</f>
        <v>641.395348837209</v>
      </c>
      <c r="AU47" s="122">
        <f t="shared" si="40"/>
        <v>0</v>
      </c>
      <c r="AV47" s="121">
        <v>250</v>
      </c>
      <c r="AW47" s="150">
        <f t="shared" si="6"/>
        <v>214.916170903191</v>
      </c>
      <c r="AX47" s="150">
        <v>720</v>
      </c>
      <c r="AY47" s="155"/>
      <c r="AZ47" s="121">
        <v>43</v>
      </c>
      <c r="BA47" s="122">
        <f>'【国内】常规用户招募-数据源 （正职）'!AQ47*2.3</f>
        <v>1.38</v>
      </c>
      <c r="BB47" s="121">
        <v>0</v>
      </c>
      <c r="BC47" s="122">
        <f t="shared" si="41"/>
        <v>13.6010173333333</v>
      </c>
      <c r="BD47" s="122">
        <f t="shared" si="28"/>
        <v>12.939264</v>
      </c>
      <c r="BE47" s="122">
        <f t="shared" si="34"/>
        <v>1</v>
      </c>
      <c r="BF47" s="122">
        <f t="shared" si="24"/>
        <v>659.186046511628</v>
      </c>
      <c r="BG47" s="122">
        <f>'【国内】常规用户招募-数据源 （正职）'!AU47</f>
        <v>659.186046511628</v>
      </c>
      <c r="BH47" s="160">
        <f t="shared" si="35"/>
        <v>0</v>
      </c>
      <c r="BI47" s="121">
        <v>250</v>
      </c>
      <c r="BJ47" s="150">
        <f t="shared" si="8"/>
        <v>215.32990805841</v>
      </c>
      <c r="BK47" s="122">
        <f t="shared" si="9"/>
        <v>-34.67009194159</v>
      </c>
    </row>
    <row r="48" spans="1:63">
      <c r="A48" s="121">
        <v>44</v>
      </c>
      <c r="B48" s="122">
        <f>'【国内】常规用户招募-数据源 （正职）'!B48*1.75</f>
        <v>0.525</v>
      </c>
      <c r="C48" s="121">
        <v>0</v>
      </c>
      <c r="D48" s="122">
        <f t="shared" si="19"/>
        <v>9.38541666666667</v>
      </c>
      <c r="E48" s="121">
        <v>9.3</v>
      </c>
      <c r="F48" s="122">
        <f t="shared" si="31"/>
        <v>389.772727272727</v>
      </c>
      <c r="G48" s="157">
        <f>'【国内】常规用户招募-数据源 （正职）'!F48</f>
        <v>389.772727272727</v>
      </c>
      <c r="H48" s="157">
        <f t="shared" si="36"/>
        <v>0</v>
      </c>
      <c r="I48" s="121">
        <v>200</v>
      </c>
      <c r="K48" s="150">
        <f t="shared" si="1"/>
        <v>-200</v>
      </c>
      <c r="L48" s="159">
        <v>690</v>
      </c>
      <c r="M48" s="155"/>
      <c r="N48" s="121">
        <v>44</v>
      </c>
      <c r="O48" s="122">
        <f>'【国内】常规用户招募-数据源 （正职）'!M48*1.8</f>
        <v>0.72</v>
      </c>
      <c r="P48" s="121">
        <f t="shared" si="43"/>
        <v>0</v>
      </c>
      <c r="Q48" s="122">
        <f t="shared" si="20"/>
        <v>9.12666666666667</v>
      </c>
      <c r="R48" s="122">
        <v>10</v>
      </c>
      <c r="S48" s="160">
        <f t="shared" si="37"/>
        <v>413.636363636364</v>
      </c>
      <c r="T48" s="157">
        <f>'【国内】常规用户招募-数据源 （正职）'!Q48</f>
        <v>413.636363636364</v>
      </c>
      <c r="U48" s="157">
        <f t="shared" si="38"/>
        <v>0</v>
      </c>
      <c r="V48" s="121">
        <v>250</v>
      </c>
      <c r="W48" s="150">
        <f t="shared" si="4"/>
        <v>259.400826446281</v>
      </c>
      <c r="X48" s="159">
        <v>690</v>
      </c>
      <c r="Y48" s="155"/>
      <c r="Z48" s="121">
        <v>44</v>
      </c>
      <c r="AA48" s="122">
        <f>'【国内】常规用户招募-数据源 （正职）'!W48*2</f>
        <v>1.2</v>
      </c>
      <c r="AB48" s="121">
        <v>0</v>
      </c>
      <c r="AC48" s="122">
        <f t="shared" si="21"/>
        <v>11.275</v>
      </c>
      <c r="AD48" s="122">
        <f t="shared" si="42"/>
        <v>12</v>
      </c>
      <c r="AE48" s="121">
        <f t="shared" si="32"/>
        <v>1</v>
      </c>
      <c r="AF48" s="160">
        <f t="shared" si="22"/>
        <v>550.227272727273</v>
      </c>
      <c r="AG48" s="161">
        <f>'【国内】常规用户招募-数据源 （正职）'!AA48</f>
        <v>550.227272727273</v>
      </c>
      <c r="AH48" s="161">
        <f t="shared" si="39"/>
        <v>0</v>
      </c>
      <c r="AI48" s="121">
        <v>250</v>
      </c>
      <c r="AJ48" s="150">
        <f t="shared" si="5"/>
        <v>262.505165289256</v>
      </c>
      <c r="AK48" s="150">
        <v>700</v>
      </c>
      <c r="AL48" s="155"/>
      <c r="AM48" s="121">
        <v>44</v>
      </c>
      <c r="AN48" s="122">
        <f>'【国内】常规用户招募-数据源 （正职）'!AG48*2.2</f>
        <v>1.54</v>
      </c>
      <c r="AO48" s="121">
        <v>0</v>
      </c>
      <c r="AP48" s="122">
        <f t="shared" si="25"/>
        <v>13.0716666666667</v>
      </c>
      <c r="AQ48" s="122">
        <f t="shared" si="26"/>
        <v>12.96</v>
      </c>
      <c r="AR48" s="122">
        <f t="shared" si="33"/>
        <v>1</v>
      </c>
      <c r="AS48" s="122">
        <f t="shared" si="23"/>
        <v>651.363636363636</v>
      </c>
      <c r="AT48" s="122">
        <f>'【国内】常规用户招募-数据源 （正职）'!AK48</f>
        <v>651.363636363636</v>
      </c>
      <c r="AU48" s="122">
        <f t="shared" si="40"/>
        <v>0</v>
      </c>
      <c r="AV48" s="121">
        <v>250</v>
      </c>
      <c r="AW48" s="150">
        <f t="shared" si="6"/>
        <v>214.803719008264</v>
      </c>
      <c r="AX48" s="150">
        <v>720</v>
      </c>
      <c r="AY48" s="155"/>
      <c r="AZ48" s="121">
        <v>44</v>
      </c>
      <c r="BA48" s="122">
        <f>'【国内】常规用户招募-数据源 （正职）'!AQ48*2.3</f>
        <v>1.61</v>
      </c>
      <c r="BB48" s="121">
        <v>0</v>
      </c>
      <c r="BC48" s="122">
        <f t="shared" si="41"/>
        <v>13.3062333333333</v>
      </c>
      <c r="BD48" s="122">
        <f t="shared" si="28"/>
        <v>13.4784</v>
      </c>
      <c r="BE48" s="122">
        <f t="shared" si="34"/>
        <v>1</v>
      </c>
      <c r="BF48" s="122">
        <f t="shared" si="24"/>
        <v>670.681818181818</v>
      </c>
      <c r="BG48" s="122">
        <f>'【国内】常规用户招募-数据源 （正职）'!AU48</f>
        <v>670.681818181818</v>
      </c>
      <c r="BH48" s="160">
        <f t="shared" si="35"/>
        <v>0</v>
      </c>
      <c r="BI48" s="121">
        <v>250</v>
      </c>
      <c r="BJ48" s="150">
        <f t="shared" si="8"/>
        <v>215.242768595041</v>
      </c>
      <c r="BK48" s="122">
        <f t="shared" si="9"/>
        <v>-34.7572314049587</v>
      </c>
    </row>
    <row r="49" s="148" customFormat="1" spans="1:63">
      <c r="A49" s="121">
        <v>45</v>
      </c>
      <c r="B49" s="122">
        <f>'【国内】常规用户招募-数据源 （正职）'!B49*1.75</f>
        <v>0.525</v>
      </c>
      <c r="C49" s="121">
        <v>0</v>
      </c>
      <c r="D49" s="122">
        <f t="shared" si="19"/>
        <v>9.66875</v>
      </c>
      <c r="E49" s="121">
        <v>9.5</v>
      </c>
      <c r="F49" s="122">
        <f t="shared" si="31"/>
        <v>390</v>
      </c>
      <c r="G49" s="157">
        <f>'【国内】常规用户招募-数据源 （正职）'!F49</f>
        <v>390</v>
      </c>
      <c r="H49" s="157">
        <f t="shared" si="36"/>
        <v>0</v>
      </c>
      <c r="I49" s="121">
        <v>200</v>
      </c>
      <c r="J49" s="150"/>
      <c r="K49" s="150">
        <f t="shared" si="1"/>
        <v>-200</v>
      </c>
      <c r="L49" s="159">
        <v>690</v>
      </c>
      <c r="M49" s="155"/>
      <c r="N49" s="121">
        <v>45</v>
      </c>
      <c r="O49" s="122">
        <f>'【国内】常规用户招募-数据源 （正职）'!M49*1.8</f>
        <v>0.72</v>
      </c>
      <c r="P49" s="121">
        <f t="shared" si="43"/>
        <v>0</v>
      </c>
      <c r="Q49" s="122">
        <f t="shared" si="20"/>
        <v>9.485</v>
      </c>
      <c r="R49" s="122">
        <v>10</v>
      </c>
      <c r="S49" s="160">
        <f t="shared" si="37"/>
        <v>414</v>
      </c>
      <c r="T49" s="157">
        <f>'【国内】常规用户招募-数据源 （正职）'!Q49</f>
        <v>414</v>
      </c>
      <c r="U49" s="157">
        <f t="shared" si="38"/>
        <v>0</v>
      </c>
      <c r="V49" s="121">
        <v>250</v>
      </c>
      <c r="W49" s="150">
        <f t="shared" si="4"/>
        <v>259.2</v>
      </c>
      <c r="X49" s="159">
        <v>690</v>
      </c>
      <c r="Y49" s="155"/>
      <c r="Z49" s="121">
        <v>45</v>
      </c>
      <c r="AA49" s="122">
        <f>'【国内】常规用户招募-数据源 （正职）'!W49*2</f>
        <v>1.2</v>
      </c>
      <c r="AB49" s="121">
        <v>0</v>
      </c>
      <c r="AC49" s="122">
        <f t="shared" si="21"/>
        <v>11.4833333333333</v>
      </c>
      <c r="AD49" s="122">
        <f t="shared" si="42"/>
        <v>12</v>
      </c>
      <c r="AE49" s="121">
        <f t="shared" si="32"/>
        <v>1</v>
      </c>
      <c r="AF49" s="160">
        <f t="shared" si="22"/>
        <v>543.555555555556</v>
      </c>
      <c r="AG49" s="161">
        <f>'【国内】常规用户招募-数据源 （正职）'!AA49</f>
        <v>543.555555555556</v>
      </c>
      <c r="AH49" s="161">
        <f t="shared" si="39"/>
        <v>0</v>
      </c>
      <c r="AI49" s="121">
        <v>250</v>
      </c>
      <c r="AJ49" s="150">
        <f t="shared" si="5"/>
        <v>262.079012345679</v>
      </c>
      <c r="AK49" s="150">
        <v>700</v>
      </c>
      <c r="AL49" s="155"/>
      <c r="AM49" s="121">
        <v>45</v>
      </c>
      <c r="AN49" s="122">
        <f>'【国内】常规用户招募-数据源 （正职）'!AG49*2.2</f>
        <v>1.76</v>
      </c>
      <c r="AO49" s="121">
        <v>0</v>
      </c>
      <c r="AP49" s="122">
        <f t="shared" si="25"/>
        <v>12.4316666666667</v>
      </c>
      <c r="AQ49" s="122">
        <f t="shared" si="26"/>
        <v>12.96</v>
      </c>
      <c r="AR49" s="122">
        <f t="shared" si="33"/>
        <v>1</v>
      </c>
      <c r="AS49" s="122">
        <f t="shared" si="23"/>
        <v>648.666666666667</v>
      </c>
      <c r="AT49" s="122">
        <f>'【国内】常规用户招募-数据源 （正职）'!AK49</f>
        <v>648.666666666667</v>
      </c>
      <c r="AU49" s="122">
        <f t="shared" si="40"/>
        <v>0</v>
      </c>
      <c r="AV49" s="121">
        <v>250</v>
      </c>
      <c r="AW49" s="150">
        <f t="shared" si="6"/>
        <v>214.414814814815</v>
      </c>
      <c r="AX49" s="150">
        <v>720</v>
      </c>
      <c r="AY49" s="155"/>
      <c r="AZ49" s="121">
        <v>45</v>
      </c>
      <c r="BA49" s="122">
        <f>'【国内】常规用户招募-数据源 （正职）'!AQ49*2.3</f>
        <v>1.84</v>
      </c>
      <c r="BB49" s="121">
        <v>0</v>
      </c>
      <c r="BC49" s="122">
        <f t="shared" si="41"/>
        <v>12.9712333333333</v>
      </c>
      <c r="BD49" s="122">
        <f t="shared" si="28"/>
        <v>13.4784</v>
      </c>
      <c r="BE49" s="122">
        <f t="shared" si="34"/>
        <v>1</v>
      </c>
      <c r="BF49" s="122">
        <f t="shared" si="24"/>
        <v>677</v>
      </c>
      <c r="BG49" s="122">
        <f>'【国内】常规用户招募-数据源 （正职）'!AU49</f>
        <v>677</v>
      </c>
      <c r="BH49" s="160">
        <f t="shared" si="35"/>
        <v>0</v>
      </c>
      <c r="BI49" s="121">
        <v>250</v>
      </c>
      <c r="BJ49" s="150">
        <f t="shared" si="8"/>
        <v>215.044444444444</v>
      </c>
      <c r="BK49" s="122">
        <f t="shared" si="9"/>
        <v>-34.9555555555555</v>
      </c>
    </row>
    <row r="50" spans="1:63">
      <c r="A50" s="121">
        <v>46</v>
      </c>
      <c r="B50" s="122">
        <f>'【国内】常规用户招募-数据源 （正职）'!B50*1.75</f>
        <v>0.525</v>
      </c>
      <c r="C50" s="121">
        <v>0</v>
      </c>
      <c r="D50" s="122">
        <f t="shared" si="19"/>
        <v>9.66875</v>
      </c>
      <c r="E50" s="121">
        <v>9.5</v>
      </c>
      <c r="F50" s="122">
        <f t="shared" si="31"/>
        <v>381.521739130435</v>
      </c>
      <c r="G50" s="157">
        <f>'【国内】常规用户招募-数据源 （正职）'!F50</f>
        <v>381.521739130435</v>
      </c>
      <c r="H50" s="157">
        <f t="shared" si="36"/>
        <v>0</v>
      </c>
      <c r="I50" s="121">
        <v>200</v>
      </c>
      <c r="K50" s="150">
        <f t="shared" si="1"/>
        <v>-200</v>
      </c>
      <c r="L50" s="159">
        <v>690</v>
      </c>
      <c r="M50" s="155"/>
      <c r="N50" s="121">
        <v>46</v>
      </c>
      <c r="O50" s="122">
        <f>'【国内】常规用户招募-数据源 （正职）'!M50*1.8</f>
        <v>0.72</v>
      </c>
      <c r="P50" s="121">
        <f t="shared" si="43"/>
        <v>0</v>
      </c>
      <c r="Q50" s="122">
        <f t="shared" si="20"/>
        <v>9.485</v>
      </c>
      <c r="R50" s="122">
        <v>10</v>
      </c>
      <c r="S50" s="160">
        <f t="shared" si="37"/>
        <v>405</v>
      </c>
      <c r="T50" s="157">
        <f>'【国内】常规用户招募-数据源 （正职）'!Q50</f>
        <v>405</v>
      </c>
      <c r="U50" s="157">
        <f t="shared" si="38"/>
        <v>0</v>
      </c>
      <c r="V50" s="121">
        <v>250</v>
      </c>
      <c r="W50" s="150">
        <f t="shared" si="4"/>
        <v>258.804347826087</v>
      </c>
      <c r="X50" s="159">
        <v>690</v>
      </c>
      <c r="Y50" s="155"/>
      <c r="Z50" s="121">
        <v>46</v>
      </c>
      <c r="AA50" s="122">
        <f>'【国内】常规用户招募-数据源 （正职）'!W50*2</f>
        <v>1.2</v>
      </c>
      <c r="AB50" s="121">
        <v>0</v>
      </c>
      <c r="AC50" s="122">
        <f t="shared" si="21"/>
        <v>11.7666666666667</v>
      </c>
      <c r="AD50" s="122">
        <f t="shared" si="42"/>
        <v>12</v>
      </c>
      <c r="AE50" s="121">
        <f t="shared" si="32"/>
        <v>1</v>
      </c>
      <c r="AF50" s="160">
        <f t="shared" si="22"/>
        <v>539.130434782609</v>
      </c>
      <c r="AG50" s="161">
        <f>'【国内】常规用户招募-数据源 （正职）'!AA50</f>
        <v>539.130434782609</v>
      </c>
      <c r="AH50" s="161">
        <f t="shared" si="39"/>
        <v>0</v>
      </c>
      <c r="AI50" s="121">
        <v>250</v>
      </c>
      <c r="AJ50" s="150">
        <f t="shared" si="5"/>
        <v>261.7202268431</v>
      </c>
      <c r="AK50" s="150">
        <v>700</v>
      </c>
      <c r="AL50" s="155"/>
      <c r="AM50" s="121">
        <v>46</v>
      </c>
      <c r="AN50" s="122">
        <v>1.9</v>
      </c>
      <c r="AO50" s="121">
        <v>0</v>
      </c>
      <c r="AP50" s="122">
        <f t="shared" si="25"/>
        <v>12.0266666666667</v>
      </c>
      <c r="AQ50" s="122">
        <f t="shared" si="26"/>
        <v>12.96</v>
      </c>
      <c r="AR50" s="122">
        <f t="shared" si="33"/>
        <v>1</v>
      </c>
      <c r="AS50" s="122">
        <f t="shared" si="23"/>
        <v>641.95652173913</v>
      </c>
      <c r="AT50" s="122">
        <f>'【国内】常规用户招募-数据源 （正职）'!AK50</f>
        <v>641.95652173913</v>
      </c>
      <c r="AU50" s="122">
        <f t="shared" si="40"/>
        <v>0</v>
      </c>
      <c r="AV50" s="121">
        <v>250</v>
      </c>
      <c r="AW50" s="150">
        <f t="shared" si="6"/>
        <v>213.955576559546</v>
      </c>
      <c r="AX50" s="150">
        <v>720</v>
      </c>
      <c r="AY50" s="155"/>
      <c r="AZ50" s="121">
        <v>46</v>
      </c>
      <c r="BA50" s="122">
        <f>'【国内】常规用户招募-数据源 （正职）'!AQ50*2.3</f>
        <v>1.84</v>
      </c>
      <c r="BB50" s="121">
        <v>0</v>
      </c>
      <c r="BC50" s="122">
        <f t="shared" si="41"/>
        <v>13.3254</v>
      </c>
      <c r="BD50" s="122">
        <f t="shared" si="28"/>
        <v>13.4784</v>
      </c>
      <c r="BE50" s="122">
        <f t="shared" si="34"/>
        <v>0</v>
      </c>
      <c r="BF50" s="122">
        <f t="shared" si="24"/>
        <v>671.521739130435</v>
      </c>
      <c r="BG50" s="122">
        <f>'【国内】常规用户招募-数据源 （正职）'!AU50</f>
        <v>671.521739130435</v>
      </c>
      <c r="BH50" s="160">
        <f t="shared" si="35"/>
        <v>0</v>
      </c>
      <c r="BI50" s="121">
        <v>250</v>
      </c>
      <c r="BJ50" s="150">
        <f t="shared" si="8"/>
        <v>214.598298676749</v>
      </c>
      <c r="BK50" s="122">
        <f t="shared" si="9"/>
        <v>-35.4017013232514</v>
      </c>
    </row>
    <row r="51" spans="1:63">
      <c r="A51" s="121">
        <v>47</v>
      </c>
      <c r="B51" s="122">
        <f>'【国内】常规用户招募-数据源 （正职）'!B51*1.75</f>
        <v>0.525</v>
      </c>
      <c r="C51" s="121">
        <v>0</v>
      </c>
      <c r="D51" s="122">
        <f t="shared" si="19"/>
        <v>9.71875</v>
      </c>
      <c r="E51" s="121">
        <v>9.5</v>
      </c>
      <c r="F51" s="122">
        <f t="shared" si="31"/>
        <v>374.68085106383</v>
      </c>
      <c r="G51" s="157">
        <f>'【国内】常规用户招募-数据源 （正职）'!F51</f>
        <v>374.68085106383</v>
      </c>
      <c r="H51" s="157">
        <f t="shared" si="36"/>
        <v>0</v>
      </c>
      <c r="I51" s="121">
        <v>200</v>
      </c>
      <c r="K51" s="150">
        <f t="shared" si="1"/>
        <v>-200</v>
      </c>
      <c r="L51" s="159">
        <v>690</v>
      </c>
      <c r="M51" s="155"/>
      <c r="N51" s="121">
        <v>47</v>
      </c>
      <c r="O51" s="122">
        <f>'【国内】常规用户招募-数据源 （正职）'!M51*1.8</f>
        <v>0.72</v>
      </c>
      <c r="P51" s="121">
        <f t="shared" si="43"/>
        <v>0</v>
      </c>
      <c r="Q51" s="122">
        <f t="shared" si="20"/>
        <v>9.535</v>
      </c>
      <c r="R51" s="122">
        <v>10</v>
      </c>
      <c r="S51" s="160">
        <f t="shared" si="37"/>
        <v>397.659574468085</v>
      </c>
      <c r="T51" s="157">
        <f>'【国内】常规用户招募-数据源 （正职）'!Q51</f>
        <v>397.659574468085</v>
      </c>
      <c r="U51" s="157">
        <f t="shared" si="38"/>
        <v>0</v>
      </c>
      <c r="V51" s="121">
        <v>250</v>
      </c>
      <c r="W51" s="150">
        <f t="shared" si="4"/>
        <v>258.460842009959</v>
      </c>
      <c r="X51" s="159">
        <v>690</v>
      </c>
      <c r="Y51" s="155"/>
      <c r="Z51" s="121">
        <v>47</v>
      </c>
      <c r="AA51" s="122">
        <f>'【国内】常规用户招募-数据源 （正职）'!W51*2</f>
        <v>1.4</v>
      </c>
      <c r="AB51" s="121">
        <v>0</v>
      </c>
      <c r="AC51" s="122">
        <f t="shared" si="21"/>
        <v>11.6333333333333</v>
      </c>
      <c r="AD51" s="122">
        <f t="shared" si="42"/>
        <v>12</v>
      </c>
      <c r="AE51" s="121">
        <f t="shared" si="32"/>
        <v>1</v>
      </c>
      <c r="AF51" s="160">
        <f t="shared" si="22"/>
        <v>549.36170212766</v>
      </c>
      <c r="AG51" s="161">
        <f>'【国内】常规用户招募-数据源 （正职）'!AA51</f>
        <v>549.36170212766</v>
      </c>
      <c r="AH51" s="161">
        <f t="shared" si="39"/>
        <v>0</v>
      </c>
      <c r="AI51" s="121">
        <v>250</v>
      </c>
      <c r="AJ51" s="150">
        <f t="shared" si="5"/>
        <v>261.68854685378</v>
      </c>
      <c r="AK51" s="150">
        <v>700</v>
      </c>
      <c r="AL51" s="155"/>
      <c r="AM51" s="121">
        <v>47</v>
      </c>
      <c r="AN51" s="122">
        <f>'【国内】常规用户招募-数据源 （正职）'!AG51*2.2</f>
        <v>1.76</v>
      </c>
      <c r="AO51" s="121">
        <v>0</v>
      </c>
      <c r="AP51" s="122">
        <f t="shared" si="25"/>
        <v>13.3566666666667</v>
      </c>
      <c r="AQ51" s="122">
        <f t="shared" si="26"/>
        <v>12.96</v>
      </c>
      <c r="AR51" s="122">
        <f t="shared" si="33"/>
        <v>1</v>
      </c>
      <c r="AS51" s="122">
        <f t="shared" si="23"/>
        <v>644.68085106383</v>
      </c>
      <c r="AT51" s="122">
        <f>'【国内】常规用户招募-数据源 （正职）'!AK51</f>
        <v>644.68085106383</v>
      </c>
      <c r="AU51" s="122">
        <f t="shared" si="40"/>
        <v>0</v>
      </c>
      <c r="AV51" s="121">
        <v>250</v>
      </c>
      <c r="AW51" s="150">
        <f t="shared" si="6"/>
        <v>213.716613852422</v>
      </c>
      <c r="AX51" s="150">
        <v>720</v>
      </c>
      <c r="AY51" s="155"/>
      <c r="AZ51" s="121">
        <v>47</v>
      </c>
      <c r="BA51" s="122">
        <f>'【国内】常规用户招募-数据源 （正职）'!AQ51*2.3</f>
        <v>1.84</v>
      </c>
      <c r="BB51" s="121">
        <v>0</v>
      </c>
      <c r="BC51" s="122">
        <f t="shared" si="41"/>
        <v>13.7545666666667</v>
      </c>
      <c r="BD51" s="122">
        <f t="shared" si="28"/>
        <v>13.4784</v>
      </c>
      <c r="BE51" s="122">
        <f t="shared" si="34"/>
        <v>1</v>
      </c>
      <c r="BF51" s="122">
        <f t="shared" si="24"/>
        <v>668.191489361702</v>
      </c>
      <c r="BG51" s="122">
        <f>'【国内】常规用户招募-数据源 （正职）'!AU51</f>
        <v>668.191489361702</v>
      </c>
      <c r="BH51" s="160">
        <f t="shared" si="35"/>
        <v>0</v>
      </c>
      <c r="BI51" s="121">
        <v>250</v>
      </c>
      <c r="BJ51" s="150">
        <f t="shared" si="8"/>
        <v>214.216840199185</v>
      </c>
      <c r="BK51" s="122">
        <f t="shared" si="9"/>
        <v>-35.7831598008149</v>
      </c>
    </row>
    <row r="52" spans="1:63">
      <c r="A52" s="121">
        <v>48</v>
      </c>
      <c r="B52" s="122">
        <f>'【国内】常规用户招募-数据源 （正职）'!B52*1.75</f>
        <v>0.525</v>
      </c>
      <c r="C52" s="121">
        <v>0</v>
      </c>
      <c r="D52" s="122">
        <f t="shared" si="19"/>
        <v>9.71875</v>
      </c>
      <c r="E52" s="121">
        <v>9.5</v>
      </c>
      <c r="F52" s="122">
        <f t="shared" si="31"/>
        <v>366.875</v>
      </c>
      <c r="G52" s="157">
        <f>'【国内】常规用户招募-数据源 （正职）'!F52</f>
        <v>366.875</v>
      </c>
      <c r="H52" s="157">
        <f t="shared" si="36"/>
        <v>0</v>
      </c>
      <c r="I52" s="121">
        <v>200</v>
      </c>
      <c r="K52" s="150">
        <f t="shared" si="1"/>
        <v>-200</v>
      </c>
      <c r="L52" s="159">
        <v>690</v>
      </c>
      <c r="M52" s="155"/>
      <c r="N52" s="121">
        <v>48</v>
      </c>
      <c r="O52" s="122">
        <f>'【国内】常规用户招募-数据源 （正职）'!M52*1.8</f>
        <v>0.72</v>
      </c>
      <c r="P52" s="121">
        <f t="shared" si="43"/>
        <v>0</v>
      </c>
      <c r="Q52" s="122">
        <f t="shared" si="20"/>
        <v>9.535</v>
      </c>
      <c r="R52" s="122">
        <v>10</v>
      </c>
      <c r="S52" s="160">
        <f t="shared" si="37"/>
        <v>389.375</v>
      </c>
      <c r="T52" s="157">
        <f>'【国内】常规用户招募-数据源 （正职）'!Q52</f>
        <v>389.375</v>
      </c>
      <c r="U52" s="157">
        <f t="shared" si="38"/>
        <v>0</v>
      </c>
      <c r="V52" s="121">
        <v>250</v>
      </c>
      <c r="W52" s="150">
        <f t="shared" si="4"/>
        <v>258.111979166667</v>
      </c>
      <c r="X52" s="159">
        <v>690</v>
      </c>
      <c r="Y52" s="155"/>
      <c r="Z52" s="121">
        <v>48</v>
      </c>
      <c r="AA52" s="122">
        <f>'【国内】常规用户招募-数据源 （正职）'!W52*2</f>
        <v>1.4</v>
      </c>
      <c r="AB52" s="121">
        <v>0</v>
      </c>
      <c r="AC52" s="122">
        <f t="shared" si="21"/>
        <v>11.9166666666667</v>
      </c>
      <c r="AD52" s="122">
        <f t="shared" si="42"/>
        <v>12</v>
      </c>
      <c r="AE52" s="121">
        <f t="shared" si="32"/>
        <v>1</v>
      </c>
      <c r="AF52" s="160">
        <f t="shared" si="22"/>
        <v>545</v>
      </c>
      <c r="AG52" s="161">
        <f>'【国内】常规用户招募-数据源 （正职）'!AA52</f>
        <v>545</v>
      </c>
      <c r="AH52" s="161">
        <f t="shared" si="39"/>
        <v>0</v>
      </c>
      <c r="AI52" s="121">
        <v>250</v>
      </c>
      <c r="AJ52" s="150">
        <f t="shared" si="5"/>
        <v>261.354166666667</v>
      </c>
      <c r="AK52" s="150">
        <v>700</v>
      </c>
      <c r="AL52" s="155"/>
      <c r="AM52" s="121">
        <v>48</v>
      </c>
      <c r="AN52" s="122">
        <f>'【国内】常规用户招募-数据源 （正职）'!AG52*2.2</f>
        <v>1.76</v>
      </c>
      <c r="AO52" s="121">
        <v>0</v>
      </c>
      <c r="AP52" s="122">
        <f t="shared" si="25"/>
        <v>13.64</v>
      </c>
      <c r="AQ52" s="122">
        <f t="shared" si="26"/>
        <v>12.96</v>
      </c>
      <c r="AR52" s="122">
        <f t="shared" si="33"/>
        <v>1</v>
      </c>
      <c r="AS52" s="122">
        <f t="shared" si="23"/>
        <v>638.333333333333</v>
      </c>
      <c r="AT52" s="122">
        <f>'【国内】常规用户招募-数据源 （正职）'!AK52</f>
        <v>638.333333333333</v>
      </c>
      <c r="AU52" s="122">
        <f t="shared" si="40"/>
        <v>0</v>
      </c>
      <c r="AV52" s="121">
        <v>250</v>
      </c>
      <c r="AW52" s="150">
        <f t="shared" si="6"/>
        <v>213.298611111111</v>
      </c>
      <c r="AX52" s="150">
        <v>720</v>
      </c>
      <c r="AY52" s="155"/>
      <c r="AZ52" s="121">
        <v>48</v>
      </c>
      <c r="BA52" s="122">
        <f>'【国内】常规用户招募-数据源 （正职）'!AQ52*2.3</f>
        <v>2.07</v>
      </c>
      <c r="BB52" s="121">
        <v>0</v>
      </c>
      <c r="BC52" s="122">
        <f t="shared" si="41"/>
        <v>13.4695666666667</v>
      </c>
      <c r="BD52" s="122">
        <f t="shared" si="28"/>
        <v>13.4784</v>
      </c>
      <c r="BE52" s="122">
        <f t="shared" si="34"/>
        <v>0</v>
      </c>
      <c r="BF52" s="122">
        <f t="shared" si="24"/>
        <v>675.416666666667</v>
      </c>
      <c r="BG52" s="122">
        <f>'【国内】常规用户招募-数据源 （正职）'!AU52</f>
        <v>675.416666666667</v>
      </c>
      <c r="BH52" s="160">
        <f t="shared" si="35"/>
        <v>0</v>
      </c>
      <c r="BI52" s="121">
        <v>250</v>
      </c>
      <c r="BJ52" s="150">
        <f t="shared" si="8"/>
        <v>214.071180555556</v>
      </c>
      <c r="BK52" s="122">
        <f t="shared" si="9"/>
        <v>-35.9288194444445</v>
      </c>
    </row>
    <row r="53" spans="1:63">
      <c r="A53" s="121">
        <v>49</v>
      </c>
      <c r="B53" s="122">
        <f>'【国内】常规用户招募-数据源 （正职）'!B53*1.75</f>
        <v>0.525</v>
      </c>
      <c r="C53" s="121">
        <v>0</v>
      </c>
      <c r="D53" s="122">
        <f t="shared" si="19"/>
        <v>9.76875</v>
      </c>
      <c r="E53" s="121">
        <v>9.5</v>
      </c>
      <c r="F53" s="122">
        <f t="shared" si="31"/>
        <v>360.612244897959</v>
      </c>
      <c r="G53" s="157">
        <f>'【国内】常规用户招募-数据源 （正职）'!F53</f>
        <v>360.612244897959</v>
      </c>
      <c r="H53" s="157">
        <f t="shared" si="36"/>
        <v>0</v>
      </c>
      <c r="I53" s="121">
        <v>200</v>
      </c>
      <c r="K53" s="150">
        <f t="shared" si="1"/>
        <v>-200</v>
      </c>
      <c r="L53" s="159">
        <v>690</v>
      </c>
      <c r="M53" s="155"/>
      <c r="N53" s="121">
        <v>49</v>
      </c>
      <c r="O53" s="122">
        <f>'【国内】常规用户招募-数据源 （正职）'!M53*1.8</f>
        <v>0.72</v>
      </c>
      <c r="P53" s="121">
        <f t="shared" si="43"/>
        <v>0</v>
      </c>
      <c r="Q53" s="122">
        <f t="shared" si="20"/>
        <v>9.585</v>
      </c>
      <c r="R53" s="122">
        <v>10</v>
      </c>
      <c r="S53" s="160">
        <f t="shared" si="37"/>
        <v>382.65306122449</v>
      </c>
      <c r="T53" s="157">
        <f>'【国内】常规用户招募-数据源 （正职）'!Q53</f>
        <v>382.65306122449</v>
      </c>
      <c r="U53" s="157">
        <f t="shared" si="38"/>
        <v>0</v>
      </c>
      <c r="V53" s="121">
        <v>250</v>
      </c>
      <c r="W53" s="150">
        <f t="shared" si="4"/>
        <v>257.809246147439</v>
      </c>
      <c r="X53" s="159">
        <v>690</v>
      </c>
      <c r="Y53" s="155"/>
      <c r="Z53" s="121">
        <v>49</v>
      </c>
      <c r="AA53" s="122">
        <f>'【国内】常规用户招募-数据源 （正职）'!W53*2</f>
        <v>1.4</v>
      </c>
      <c r="AB53" s="121">
        <v>0</v>
      </c>
      <c r="AC53" s="122">
        <f t="shared" si="21"/>
        <v>12.25</v>
      </c>
      <c r="AD53" s="122">
        <f t="shared" si="42"/>
        <v>12</v>
      </c>
      <c r="AE53" s="121">
        <f t="shared" si="32"/>
        <v>1</v>
      </c>
      <c r="AF53" s="160">
        <f t="shared" si="22"/>
        <v>542.040816326531</v>
      </c>
      <c r="AG53" s="161">
        <f>'【国内】常规用户招募-数据源 （正职）'!AA53</f>
        <v>542.040816326531</v>
      </c>
      <c r="AH53" s="161">
        <f t="shared" si="39"/>
        <v>0</v>
      </c>
      <c r="AI53" s="121">
        <v>250</v>
      </c>
      <c r="AJ53" s="150">
        <f t="shared" si="5"/>
        <v>261.062057476052</v>
      </c>
      <c r="AK53" s="150">
        <v>700</v>
      </c>
      <c r="AL53" s="155"/>
      <c r="AM53" s="121">
        <v>49</v>
      </c>
      <c r="AN53" s="122">
        <f>'【国内】常规用户招募-数据源 （正职）'!AG53*2.2</f>
        <v>1.76</v>
      </c>
      <c r="AO53" s="121">
        <v>0</v>
      </c>
      <c r="AP53" s="122">
        <f t="shared" si="25"/>
        <v>13.9733333333333</v>
      </c>
      <c r="AQ53" s="122">
        <f t="shared" si="26"/>
        <v>12.96</v>
      </c>
      <c r="AR53" s="122">
        <f t="shared" si="33"/>
        <v>1</v>
      </c>
      <c r="AS53" s="122">
        <f t="shared" si="23"/>
        <v>633.469387755102</v>
      </c>
      <c r="AT53" s="122">
        <f>'【国内】常规用户招募-数据源 （正职）'!AK53</f>
        <v>633.469387755102</v>
      </c>
      <c r="AU53" s="122">
        <f t="shared" si="40"/>
        <v>0</v>
      </c>
      <c r="AV53" s="121">
        <v>250</v>
      </c>
      <c r="AW53" s="150">
        <f t="shared" si="6"/>
        <v>212.92794668888</v>
      </c>
      <c r="AX53" s="150">
        <v>720</v>
      </c>
      <c r="AY53" s="155"/>
      <c r="AZ53" s="121">
        <v>49</v>
      </c>
      <c r="BA53" s="122">
        <f>'【国内】常规用户招募-数据源 （正职）'!AQ53*2.3</f>
        <v>2.07</v>
      </c>
      <c r="BB53" s="121">
        <v>0</v>
      </c>
      <c r="BC53" s="122">
        <f t="shared" si="41"/>
        <v>13.5737333333333</v>
      </c>
      <c r="BD53" s="122">
        <f t="shared" si="28"/>
        <v>13.4784</v>
      </c>
      <c r="BE53" s="122">
        <f t="shared" si="34"/>
        <v>0</v>
      </c>
      <c r="BF53" s="122">
        <f t="shared" si="24"/>
        <v>664.183673469388</v>
      </c>
      <c r="BG53" s="122">
        <f>'【国内】常规用户招募-数据源 （正职）'!AU53</f>
        <v>664.183673469388</v>
      </c>
      <c r="BH53" s="160">
        <f t="shared" si="35"/>
        <v>0</v>
      </c>
      <c r="BI53" s="121">
        <v>250</v>
      </c>
      <c r="BJ53" s="150">
        <f t="shared" si="8"/>
        <v>213.554768846314</v>
      </c>
      <c r="BK53" s="122">
        <f t="shared" si="9"/>
        <v>-36.445231153686</v>
      </c>
    </row>
    <row r="54" spans="1:63">
      <c r="A54" s="121">
        <v>50</v>
      </c>
      <c r="B54" s="122">
        <f>'【国内】常规用户招募-数据源 （正职）'!B54*1.75</f>
        <v>0.525</v>
      </c>
      <c r="C54" s="121">
        <v>0</v>
      </c>
      <c r="D54" s="122">
        <f t="shared" si="19"/>
        <v>9.76875</v>
      </c>
      <c r="E54" s="121">
        <v>9.5</v>
      </c>
      <c r="F54" s="122">
        <f t="shared" si="31"/>
        <v>353.4</v>
      </c>
      <c r="G54" s="157">
        <f>'【国内】常规用户招募-数据源 （正职）'!F54</f>
        <v>353.4</v>
      </c>
      <c r="H54" s="157">
        <f t="shared" si="36"/>
        <v>0</v>
      </c>
      <c r="I54" s="121">
        <v>200</v>
      </c>
      <c r="K54" s="150">
        <f t="shared" si="1"/>
        <v>-200</v>
      </c>
      <c r="L54" s="159">
        <v>690</v>
      </c>
      <c r="M54" s="155"/>
      <c r="N54" s="121">
        <v>50</v>
      </c>
      <c r="O54" s="122">
        <f>'【国内】常规用户招募-数据源 （正职）'!M54*1.8</f>
        <v>0.9</v>
      </c>
      <c r="P54" s="121">
        <f t="shared" si="43"/>
        <v>0</v>
      </c>
      <c r="Q54" s="122">
        <f t="shared" si="20"/>
        <v>9.19166666666667</v>
      </c>
      <c r="R54" s="122">
        <v>10</v>
      </c>
      <c r="S54" s="160">
        <f t="shared" si="37"/>
        <v>386.8</v>
      </c>
      <c r="T54" s="157">
        <f>'【国内】常规用户招募-数据源 （正职）'!Q54</f>
        <v>386.8</v>
      </c>
      <c r="U54" s="157">
        <f t="shared" si="38"/>
        <v>0</v>
      </c>
      <c r="V54" s="121">
        <v>250</v>
      </c>
      <c r="W54" s="150">
        <f t="shared" si="4"/>
        <v>257.736</v>
      </c>
      <c r="X54" s="159">
        <v>690</v>
      </c>
      <c r="Y54" s="155"/>
      <c r="Z54" s="121">
        <v>50</v>
      </c>
      <c r="AA54" s="122">
        <f>'【国内】常规用户招募-数据源 （正职）'!W54*2</f>
        <v>1.6</v>
      </c>
      <c r="AB54" s="121">
        <v>0</v>
      </c>
      <c r="AC54" s="122">
        <f t="shared" si="21"/>
        <v>12.0416666666667</v>
      </c>
      <c r="AD54" s="122">
        <f t="shared" si="42"/>
        <v>12</v>
      </c>
      <c r="AE54" s="121">
        <f t="shared" si="32"/>
        <v>1</v>
      </c>
      <c r="AF54" s="160">
        <f t="shared" si="22"/>
        <v>549.8</v>
      </c>
      <c r="AG54" s="161">
        <f>'【国内】常规用户招募-数据源 （正职）'!AA54</f>
        <v>549.8</v>
      </c>
      <c r="AH54" s="161">
        <f t="shared" si="39"/>
        <v>0</v>
      </c>
      <c r="AI54" s="121">
        <v>250</v>
      </c>
      <c r="AJ54" s="150">
        <f t="shared" si="5"/>
        <v>260.996</v>
      </c>
      <c r="AK54" s="150">
        <v>700</v>
      </c>
      <c r="AL54" s="155"/>
      <c r="AM54" s="121">
        <v>50</v>
      </c>
      <c r="AN54" s="122">
        <v>2.3</v>
      </c>
      <c r="AO54" s="121">
        <v>0</v>
      </c>
      <c r="AP54" s="122">
        <f t="shared" si="25"/>
        <v>12.585</v>
      </c>
      <c r="AQ54" s="122">
        <f t="shared" si="26"/>
        <v>12.96</v>
      </c>
      <c r="AR54" s="122">
        <f t="shared" si="33"/>
        <v>1</v>
      </c>
      <c r="AS54" s="122">
        <f t="shared" si="23"/>
        <v>651.2</v>
      </c>
      <c r="AT54" s="122">
        <f>'【国内】常规用户招募-数据源 （正职）'!AK54</f>
        <v>651.2</v>
      </c>
      <c r="AU54" s="122">
        <f t="shared" si="40"/>
        <v>0</v>
      </c>
      <c r="AV54" s="121">
        <v>250</v>
      </c>
      <c r="AW54" s="150">
        <f t="shared" si="6"/>
        <v>213.024</v>
      </c>
      <c r="AX54" s="150">
        <v>720</v>
      </c>
      <c r="AY54" s="155"/>
      <c r="AZ54" s="121">
        <v>50</v>
      </c>
      <c r="BA54" s="122">
        <f>'【国内】常规用户招募-数据源 （正职）'!AQ54*2.3</f>
        <v>2.3</v>
      </c>
      <c r="BB54" s="121">
        <v>0</v>
      </c>
      <c r="BC54" s="122">
        <f t="shared" si="41"/>
        <v>13.2887333333333</v>
      </c>
      <c r="BD54" s="122">
        <f t="shared" si="28"/>
        <v>13.4784</v>
      </c>
      <c r="BE54" s="122">
        <f t="shared" si="34"/>
        <v>1</v>
      </c>
      <c r="BF54" s="122">
        <f t="shared" si="24"/>
        <v>671.2</v>
      </c>
      <c r="BG54" s="122">
        <f>'【国内】常规用户招募-数据源 （正职）'!AU54</f>
        <v>671.2</v>
      </c>
      <c r="BH54" s="160">
        <f t="shared" si="35"/>
        <v>0</v>
      </c>
      <c r="BI54" s="121">
        <v>250</v>
      </c>
      <c r="BJ54" s="150">
        <f t="shared" si="8"/>
        <v>213.424</v>
      </c>
      <c r="BK54" s="122">
        <f t="shared" si="9"/>
        <v>-36.576</v>
      </c>
    </row>
    <row r="55" spans="1:63">
      <c r="AY55" s="150">
        <f>(45/120)*AW54</f>
        <v>79.884</v>
      </c>
    </row>
    <row r="64" spans="1:63">
      <c r="E64" s="121">
        <v>2</v>
      </c>
    </row>
  </sheetData>
  <mergeCells count="10">
    <mergeCell ref="A1:V1"/>
    <mergeCell ref="A2:E2"/>
    <mergeCell ref="N2:R2"/>
    <mergeCell ref="Z2:AD2"/>
    <mergeCell ref="AM2:AQ2"/>
    <mergeCell ref="AZ2:BD2"/>
    <mergeCell ref="M2:M54"/>
    <mergeCell ref="Y2:Y54"/>
    <mergeCell ref="AL2:AL54"/>
    <mergeCell ref="AY2:AY54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4"/>
  <sheetViews>
    <sheetView showGridLines="0" topLeftCell="A8" workbookViewId="0">
      <selection activeCell="G36" sqref="G36"/>
    </sheetView>
  </sheetViews>
  <sheetFormatPr defaultColWidth="9" defaultRowHeight="13.5"/>
  <cols>
    <col min="3" max="4" width="15.25" customWidth="1"/>
    <col min="5" max="5" width="20.5" customWidth="1"/>
    <col min="6" max="6" width="6.5" customWidth="1"/>
    <col min="8" max="8" width="18.875" customWidth="1"/>
    <col min="9" max="9" width="12.875" customWidth="1"/>
    <col min="10" max="10" width="20.625" customWidth="1"/>
    <col min="13" max="13" width="14.375" customWidth="1"/>
    <col min="15" max="15" width="13.75" customWidth="1"/>
  </cols>
  <sheetData>
    <row r="2" ht="38.1" customHeight="1" spans="1:11">
      <c r="B2" s="124" t="s">
        <v>411</v>
      </c>
      <c r="C2" s="124" t="s">
        <v>237</v>
      </c>
      <c r="D2" s="125" t="s">
        <v>412</v>
      </c>
      <c r="E2" s="125" t="s">
        <v>413</v>
      </c>
      <c r="F2" s="126"/>
      <c r="G2" s="124" t="s">
        <v>411</v>
      </c>
      <c r="H2" s="124" t="s">
        <v>237</v>
      </c>
      <c r="I2" s="125" t="s">
        <v>412</v>
      </c>
      <c r="J2" s="125" t="s">
        <v>413</v>
      </c>
    </row>
    <row r="3" ht="14.25" spans="1:11">
      <c r="B3" s="127" t="s">
        <v>242</v>
      </c>
      <c r="C3" s="128" t="s">
        <v>414</v>
      </c>
      <c r="D3" s="128">
        <v>0</v>
      </c>
      <c r="E3" s="128">
        <v>16</v>
      </c>
      <c r="F3" s="129"/>
      <c r="G3" s="130" t="s">
        <v>247</v>
      </c>
      <c r="H3" s="128" t="s">
        <v>415</v>
      </c>
      <c r="I3" s="128">
        <v>100</v>
      </c>
      <c r="J3" s="128">
        <v>11</v>
      </c>
      <c r="K3" s="131"/>
    </row>
    <row r="4" ht="16.5" customHeight="1" spans="1:11">
      <c r="B4" s="127"/>
      <c r="C4" s="128" t="s">
        <v>416</v>
      </c>
      <c r="D4" s="128">
        <v>0</v>
      </c>
      <c r="E4" s="128">
        <v>26</v>
      </c>
      <c r="F4" s="129"/>
      <c r="G4" s="132"/>
      <c r="H4" s="128" t="s">
        <v>417</v>
      </c>
      <c r="I4" s="128">
        <v>100</v>
      </c>
      <c r="J4" s="128">
        <v>26</v>
      </c>
      <c r="K4" s="131"/>
    </row>
    <row r="5" ht="16.5" customHeight="1" spans="1:11">
      <c r="B5" s="133" t="s">
        <v>418</v>
      </c>
      <c r="C5" s="128" t="s">
        <v>239</v>
      </c>
      <c r="D5" s="134" t="s">
        <v>103</v>
      </c>
      <c r="E5" s="135"/>
      <c r="F5" s="136"/>
      <c r="G5" s="137"/>
      <c r="H5" s="128" t="s">
        <v>416</v>
      </c>
      <c r="I5" s="128">
        <v>100</v>
      </c>
      <c r="J5" s="128">
        <v>36</v>
      </c>
      <c r="K5" s="131"/>
    </row>
    <row r="6" ht="16.5" customHeight="1" spans="1:11">
      <c r="A6" s="133">
        <v>0</v>
      </c>
      <c r="B6" s="133">
        <v>0</v>
      </c>
      <c r="C6" s="128">
        <v>0</v>
      </c>
      <c r="D6" s="134">
        <v>0</v>
      </c>
      <c r="E6" s="77"/>
      <c r="F6" s="136"/>
      <c r="G6" s="133" t="s">
        <v>418</v>
      </c>
      <c r="H6" s="128" t="s">
        <v>239</v>
      </c>
      <c r="I6" s="128" t="s">
        <v>103</v>
      </c>
      <c r="J6" s="128"/>
      <c r="K6" s="131"/>
    </row>
    <row r="7" ht="14.25" spans="1:11">
      <c r="A7" s="133" t="s">
        <v>419</v>
      </c>
      <c r="B7" s="133">
        <v>1</v>
      </c>
      <c r="C7" s="128">
        <v>0.2</v>
      </c>
      <c r="D7" s="134">
        <v>0</v>
      </c>
      <c r="E7" s="77"/>
      <c r="F7" s="136"/>
      <c r="G7" s="133">
        <v>0</v>
      </c>
      <c r="H7" s="128">
        <v>0</v>
      </c>
      <c r="I7" s="128">
        <v>0</v>
      </c>
      <c r="J7" s="128"/>
      <c r="K7" s="131"/>
    </row>
    <row r="8" ht="14.25" spans="1:11">
      <c r="A8" s="133" t="s">
        <v>420</v>
      </c>
      <c r="B8" s="133">
        <v>8</v>
      </c>
      <c r="C8" s="128">
        <v>0.2</v>
      </c>
      <c r="D8" s="134">
        <v>0</v>
      </c>
      <c r="E8" s="77"/>
      <c r="F8" s="136"/>
      <c r="G8" s="133">
        <v>1</v>
      </c>
      <c r="H8" s="128">
        <v>0.3</v>
      </c>
      <c r="I8" s="128">
        <v>0</v>
      </c>
      <c r="J8" s="128"/>
      <c r="K8" s="131"/>
    </row>
    <row r="9" ht="14.25" spans="1:11">
      <c r="A9" s="133" t="s">
        <v>421</v>
      </c>
      <c r="B9" s="133">
        <v>13</v>
      </c>
      <c r="C9" s="128">
        <v>0.3</v>
      </c>
      <c r="D9" s="134">
        <v>0</v>
      </c>
      <c r="E9" s="77"/>
      <c r="F9" s="136"/>
      <c r="G9" s="133">
        <v>8</v>
      </c>
      <c r="H9" s="128">
        <v>0.4</v>
      </c>
      <c r="I9" s="128">
        <v>0</v>
      </c>
      <c r="J9" s="128"/>
      <c r="K9" s="131"/>
    </row>
    <row r="10" ht="14.25" customHeight="1" spans="1:11">
      <c r="A10" s="133" t="s">
        <v>422</v>
      </c>
      <c r="B10" s="133">
        <v>17</v>
      </c>
      <c r="C10" s="128">
        <v>0.3</v>
      </c>
      <c r="D10" s="134">
        <v>0</v>
      </c>
      <c r="E10" s="77"/>
      <c r="F10" s="136"/>
      <c r="G10" s="133">
        <v>13</v>
      </c>
      <c r="H10" s="128">
        <v>0.5</v>
      </c>
      <c r="I10" s="128">
        <v>0</v>
      </c>
      <c r="J10" s="128"/>
      <c r="K10" s="131"/>
    </row>
    <row r="11" ht="14.25" spans="1:11">
      <c r="A11" s="133" t="s">
        <v>423</v>
      </c>
      <c r="B11" s="133">
        <v>21</v>
      </c>
      <c r="C11" s="128">
        <v>0.4</v>
      </c>
      <c r="D11" s="134">
        <v>0</v>
      </c>
      <c r="E11" s="77"/>
      <c r="F11" s="136"/>
      <c r="G11" s="133">
        <v>17</v>
      </c>
      <c r="H11" s="128">
        <v>0.6</v>
      </c>
      <c r="I11" s="128">
        <v>0</v>
      </c>
      <c r="J11" s="128"/>
      <c r="K11" s="131"/>
    </row>
    <row r="12" ht="14.25" spans="1:11">
      <c r="A12" s="133" t="s">
        <v>424</v>
      </c>
      <c r="B12" s="133">
        <v>25</v>
      </c>
      <c r="C12" s="128">
        <v>0.4</v>
      </c>
      <c r="D12" s="134">
        <v>0</v>
      </c>
      <c r="E12" s="77"/>
      <c r="F12" s="136"/>
      <c r="G12" s="133">
        <v>21</v>
      </c>
      <c r="H12" s="128">
        <v>0.7</v>
      </c>
      <c r="I12" s="128">
        <v>0</v>
      </c>
      <c r="J12" s="128"/>
      <c r="K12" s="131"/>
    </row>
    <row r="13" ht="14.25" spans="1:11">
      <c r="A13" s="133" t="s">
        <v>360</v>
      </c>
      <c r="B13" s="133">
        <v>29</v>
      </c>
      <c r="C13" s="128">
        <v>0.6</v>
      </c>
      <c r="D13" s="134">
        <v>0</v>
      </c>
      <c r="E13" s="77"/>
      <c r="F13" s="136"/>
      <c r="G13" s="133">
        <v>25</v>
      </c>
      <c r="H13" s="128">
        <v>0.7</v>
      </c>
      <c r="I13" s="128">
        <v>0</v>
      </c>
      <c r="J13" s="128"/>
      <c r="K13" s="131"/>
    </row>
    <row r="14" ht="14.25" spans="1:11">
      <c r="A14" s="133" t="s">
        <v>425</v>
      </c>
      <c r="B14" s="133">
        <v>33</v>
      </c>
      <c r="C14" s="128">
        <v>0.6</v>
      </c>
      <c r="D14" s="134">
        <v>0</v>
      </c>
      <c r="E14" s="77"/>
      <c r="F14" s="136"/>
      <c r="G14" s="133">
        <v>29</v>
      </c>
      <c r="H14" s="128">
        <v>0.7</v>
      </c>
      <c r="I14" s="128">
        <v>0</v>
      </c>
      <c r="J14" s="128"/>
      <c r="K14" s="131"/>
    </row>
    <row r="15" ht="14.25" spans="1:11">
      <c r="A15" s="133" t="s">
        <v>426</v>
      </c>
      <c r="B15" s="133">
        <v>37</v>
      </c>
      <c r="C15" s="128">
        <v>0.7</v>
      </c>
      <c r="D15" s="134">
        <v>0</v>
      </c>
      <c r="E15" s="77"/>
      <c r="F15" s="136"/>
      <c r="G15" s="133">
        <v>33</v>
      </c>
      <c r="H15" s="128">
        <v>0.8</v>
      </c>
      <c r="I15" s="128">
        <v>0</v>
      </c>
      <c r="J15" s="128"/>
      <c r="K15" s="131"/>
    </row>
    <row r="16" ht="14.25" spans="1:11">
      <c r="A16" s="133" t="s">
        <v>427</v>
      </c>
      <c r="B16" s="133">
        <v>41</v>
      </c>
      <c r="C16" s="138">
        <v>1</v>
      </c>
      <c r="D16" s="134">
        <v>0</v>
      </c>
      <c r="E16" s="77"/>
      <c r="F16" s="136"/>
      <c r="G16" s="133">
        <v>37</v>
      </c>
      <c r="H16" s="128">
        <v>0.8</v>
      </c>
      <c r="I16" s="128">
        <v>0</v>
      </c>
      <c r="J16" s="128"/>
      <c r="K16" s="131"/>
    </row>
    <row r="17" ht="14.25" spans="1:11">
      <c r="A17" s="133" t="s">
        <v>428</v>
      </c>
      <c r="B17" s="133">
        <v>45</v>
      </c>
      <c r="C17" s="138">
        <v>1</v>
      </c>
      <c r="D17" s="134">
        <v>0</v>
      </c>
      <c r="E17" s="77"/>
      <c r="F17" s="136"/>
      <c r="G17" s="133">
        <v>41</v>
      </c>
      <c r="H17" s="138">
        <v>1</v>
      </c>
      <c r="I17" s="128">
        <v>0</v>
      </c>
      <c r="J17" s="128"/>
      <c r="K17" s="131"/>
    </row>
    <row r="18" ht="14.25" spans="1:11">
      <c r="A18" s="133" t="s">
        <v>429</v>
      </c>
      <c r="B18" s="133">
        <v>49</v>
      </c>
      <c r="C18" s="138">
        <v>1</v>
      </c>
      <c r="D18" s="134">
        <v>0</v>
      </c>
      <c r="E18" s="77"/>
      <c r="F18" s="139"/>
      <c r="G18" s="133">
        <v>45</v>
      </c>
      <c r="H18" s="138">
        <v>1</v>
      </c>
      <c r="I18" s="128">
        <v>0</v>
      </c>
      <c r="J18" s="128"/>
      <c r="K18" s="131"/>
    </row>
    <row r="19" ht="14.25" spans="1:11">
      <c r="A19" s="140" t="s">
        <v>430</v>
      </c>
      <c r="B19" s="141">
        <v>53</v>
      </c>
      <c r="C19" s="142">
        <v>1.2</v>
      </c>
      <c r="D19" s="134">
        <v>0</v>
      </c>
      <c r="E19" s="77"/>
      <c r="F19" s="143"/>
      <c r="G19" s="133">
        <v>49</v>
      </c>
      <c r="H19" s="138">
        <v>1</v>
      </c>
      <c r="I19" s="128">
        <v>0</v>
      </c>
      <c r="J19" s="128"/>
      <c r="K19" s="131"/>
    </row>
    <row r="20" ht="14.25" spans="1:11">
      <c r="A20" s="140" t="s">
        <v>431</v>
      </c>
      <c r="B20" s="141">
        <v>62</v>
      </c>
      <c r="C20" s="142">
        <v>1.2</v>
      </c>
      <c r="D20" s="134">
        <v>0</v>
      </c>
      <c r="E20" s="77"/>
      <c r="F20" s="143"/>
      <c r="G20" s="141">
        <v>53</v>
      </c>
      <c r="H20" s="138">
        <v>1.2</v>
      </c>
      <c r="I20" s="128">
        <v>0</v>
      </c>
      <c r="J20" s="128"/>
      <c r="K20" s="131"/>
    </row>
    <row r="21" ht="14.25" spans="1:11">
      <c r="A21" s="140" t="s">
        <v>432</v>
      </c>
      <c r="B21" s="141">
        <v>100</v>
      </c>
      <c r="C21" s="142">
        <v>1.3</v>
      </c>
      <c r="D21" s="134">
        <v>0</v>
      </c>
      <c r="E21" s="77"/>
      <c r="F21" s="143"/>
      <c r="G21" s="141">
        <v>62</v>
      </c>
      <c r="H21" s="138">
        <v>1.2</v>
      </c>
      <c r="I21" s="128">
        <v>0</v>
      </c>
      <c r="J21" s="128"/>
      <c r="K21" s="131"/>
    </row>
    <row r="22" ht="14.25" spans="1:11">
      <c r="A22" s="140"/>
      <c r="B22" s="141"/>
      <c r="C22" s="142"/>
      <c r="D22" s="142"/>
      <c r="E22" s="144"/>
      <c r="F22" s="143"/>
      <c r="G22" s="141">
        <v>100</v>
      </c>
      <c r="H22" s="138">
        <v>1.2</v>
      </c>
      <c r="I22" s="128">
        <v>0</v>
      </c>
      <c r="J22" s="128"/>
      <c r="K22" s="131"/>
    </row>
    <row r="23" ht="36" customHeight="1" spans="1:11">
      <c r="B23" s="124" t="s">
        <v>411</v>
      </c>
      <c r="C23" s="124" t="s">
        <v>237</v>
      </c>
      <c r="D23" s="125" t="s">
        <v>412</v>
      </c>
      <c r="E23" s="125" t="s">
        <v>413</v>
      </c>
      <c r="F23" s="126"/>
      <c r="G23" s="145"/>
      <c r="H23" s="145"/>
      <c r="J23" s="146"/>
    </row>
    <row r="24" ht="30" spans="1:11">
      <c r="B24" s="130" t="s">
        <v>250</v>
      </c>
      <c r="C24" s="128" t="s">
        <v>415</v>
      </c>
      <c r="D24" s="128">
        <v>180</v>
      </c>
      <c r="E24" s="128">
        <v>15</v>
      </c>
      <c r="F24" s="129"/>
      <c r="G24" s="124" t="s">
        <v>411</v>
      </c>
      <c r="H24" s="124" t="s">
        <v>237</v>
      </c>
      <c r="I24" s="125" t="s">
        <v>412</v>
      </c>
      <c r="J24" s="125" t="s">
        <v>413</v>
      </c>
    </row>
    <row r="25" ht="14.25" spans="1:11">
      <c r="B25" s="132"/>
      <c r="C25" s="128" t="s">
        <v>417</v>
      </c>
      <c r="D25" s="128">
        <v>180</v>
      </c>
      <c r="E25" s="128">
        <v>50</v>
      </c>
      <c r="F25" s="129"/>
      <c r="G25" s="127" t="s">
        <v>253</v>
      </c>
      <c r="H25" s="128" t="s">
        <v>433</v>
      </c>
      <c r="I25" s="128">
        <v>0</v>
      </c>
      <c r="J25" s="128">
        <v>200</v>
      </c>
    </row>
    <row r="26" ht="14.25" spans="1:11">
      <c r="B26" s="137"/>
      <c r="C26" s="128" t="s">
        <v>416</v>
      </c>
      <c r="D26" s="128">
        <v>180</v>
      </c>
      <c r="E26" s="128">
        <v>70</v>
      </c>
      <c r="F26" s="129"/>
      <c r="G26" s="127"/>
      <c r="H26" s="128" t="s">
        <v>434</v>
      </c>
      <c r="I26" s="128">
        <v>0</v>
      </c>
      <c r="J26" s="128">
        <v>300</v>
      </c>
    </row>
    <row r="27" ht="14.25" spans="1:11">
      <c r="B27" s="133" t="s">
        <v>418</v>
      </c>
      <c r="C27" s="128" t="s">
        <v>239</v>
      </c>
      <c r="D27" s="128" t="s">
        <v>103</v>
      </c>
      <c r="E27" s="128"/>
      <c r="F27" s="129"/>
      <c r="G27" s="127"/>
      <c r="H27" s="128" t="s">
        <v>435</v>
      </c>
      <c r="I27" s="128">
        <v>0</v>
      </c>
      <c r="J27" s="128">
        <v>400</v>
      </c>
    </row>
    <row r="28" ht="14.25" spans="1:11">
      <c r="B28" s="133">
        <v>0</v>
      </c>
      <c r="C28" s="128">
        <v>0</v>
      </c>
      <c r="D28" s="128">
        <v>0</v>
      </c>
      <c r="E28" s="128"/>
      <c r="F28" s="129"/>
      <c r="G28" s="133" t="s">
        <v>418</v>
      </c>
      <c r="H28" s="128" t="s">
        <v>239</v>
      </c>
      <c r="I28" s="128" t="s">
        <v>103</v>
      </c>
      <c r="J28" s="128"/>
    </row>
    <row r="29" ht="14.25" spans="1:11">
      <c r="B29" s="133">
        <v>1</v>
      </c>
      <c r="C29" s="128">
        <v>0.5</v>
      </c>
      <c r="D29" s="138">
        <v>1</v>
      </c>
      <c r="E29" s="128"/>
      <c r="F29" s="129"/>
      <c r="G29" s="133">
        <v>0</v>
      </c>
      <c r="H29" s="128">
        <v>0</v>
      </c>
      <c r="I29" s="128">
        <v>0</v>
      </c>
      <c r="J29" s="128"/>
    </row>
    <row r="30" ht="14.25" spans="1:11">
      <c r="B30" s="133">
        <v>8</v>
      </c>
      <c r="C30" s="128">
        <v>0.5</v>
      </c>
      <c r="D30" s="138">
        <v>1</v>
      </c>
      <c r="E30" s="128"/>
      <c r="F30" s="129"/>
      <c r="G30" s="133">
        <v>1</v>
      </c>
      <c r="H30" s="128">
        <v>0.5</v>
      </c>
      <c r="I30" s="128">
        <v>0</v>
      </c>
      <c r="J30" s="128"/>
    </row>
    <row r="31" ht="14.25" spans="1:11">
      <c r="B31" s="133">
        <v>13</v>
      </c>
      <c r="C31" s="128">
        <v>0.5</v>
      </c>
      <c r="D31" s="138">
        <v>1.5</v>
      </c>
      <c r="E31" s="128"/>
      <c r="F31" s="129"/>
      <c r="G31" s="133">
        <v>8</v>
      </c>
      <c r="H31" s="128">
        <v>0.5</v>
      </c>
      <c r="I31" s="128">
        <v>0</v>
      </c>
      <c r="J31" s="128"/>
    </row>
    <row r="32" ht="14.25" spans="1:11">
      <c r="B32" s="133">
        <v>17</v>
      </c>
      <c r="C32" s="128">
        <v>0.5</v>
      </c>
      <c r="D32" s="138">
        <v>1.5</v>
      </c>
      <c r="E32" s="128"/>
      <c r="F32" s="129"/>
      <c r="G32" s="133">
        <v>13</v>
      </c>
      <c r="H32" s="128">
        <v>0.5</v>
      </c>
      <c r="I32" s="128">
        <v>0</v>
      </c>
      <c r="J32" s="128"/>
    </row>
    <row r="33" ht="14.25" spans="2:10">
      <c r="B33" s="133">
        <v>21</v>
      </c>
      <c r="C33" s="128">
        <v>0.6</v>
      </c>
      <c r="D33" s="138">
        <v>1.5</v>
      </c>
      <c r="E33" s="128"/>
      <c r="F33" s="129"/>
      <c r="G33" s="133">
        <v>17</v>
      </c>
      <c r="H33" s="128">
        <v>0.5</v>
      </c>
      <c r="I33" s="128">
        <v>0</v>
      </c>
      <c r="J33" s="128"/>
    </row>
    <row r="34" ht="14.25" spans="2:10">
      <c r="B34" s="133">
        <v>25</v>
      </c>
      <c r="C34" s="128">
        <v>0.6</v>
      </c>
      <c r="D34" s="138">
        <v>1.5</v>
      </c>
      <c r="E34" s="128"/>
      <c r="F34" s="129"/>
      <c r="G34" s="133">
        <v>21</v>
      </c>
      <c r="H34" s="138">
        <v>1</v>
      </c>
      <c r="I34" s="128">
        <v>0</v>
      </c>
      <c r="J34" s="128"/>
    </row>
    <row r="35" ht="14.25" spans="2:10">
      <c r="B35" s="133">
        <v>29</v>
      </c>
      <c r="C35" s="128">
        <v>0.6</v>
      </c>
      <c r="D35" s="138">
        <v>1.5</v>
      </c>
      <c r="E35" s="128"/>
      <c r="F35" s="129"/>
      <c r="G35" s="133">
        <v>25</v>
      </c>
      <c r="H35" s="138">
        <v>1</v>
      </c>
      <c r="I35" s="128">
        <v>0</v>
      </c>
      <c r="J35" s="128"/>
    </row>
    <row r="36" ht="14.25" spans="2:10">
      <c r="B36" s="133">
        <v>33</v>
      </c>
      <c r="C36" s="138">
        <v>1</v>
      </c>
      <c r="D36" s="138">
        <v>2</v>
      </c>
      <c r="E36" s="128"/>
      <c r="F36" s="129"/>
      <c r="G36" s="133">
        <v>29</v>
      </c>
      <c r="H36" s="138">
        <v>1</v>
      </c>
      <c r="I36" s="128">
        <v>0</v>
      </c>
      <c r="J36" s="128"/>
    </row>
    <row r="37" ht="14.25" spans="2:10">
      <c r="B37" s="133">
        <v>37</v>
      </c>
      <c r="C37" s="138">
        <v>1</v>
      </c>
      <c r="D37" s="138">
        <v>2</v>
      </c>
      <c r="E37" s="128"/>
      <c r="F37" s="129"/>
      <c r="G37" s="133">
        <v>33</v>
      </c>
      <c r="H37" s="138">
        <v>1</v>
      </c>
      <c r="I37" s="128">
        <v>0</v>
      </c>
      <c r="J37" s="128"/>
    </row>
    <row r="38" ht="14.25" spans="2:10">
      <c r="B38" s="133">
        <v>41</v>
      </c>
      <c r="C38" s="138">
        <v>1</v>
      </c>
      <c r="D38" s="138">
        <v>2</v>
      </c>
      <c r="E38" s="128"/>
      <c r="F38" s="129"/>
      <c r="G38" s="133">
        <v>37</v>
      </c>
      <c r="H38" s="138">
        <v>1.5</v>
      </c>
      <c r="I38" s="128">
        <v>0</v>
      </c>
      <c r="J38" s="128"/>
    </row>
    <row r="39" ht="14.25" spans="2:10">
      <c r="B39" s="133">
        <v>45</v>
      </c>
      <c r="C39" s="138">
        <v>1</v>
      </c>
      <c r="D39" s="138">
        <v>2</v>
      </c>
      <c r="E39" s="128"/>
      <c r="F39" s="129"/>
      <c r="G39" s="133">
        <v>41</v>
      </c>
      <c r="H39" s="138">
        <v>1.5</v>
      </c>
      <c r="I39" s="128">
        <v>0</v>
      </c>
      <c r="J39" s="128"/>
    </row>
    <row r="40" ht="14.25" spans="2:10">
      <c r="B40" s="133">
        <v>49</v>
      </c>
      <c r="C40" s="128">
        <v>1.5</v>
      </c>
      <c r="D40" s="128">
        <v>2.5</v>
      </c>
      <c r="E40" s="128"/>
      <c r="F40" s="147"/>
      <c r="G40" s="133">
        <v>45</v>
      </c>
      <c r="H40" s="138">
        <v>1.5</v>
      </c>
      <c r="I40" s="128">
        <v>0</v>
      </c>
      <c r="J40" s="128"/>
    </row>
    <row r="41" ht="14.25" spans="2:10">
      <c r="B41" s="133">
        <v>53</v>
      </c>
      <c r="C41" s="128">
        <v>1.5</v>
      </c>
      <c r="D41" s="128">
        <v>2.5</v>
      </c>
      <c r="G41" s="133">
        <v>49</v>
      </c>
      <c r="H41" s="138">
        <v>1.5</v>
      </c>
      <c r="I41" s="128">
        <v>0</v>
      </c>
      <c r="J41" s="128"/>
    </row>
    <row r="42" ht="14.25" spans="2:10">
      <c r="B42" s="133">
        <v>62</v>
      </c>
      <c r="C42" s="128">
        <v>1.5</v>
      </c>
      <c r="D42" s="128">
        <v>2.5</v>
      </c>
    </row>
    <row r="43" ht="14.25" spans="2:10">
      <c r="B43" s="133">
        <v>100</v>
      </c>
      <c r="C43" s="128">
        <v>1.5</v>
      </c>
      <c r="D43" s="128">
        <v>2.5</v>
      </c>
    </row>
    <row r="44" ht="14.25" spans="2:10">
      <c r="B44" s="133">
        <v>200</v>
      </c>
      <c r="C44" s="138">
        <v>2</v>
      </c>
      <c r="D44" s="128">
        <v>2.5</v>
      </c>
    </row>
  </sheetData>
  <mergeCells count="10">
    <mergeCell ref="B3:B4"/>
    <mergeCell ref="B24:B26"/>
    <mergeCell ref="E5:E21"/>
    <mergeCell ref="E27:E40"/>
    <mergeCell ref="F2:F18"/>
    <mergeCell ref="F23:F40"/>
    <mergeCell ref="G3:G5"/>
    <mergeCell ref="G25:G27"/>
    <mergeCell ref="J6:J22"/>
    <mergeCell ref="J28:J41"/>
  </mergeCell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1"/>
  <sheetViews>
    <sheetView zoomScale="70" zoomScaleNormal="70" topLeftCell="A50" workbookViewId="0">
      <selection activeCell="G36" sqref="G36"/>
    </sheetView>
  </sheetViews>
  <sheetFormatPr defaultColWidth="9" defaultRowHeight="16.5"/>
  <cols>
    <col min="1" max="1" width="10.5" style="1" customWidth="1"/>
    <col min="2" max="2" width="13.375" customWidth="1"/>
    <col min="6" max="6" width="7.5" customWidth="1"/>
    <col min="7" max="7" width="11.75" customWidth="1"/>
    <col min="11" max="11" width="11.375" customWidth="1"/>
    <col min="12" max="12" width="12.25" customWidth="1"/>
    <col min="16" max="16" width="13" customWidth="1"/>
    <col min="17" max="17" width="12.5" customWidth="1"/>
    <col min="19" max="19" width="10.375"/>
    <col min="21" max="21" width="12.375" customWidth="1"/>
    <col min="22" max="22" width="12.5" customWidth="1"/>
    <col min="24" max="24" width="11.5"/>
    <col min="26" max="26" width="14.25" customWidth="1"/>
    <col min="27" max="27" width="12.5" customWidth="1"/>
    <col min="29" max="29" width="11.5"/>
    <col min="31" max="31" width="19.125" customWidth="1"/>
    <col min="32" max="32" width="12.5" customWidth="1"/>
    <col min="34" max="34" width="12.625"/>
    <col min="36" max="36" width="12.625"/>
  </cols>
  <sheetData>
    <row r="1" spans="1:36">
      <c r="J1">
        <v>1.3</v>
      </c>
    </row>
    <row r="2" ht="18.95" customHeight="1" spans="1:36">
      <c r="B2" s="84" t="s">
        <v>436</v>
      </c>
      <c r="C2" s="84"/>
      <c r="D2" s="118" t="s">
        <v>437</v>
      </c>
      <c r="E2" s="118"/>
      <c r="G2" s="84" t="s">
        <v>436</v>
      </c>
      <c r="H2" s="84"/>
      <c r="I2" s="118" t="s">
        <v>437</v>
      </c>
      <c r="J2" s="118"/>
      <c r="L2" s="84" t="s">
        <v>436</v>
      </c>
      <c r="M2" s="84"/>
      <c r="N2" s="118" t="s">
        <v>437</v>
      </c>
      <c r="O2" s="118"/>
      <c r="Q2" s="84" t="s">
        <v>436</v>
      </c>
      <c r="R2" s="84"/>
      <c r="S2" s="118" t="s">
        <v>437</v>
      </c>
      <c r="T2" s="118"/>
      <c r="V2" s="84" t="s">
        <v>436</v>
      </c>
      <c r="W2" s="84"/>
      <c r="X2" s="118" t="s">
        <v>437</v>
      </c>
      <c r="Y2" s="118"/>
      <c r="AA2" s="84" t="s">
        <v>436</v>
      </c>
      <c r="AB2" s="84"/>
      <c r="AC2" s="118" t="s">
        <v>437</v>
      </c>
      <c r="AD2" s="118"/>
      <c r="AF2" s="84" t="s">
        <v>436</v>
      </c>
      <c r="AG2" s="84"/>
      <c r="AH2" s="118" t="s">
        <v>437</v>
      </c>
      <c r="AI2" s="118"/>
    </row>
    <row r="3" ht="18.95" customHeight="1" spans="1:36">
      <c r="B3" s="119" t="s">
        <v>192</v>
      </c>
      <c r="C3" s="119"/>
      <c r="D3" s="118" t="s">
        <v>199</v>
      </c>
      <c r="E3" s="118"/>
      <c r="G3" s="119" t="s">
        <v>192</v>
      </c>
      <c r="H3" s="119"/>
      <c r="I3" s="118" t="s">
        <v>203</v>
      </c>
      <c r="J3" s="118"/>
      <c r="L3" s="119" t="s">
        <v>192</v>
      </c>
      <c r="M3" s="119"/>
      <c r="N3" s="118" t="s">
        <v>335</v>
      </c>
      <c r="O3" s="118"/>
      <c r="Q3" s="119" t="s">
        <v>192</v>
      </c>
      <c r="R3" s="119"/>
      <c r="S3" s="118" t="s">
        <v>438</v>
      </c>
      <c r="T3" s="118"/>
      <c r="V3" s="119" t="s">
        <v>192</v>
      </c>
      <c r="W3" s="119"/>
      <c r="X3" s="118" t="s">
        <v>439</v>
      </c>
      <c r="Y3" s="118"/>
      <c r="AA3" s="119" t="s">
        <v>192</v>
      </c>
      <c r="AB3" s="119"/>
      <c r="AC3" s="118" t="s">
        <v>440</v>
      </c>
      <c r="AD3" s="118"/>
      <c r="AF3" s="119" t="s">
        <v>192</v>
      </c>
      <c r="AG3" s="119"/>
      <c r="AH3" s="118" t="s">
        <v>338</v>
      </c>
      <c r="AI3" s="118"/>
    </row>
    <row r="4" ht="18.95" customHeight="1" spans="1:36">
      <c r="B4" s="120" t="s">
        <v>441</v>
      </c>
      <c r="C4" s="120"/>
      <c r="D4" s="118">
        <v>14</v>
      </c>
      <c r="E4" s="118"/>
      <c r="F4">
        <f>AVERAGE(F8:F18)</f>
        <v>21.1531173601259</v>
      </c>
      <c r="G4" s="120" t="s">
        <v>441</v>
      </c>
      <c r="H4" s="120"/>
      <c r="I4" s="118">
        <v>16</v>
      </c>
      <c r="J4" s="118"/>
      <c r="K4">
        <f>AVERAGE(K8:K18)</f>
        <v>24.2972539848082</v>
      </c>
      <c r="L4" s="120" t="s">
        <v>441</v>
      </c>
      <c r="M4" s="120"/>
      <c r="N4" s="118">
        <v>24</v>
      </c>
      <c r="O4" s="118"/>
      <c r="P4">
        <f>AVERAGE(P8:P18)</f>
        <v>33.6702179344269</v>
      </c>
      <c r="Q4" s="120" t="s">
        <v>441</v>
      </c>
      <c r="R4" s="120"/>
      <c r="S4" s="118">
        <v>34</v>
      </c>
      <c r="T4" s="118"/>
      <c r="U4">
        <f>AVERAGE(U8:U18)</f>
        <v>34.4939963041982</v>
      </c>
      <c r="V4" s="120" t="s">
        <v>441</v>
      </c>
      <c r="W4" s="120"/>
      <c r="X4" s="118">
        <v>40</v>
      </c>
      <c r="Y4" s="118"/>
      <c r="Z4">
        <f>AVERAGE(Z8:Z18)</f>
        <v>51.4001525109465</v>
      </c>
      <c r="AA4" s="120" t="s">
        <v>441</v>
      </c>
      <c r="AB4" s="120"/>
      <c r="AC4" s="118">
        <v>44</v>
      </c>
      <c r="AD4" s="118"/>
      <c r="AE4">
        <f>AVERAGE(AE8:AE18)</f>
        <v>56.3969243383697</v>
      </c>
      <c r="AF4" s="120" t="s">
        <v>441</v>
      </c>
      <c r="AG4" s="120"/>
      <c r="AH4" s="118">
        <v>48</v>
      </c>
      <c r="AI4" s="118"/>
      <c r="AJ4">
        <f>AVERAGE(AJ8:AJ18)</f>
        <v>63.6862713688662</v>
      </c>
    </row>
    <row r="5" spans="1:36">
      <c r="B5" s="1" t="s">
        <v>101</v>
      </c>
      <c r="C5" s="1" t="s">
        <v>8</v>
      </c>
      <c r="D5" s="1" t="s">
        <v>9</v>
      </c>
      <c r="E5" s="1" t="s">
        <v>103</v>
      </c>
      <c r="G5" s="1" t="s">
        <v>101</v>
      </c>
      <c r="H5" s="1" t="s">
        <v>8</v>
      </c>
      <c r="I5" s="1" t="s">
        <v>9</v>
      </c>
      <c r="J5" s="1" t="s">
        <v>103</v>
      </c>
      <c r="L5" s="1" t="s">
        <v>101</v>
      </c>
      <c r="M5" s="1" t="s">
        <v>8</v>
      </c>
      <c r="N5" s="1" t="s">
        <v>9</v>
      </c>
      <c r="O5" s="1" t="s">
        <v>103</v>
      </c>
      <c r="Q5" s="1" t="s">
        <v>101</v>
      </c>
      <c r="R5" s="1" t="s">
        <v>8</v>
      </c>
      <c r="S5" s="1" t="s">
        <v>9</v>
      </c>
      <c r="T5" s="1" t="s">
        <v>103</v>
      </c>
      <c r="V5" s="1" t="s">
        <v>101</v>
      </c>
      <c r="W5" s="1" t="s">
        <v>8</v>
      </c>
      <c r="X5" s="1" t="s">
        <v>9</v>
      </c>
      <c r="Y5" s="1" t="s">
        <v>103</v>
      </c>
      <c r="AA5" s="1" t="s">
        <v>101</v>
      </c>
      <c r="AB5" s="1" t="s">
        <v>8</v>
      </c>
      <c r="AC5" s="1" t="s">
        <v>9</v>
      </c>
      <c r="AD5" s="1" t="s">
        <v>103</v>
      </c>
      <c r="AF5" s="1" t="s">
        <v>101</v>
      </c>
      <c r="AG5" s="1" t="s">
        <v>8</v>
      </c>
      <c r="AH5" s="1" t="s">
        <v>9</v>
      </c>
      <c r="AI5" s="1" t="s">
        <v>103</v>
      </c>
    </row>
    <row r="6" spans="1:36">
      <c r="A6" s="1">
        <v>0</v>
      </c>
      <c r="B6" s="121">
        <v>0</v>
      </c>
      <c r="C6" s="122">
        <v>0</v>
      </c>
      <c r="D6" s="122">
        <v>0</v>
      </c>
      <c r="E6" s="121">
        <v>0</v>
      </c>
      <c r="F6" t="e">
        <f>(C6*5900+D6*3200+E6*300+$D$4*B6)/B6</f>
        <v>#DIV/0!</v>
      </c>
      <c r="G6" s="121">
        <v>0</v>
      </c>
      <c r="H6" s="122">
        <v>0</v>
      </c>
      <c r="I6" s="122">
        <v>0</v>
      </c>
      <c r="J6" s="121">
        <v>0</v>
      </c>
      <c r="K6" t="e">
        <f>(H6*5900+I6*3200+J6*300+$I$4*G6)/G6</f>
        <v>#DIV/0!</v>
      </c>
      <c r="L6" s="121">
        <v>0</v>
      </c>
      <c r="M6" s="122">
        <v>0</v>
      </c>
      <c r="N6" s="121">
        <v>0</v>
      </c>
      <c r="O6" s="121">
        <v>0</v>
      </c>
      <c r="P6" t="e">
        <f t="shared" ref="P6:P18" si="0">(M6*5900+N6*3200+O6*300+$N$4*L6)/L6</f>
        <v>#DIV/0!</v>
      </c>
      <c r="Q6" s="121">
        <v>0</v>
      </c>
      <c r="R6" s="122">
        <v>0</v>
      </c>
      <c r="S6" s="121">
        <v>0</v>
      </c>
      <c r="T6" s="121">
        <v>0</v>
      </c>
      <c r="U6" t="e">
        <f>(R6*5900+S6*3200+T6*300+$S$4*Q6)/Q6</f>
        <v>#DIV/0!</v>
      </c>
      <c r="V6" s="1">
        <v>0</v>
      </c>
      <c r="W6" s="122">
        <v>0</v>
      </c>
      <c r="X6" s="121">
        <v>0</v>
      </c>
      <c r="Y6" s="121">
        <v>0</v>
      </c>
      <c r="Z6" t="e">
        <f>(W6*5900+X6*3200+Y6*300+$X$4*V6)/V6</f>
        <v>#DIV/0!</v>
      </c>
      <c r="AA6" s="1">
        <v>0</v>
      </c>
      <c r="AB6" s="122">
        <v>0</v>
      </c>
      <c r="AC6" s="121">
        <v>0</v>
      </c>
      <c r="AD6" s="121">
        <v>0</v>
      </c>
      <c r="AE6" t="e">
        <f>(AB6*5900+AC6*3200+AD6*300+$AC$4*AA6)/AA6</f>
        <v>#DIV/0!</v>
      </c>
      <c r="AF6" s="1">
        <v>0</v>
      </c>
      <c r="AG6" s="122">
        <v>0</v>
      </c>
      <c r="AH6" s="121">
        <v>0</v>
      </c>
      <c r="AI6" s="121">
        <v>0</v>
      </c>
      <c r="AJ6" t="e">
        <f>(AG6*5900+AH6*3200+AI6*300+$AH$4*AF6)/AF6</f>
        <v>#DIV/0!</v>
      </c>
    </row>
    <row r="7" spans="1:36">
      <c r="A7" s="1" t="s">
        <v>106</v>
      </c>
      <c r="B7" s="121">
        <v>1</v>
      </c>
      <c r="C7" s="122">
        <v>0</v>
      </c>
      <c r="D7" s="122">
        <f>0.3*1.2</f>
        <v>0.36</v>
      </c>
      <c r="E7" s="121">
        <v>0</v>
      </c>
      <c r="F7">
        <f t="shared" ref="F7:F18" si="1">(C7*5900+D7*3200+E7*300+$D$4*B7)/B7</f>
        <v>1166</v>
      </c>
      <c r="G7" s="121">
        <v>1</v>
      </c>
      <c r="H7" s="122">
        <v>0</v>
      </c>
      <c r="I7" s="122">
        <f t="shared" ref="I7:I18" si="2">D7*1.2</f>
        <v>0.432</v>
      </c>
      <c r="J7" s="121">
        <v>0</v>
      </c>
      <c r="K7">
        <f t="shared" ref="K7:K18" si="3">(H7*5900+I7*3200+J7*300+$I$4*G7)/G7</f>
        <v>1398.4</v>
      </c>
      <c r="L7" s="121">
        <v>1</v>
      </c>
      <c r="M7" s="122">
        <v>0</v>
      </c>
      <c r="N7" s="122">
        <f t="shared" ref="N7:N18" si="4">I7*1.2</f>
        <v>0.5184</v>
      </c>
      <c r="O7" s="121">
        <v>0</v>
      </c>
      <c r="P7">
        <f t="shared" si="0"/>
        <v>1682.88</v>
      </c>
      <c r="Q7" s="121">
        <v>1</v>
      </c>
      <c r="R7" s="122">
        <v>0</v>
      </c>
      <c r="S7" s="122">
        <f t="shared" ref="S7:S18" si="5">N7*1.1</f>
        <v>0.57024</v>
      </c>
      <c r="T7" s="121">
        <v>0</v>
      </c>
      <c r="U7">
        <f t="shared" ref="U7:U18" si="6">(R7*5900+S7*3200+T7*300+$N$4*Q7)/Q7</f>
        <v>1848.768</v>
      </c>
      <c r="V7" s="1">
        <v>1</v>
      </c>
      <c r="W7" s="122">
        <v>0</v>
      </c>
      <c r="X7" s="122">
        <f t="shared" ref="X7:X18" si="7">S7*1.1</f>
        <v>0.627264</v>
      </c>
      <c r="Y7" s="121">
        <v>0</v>
      </c>
      <c r="Z7">
        <f t="shared" ref="Z7:Z18" si="8">(W7*5900+X7*3200+Y7*300+$X$4*V7)/V7</f>
        <v>2047.2448</v>
      </c>
      <c r="AA7" s="1">
        <v>1</v>
      </c>
      <c r="AB7" s="122">
        <v>0</v>
      </c>
      <c r="AC7" s="122">
        <f t="shared" ref="AC7:AC18" si="9">X7*1.1</f>
        <v>0.6899904</v>
      </c>
      <c r="AD7" s="121">
        <v>0</v>
      </c>
      <c r="AE7">
        <f t="shared" ref="AE7:AE18" si="10">(AB7*5900+AC7*3200+AD7*300+$AC$4*AA7)/AA7</f>
        <v>2251.96928</v>
      </c>
      <c r="AF7" s="1">
        <v>1</v>
      </c>
      <c r="AG7" s="122">
        <v>0</v>
      </c>
      <c r="AH7" s="122">
        <f t="shared" ref="AH7:AH18" si="11">AC7*1.3</f>
        <v>0.89698752</v>
      </c>
      <c r="AI7" s="121">
        <v>0</v>
      </c>
      <c r="AJ7">
        <f t="shared" ref="AJ7:AJ18" si="12">(AG7*5900+AH7*3200+AI7*300+$AH$4*AF7)/AF7</f>
        <v>2918.360064</v>
      </c>
    </row>
    <row r="8" spans="1:36">
      <c r="A8" s="1" t="s">
        <v>107</v>
      </c>
      <c r="B8" s="121">
        <v>101</v>
      </c>
      <c r="C8" s="122">
        <v>0</v>
      </c>
      <c r="D8" s="122">
        <f t="shared" ref="D8:D18" si="13">D7*1.2</f>
        <v>0.432</v>
      </c>
      <c r="E8" s="121">
        <v>0</v>
      </c>
      <c r="F8">
        <f t="shared" si="1"/>
        <v>27.6871287128713</v>
      </c>
      <c r="G8" s="121">
        <v>101</v>
      </c>
      <c r="H8" s="122">
        <v>0</v>
      </c>
      <c r="I8" s="122">
        <f t="shared" si="2"/>
        <v>0.5184</v>
      </c>
      <c r="J8" s="121">
        <v>0</v>
      </c>
      <c r="K8">
        <f t="shared" si="3"/>
        <v>32.4245544554455</v>
      </c>
      <c r="L8" s="121">
        <v>101</v>
      </c>
      <c r="M8" s="122">
        <v>0</v>
      </c>
      <c r="N8" s="122">
        <f t="shared" si="4"/>
        <v>0.62208</v>
      </c>
      <c r="O8" s="121">
        <v>0</v>
      </c>
      <c r="P8">
        <f t="shared" si="0"/>
        <v>43.7094653465346</v>
      </c>
      <c r="Q8" s="121">
        <v>101</v>
      </c>
      <c r="R8" s="122">
        <v>0</v>
      </c>
      <c r="S8" s="122">
        <f t="shared" si="5"/>
        <v>0.684288</v>
      </c>
      <c r="T8" s="121">
        <v>0</v>
      </c>
      <c r="U8">
        <f t="shared" si="6"/>
        <v>45.6804118811881</v>
      </c>
      <c r="V8" s="1">
        <v>101</v>
      </c>
      <c r="W8" s="122">
        <v>0</v>
      </c>
      <c r="X8" s="122">
        <f t="shared" si="7"/>
        <v>0.7527168</v>
      </c>
      <c r="Y8" s="121">
        <v>0</v>
      </c>
      <c r="Z8">
        <f t="shared" si="8"/>
        <v>63.8484530693069</v>
      </c>
      <c r="AA8" s="1">
        <v>101</v>
      </c>
      <c r="AB8" s="122">
        <v>0</v>
      </c>
      <c r="AC8" s="122">
        <f t="shared" si="9"/>
        <v>0.82798848</v>
      </c>
      <c r="AD8" s="121">
        <v>0</v>
      </c>
      <c r="AE8">
        <f t="shared" si="10"/>
        <v>70.2332983762376</v>
      </c>
      <c r="AF8" s="1">
        <v>101</v>
      </c>
      <c r="AG8" s="122">
        <v>0</v>
      </c>
      <c r="AH8" s="122">
        <f t="shared" si="11"/>
        <v>1.076385024</v>
      </c>
      <c r="AI8" s="121">
        <v>0</v>
      </c>
      <c r="AJ8">
        <f t="shared" si="12"/>
        <v>82.1032878891089</v>
      </c>
    </row>
    <row r="9" spans="1:36">
      <c r="A9" s="1" t="s">
        <v>108</v>
      </c>
      <c r="B9" s="121">
        <v>201</v>
      </c>
      <c r="C9" s="122">
        <v>0.1</v>
      </c>
      <c r="D9" s="122">
        <f t="shared" si="13"/>
        <v>0.5184</v>
      </c>
      <c r="E9" s="121">
        <v>0</v>
      </c>
      <c r="F9">
        <f t="shared" si="1"/>
        <v>25.1884577114428</v>
      </c>
      <c r="G9" s="121">
        <v>201</v>
      </c>
      <c r="H9" s="122">
        <v>0.1</v>
      </c>
      <c r="I9" s="122">
        <f t="shared" si="2"/>
        <v>0.62208</v>
      </c>
      <c r="J9" s="121">
        <v>0</v>
      </c>
      <c r="K9">
        <f t="shared" si="3"/>
        <v>28.8390845771144</v>
      </c>
      <c r="L9" s="121">
        <v>201</v>
      </c>
      <c r="M9" s="122">
        <v>0.1</v>
      </c>
      <c r="N9" s="122">
        <f t="shared" si="4"/>
        <v>0.746496</v>
      </c>
      <c r="O9" s="121">
        <v>0</v>
      </c>
      <c r="P9">
        <f t="shared" si="0"/>
        <v>38.8198368159204</v>
      </c>
      <c r="Q9" s="121">
        <v>201</v>
      </c>
      <c r="R9" s="122">
        <v>0.1</v>
      </c>
      <c r="S9" s="122">
        <f t="shared" si="5"/>
        <v>0.8211456</v>
      </c>
      <c r="T9" s="121">
        <v>0</v>
      </c>
      <c r="U9">
        <f t="shared" si="6"/>
        <v>40.008288159204</v>
      </c>
      <c r="V9" s="1">
        <v>201</v>
      </c>
      <c r="W9" s="122">
        <v>0.1</v>
      </c>
      <c r="X9" s="122">
        <f t="shared" si="7"/>
        <v>0.90326016</v>
      </c>
      <c r="Y9" s="121">
        <v>0</v>
      </c>
      <c r="Z9">
        <f t="shared" si="8"/>
        <v>57.3155846368159</v>
      </c>
      <c r="AA9" s="1">
        <v>201</v>
      </c>
      <c r="AB9" s="122">
        <v>0.1</v>
      </c>
      <c r="AC9" s="122">
        <f t="shared" si="9"/>
        <v>0.993586176</v>
      </c>
      <c r="AD9" s="121">
        <v>0</v>
      </c>
      <c r="AE9">
        <f t="shared" si="10"/>
        <v>62.7536107621891</v>
      </c>
      <c r="AF9" s="1">
        <v>201</v>
      </c>
      <c r="AG9" s="122">
        <v>0.1</v>
      </c>
      <c r="AH9" s="122">
        <f t="shared" si="11"/>
        <v>1.2916620288</v>
      </c>
      <c r="AI9" s="121">
        <v>0</v>
      </c>
      <c r="AJ9">
        <f t="shared" si="12"/>
        <v>71.4990969759204</v>
      </c>
    </row>
    <row r="10" spans="1:36">
      <c r="A10" s="1" t="s">
        <v>109</v>
      </c>
      <c r="B10" s="121">
        <v>301</v>
      </c>
      <c r="C10" s="122">
        <v>0.1</v>
      </c>
      <c r="D10" s="122">
        <f t="shared" si="13"/>
        <v>0.62208</v>
      </c>
      <c r="E10" s="121">
        <v>0</v>
      </c>
      <c r="F10">
        <f t="shared" si="1"/>
        <v>22.5736079734219</v>
      </c>
      <c r="G10" s="121">
        <v>301</v>
      </c>
      <c r="H10" s="122">
        <v>0.1</v>
      </c>
      <c r="I10" s="122">
        <f t="shared" si="2"/>
        <v>0.746496</v>
      </c>
      <c r="J10" s="121">
        <v>0</v>
      </c>
      <c r="K10">
        <f t="shared" si="3"/>
        <v>25.8963029900332</v>
      </c>
      <c r="L10" s="121">
        <v>301</v>
      </c>
      <c r="M10" s="122">
        <v>0.1</v>
      </c>
      <c r="N10" s="122">
        <f t="shared" si="4"/>
        <v>0.8957952</v>
      </c>
      <c r="O10" s="121">
        <v>0</v>
      </c>
      <c r="P10">
        <f t="shared" si="0"/>
        <v>35.4835370099668</v>
      </c>
      <c r="Q10" s="121">
        <v>301</v>
      </c>
      <c r="R10" s="122">
        <v>0.1</v>
      </c>
      <c r="S10" s="122">
        <f t="shared" si="5"/>
        <v>0.98537472</v>
      </c>
      <c r="T10" s="121">
        <v>0</v>
      </c>
      <c r="U10">
        <f t="shared" si="6"/>
        <v>36.4358774219269</v>
      </c>
      <c r="V10" s="1">
        <v>301</v>
      </c>
      <c r="W10" s="122">
        <v>0.1</v>
      </c>
      <c r="X10" s="122">
        <f t="shared" si="7"/>
        <v>1.083912192</v>
      </c>
      <c r="Y10" s="121">
        <v>0</v>
      </c>
      <c r="Z10">
        <f t="shared" si="8"/>
        <v>53.4834518750831</v>
      </c>
      <c r="AA10" s="1">
        <v>301</v>
      </c>
      <c r="AB10" s="122">
        <v>0.1</v>
      </c>
      <c r="AC10" s="122">
        <f t="shared" si="9"/>
        <v>1.1923034112</v>
      </c>
      <c r="AD10" s="121">
        <v>0</v>
      </c>
      <c r="AE10">
        <f t="shared" si="10"/>
        <v>58.6357837735548</v>
      </c>
      <c r="AF10" s="1">
        <v>301</v>
      </c>
      <c r="AG10" s="122">
        <v>0.1</v>
      </c>
      <c r="AH10" s="122">
        <f t="shared" si="11"/>
        <v>1.54999443456</v>
      </c>
      <c r="AI10" s="121">
        <v>0</v>
      </c>
      <c r="AJ10">
        <f t="shared" si="12"/>
        <v>66.4384790385116</v>
      </c>
    </row>
    <row r="11" spans="1:36">
      <c r="A11" s="1" t="s">
        <v>110</v>
      </c>
      <c r="B11" s="121">
        <v>501</v>
      </c>
      <c r="C11" s="122">
        <f t="shared" ref="C11:C13" si="14">0.2</f>
        <v>0.2</v>
      </c>
      <c r="D11" s="122">
        <f t="shared" si="13"/>
        <v>0.746496</v>
      </c>
      <c r="E11" s="121">
        <v>0</v>
      </c>
      <c r="F11">
        <f t="shared" si="1"/>
        <v>21.123327744511</v>
      </c>
      <c r="G11" s="121">
        <v>501</v>
      </c>
      <c r="H11" s="122">
        <f t="shared" ref="H11:H13" si="15">0.2</f>
        <v>0.2</v>
      </c>
      <c r="I11" s="122">
        <f t="shared" si="2"/>
        <v>0.8957952</v>
      </c>
      <c r="J11" s="121">
        <v>0</v>
      </c>
      <c r="K11">
        <f t="shared" si="3"/>
        <v>24.0769354091816</v>
      </c>
      <c r="L11" s="121">
        <v>501</v>
      </c>
      <c r="M11" s="122">
        <f t="shared" ref="M11:M13" si="16">0.2</f>
        <v>0.2</v>
      </c>
      <c r="N11" s="122">
        <f t="shared" si="4"/>
        <v>1.07495424</v>
      </c>
      <c r="O11" s="121">
        <v>0</v>
      </c>
      <c r="P11">
        <f t="shared" si="0"/>
        <v>33.2212646067864</v>
      </c>
      <c r="Q11" s="121">
        <v>501</v>
      </c>
      <c r="R11" s="122">
        <f t="shared" ref="R11:R13" si="17">0.2</f>
        <v>0.2</v>
      </c>
      <c r="S11" s="122">
        <f t="shared" si="5"/>
        <v>1.182449664</v>
      </c>
      <c r="T11" s="121">
        <v>0</v>
      </c>
      <c r="U11">
        <f t="shared" si="6"/>
        <v>33.9078621253493</v>
      </c>
      <c r="V11" s="1">
        <v>501</v>
      </c>
      <c r="W11" s="122">
        <f t="shared" ref="W11:W13" si="18">0.2</f>
        <v>0.2</v>
      </c>
      <c r="X11" s="122">
        <f t="shared" si="7"/>
        <v>1.3006946304</v>
      </c>
      <c r="Y11" s="121">
        <v>0</v>
      </c>
      <c r="Z11">
        <f t="shared" si="8"/>
        <v>50.6631193957685</v>
      </c>
      <c r="AA11" s="1">
        <v>501</v>
      </c>
      <c r="AB11" s="122">
        <f t="shared" ref="AB11:AB13" si="19">0.2</f>
        <v>0.2</v>
      </c>
      <c r="AC11" s="122">
        <f t="shared" si="9"/>
        <v>1.43076409344</v>
      </c>
      <c r="AD11" s="121">
        <v>0</v>
      </c>
      <c r="AE11">
        <f t="shared" si="10"/>
        <v>55.4939023932295</v>
      </c>
      <c r="AF11" s="1">
        <v>501</v>
      </c>
      <c r="AG11" s="122">
        <f t="shared" ref="AG11:AG13" si="20">0.2</f>
        <v>0.2</v>
      </c>
      <c r="AH11" s="122">
        <f t="shared" si="11"/>
        <v>1.859993321472</v>
      </c>
      <c r="AI11" s="121">
        <v>0</v>
      </c>
      <c r="AJ11">
        <f t="shared" si="12"/>
        <v>62.2354862848511</v>
      </c>
    </row>
    <row r="12" spans="1:36">
      <c r="A12" s="1" t="s">
        <v>111</v>
      </c>
      <c r="B12" s="121">
        <v>701</v>
      </c>
      <c r="C12" s="122">
        <f t="shared" si="14"/>
        <v>0.2</v>
      </c>
      <c r="D12" s="122">
        <f t="shared" si="13"/>
        <v>0.8957952</v>
      </c>
      <c r="E12" s="121">
        <v>0</v>
      </c>
      <c r="F12">
        <f t="shared" si="1"/>
        <v>19.7725315834522</v>
      </c>
      <c r="G12" s="121">
        <v>701</v>
      </c>
      <c r="H12" s="122">
        <f t="shared" si="15"/>
        <v>0.2</v>
      </c>
      <c r="I12" s="122">
        <f t="shared" si="2"/>
        <v>1.07495424</v>
      </c>
      <c r="J12" s="121">
        <v>0</v>
      </c>
      <c r="K12">
        <f t="shared" si="3"/>
        <v>22.5903759885877</v>
      </c>
      <c r="L12" s="121">
        <v>701</v>
      </c>
      <c r="M12" s="122">
        <f t="shared" si="16"/>
        <v>0.2</v>
      </c>
      <c r="N12" s="122">
        <f t="shared" si="4"/>
        <v>1.289945088</v>
      </c>
      <c r="O12" s="121">
        <v>0</v>
      </c>
      <c r="P12">
        <f t="shared" si="0"/>
        <v>31.5717892747504</v>
      </c>
      <c r="Q12" s="121">
        <v>701</v>
      </c>
      <c r="R12" s="122">
        <f t="shared" si="17"/>
        <v>0.2</v>
      </c>
      <c r="S12" s="122">
        <f t="shared" si="5"/>
        <v>1.4189395968</v>
      </c>
      <c r="T12" s="121">
        <v>0</v>
      </c>
      <c r="U12">
        <f t="shared" si="6"/>
        <v>32.1606372464479</v>
      </c>
      <c r="V12" s="1">
        <v>701</v>
      </c>
      <c r="W12" s="122">
        <f t="shared" si="18"/>
        <v>0.2</v>
      </c>
      <c r="X12" s="122">
        <f t="shared" si="7"/>
        <v>1.56083355648</v>
      </c>
      <c r="Y12" s="121">
        <v>0</v>
      </c>
      <c r="Z12">
        <f t="shared" si="8"/>
        <v>48.8083700153153</v>
      </c>
      <c r="AA12" s="1">
        <v>701</v>
      </c>
      <c r="AB12" s="122">
        <f t="shared" si="19"/>
        <v>0.2</v>
      </c>
      <c r="AC12" s="122">
        <f t="shared" si="9"/>
        <v>1.716916912128</v>
      </c>
      <c r="AD12" s="121">
        <v>0</v>
      </c>
      <c r="AE12">
        <f t="shared" si="10"/>
        <v>53.5208760610693</v>
      </c>
      <c r="AF12" s="1">
        <v>701</v>
      </c>
      <c r="AG12" s="122">
        <f t="shared" si="20"/>
        <v>0.2</v>
      </c>
      <c r="AH12" s="122">
        <f t="shared" si="11"/>
        <v>2.2319919857664</v>
      </c>
      <c r="AI12" s="121">
        <v>0</v>
      </c>
      <c r="AJ12">
        <f t="shared" si="12"/>
        <v>59.8721460120577</v>
      </c>
    </row>
    <row r="13" spans="1:36">
      <c r="A13" s="1" t="s">
        <v>112</v>
      </c>
      <c r="B13" s="121">
        <v>901</v>
      </c>
      <c r="C13" s="122">
        <f t="shared" si="14"/>
        <v>0.2</v>
      </c>
      <c r="D13" s="122">
        <f t="shared" si="13"/>
        <v>1.07495424</v>
      </c>
      <c r="E13" s="121">
        <v>0</v>
      </c>
      <c r="F13">
        <f t="shared" si="1"/>
        <v>19.1274734384018</v>
      </c>
      <c r="G13" s="121">
        <v>901</v>
      </c>
      <c r="H13" s="122">
        <f t="shared" si="15"/>
        <v>0.2</v>
      </c>
      <c r="I13" s="122">
        <f t="shared" si="2"/>
        <v>1.289945088</v>
      </c>
      <c r="J13" s="121">
        <v>0</v>
      </c>
      <c r="K13">
        <f t="shared" si="3"/>
        <v>21.8910369385128</v>
      </c>
      <c r="L13" s="121">
        <v>901</v>
      </c>
      <c r="M13" s="122">
        <f t="shared" si="16"/>
        <v>0.2</v>
      </c>
      <c r="N13" s="122">
        <f t="shared" si="4"/>
        <v>1.5479341056</v>
      </c>
      <c r="O13" s="121">
        <v>0</v>
      </c>
      <c r="P13">
        <f t="shared" si="0"/>
        <v>30.8073131386459</v>
      </c>
      <c r="Q13" s="121">
        <v>901</v>
      </c>
      <c r="R13" s="122">
        <f t="shared" si="17"/>
        <v>0.2</v>
      </c>
      <c r="S13" s="122">
        <f t="shared" si="5"/>
        <v>1.70272751616</v>
      </c>
      <c r="T13" s="121">
        <v>0</v>
      </c>
      <c r="U13">
        <f t="shared" si="6"/>
        <v>31.3570788587259</v>
      </c>
      <c r="V13" s="1">
        <v>901</v>
      </c>
      <c r="W13" s="122">
        <f t="shared" si="18"/>
        <v>0.2</v>
      </c>
      <c r="X13" s="122">
        <f t="shared" si="7"/>
        <v>1.873000267776</v>
      </c>
      <c r="Y13" s="121">
        <v>0</v>
      </c>
      <c r="Z13">
        <f t="shared" si="8"/>
        <v>47.9618211508138</v>
      </c>
      <c r="AA13" s="1">
        <v>901</v>
      </c>
      <c r="AB13" s="122">
        <f t="shared" si="19"/>
        <v>0.2</v>
      </c>
      <c r="AC13" s="122">
        <f t="shared" si="9"/>
        <v>2.0603002945536</v>
      </c>
      <c r="AD13" s="121">
        <v>0</v>
      </c>
      <c r="AE13">
        <f t="shared" si="10"/>
        <v>52.6270376721105</v>
      </c>
      <c r="AF13" s="1">
        <v>901</v>
      </c>
      <c r="AG13" s="122">
        <f t="shared" si="20"/>
        <v>0.2</v>
      </c>
      <c r="AH13" s="122">
        <f t="shared" si="11"/>
        <v>2.67839038291968</v>
      </c>
      <c r="AI13" s="121">
        <v>0</v>
      </c>
      <c r="AJ13">
        <f t="shared" si="12"/>
        <v>58.8222521923895</v>
      </c>
    </row>
    <row r="14" spans="1:36">
      <c r="A14" s="1" t="s">
        <v>113</v>
      </c>
      <c r="B14" s="121">
        <v>1001</v>
      </c>
      <c r="C14" s="122">
        <v>0.2</v>
      </c>
      <c r="D14" s="122">
        <f t="shared" si="13"/>
        <v>1.289945088</v>
      </c>
      <c r="E14" s="121">
        <v>0</v>
      </c>
      <c r="F14">
        <f t="shared" si="1"/>
        <v>19.3025217598402</v>
      </c>
      <c r="G14" s="121">
        <v>1001</v>
      </c>
      <c r="H14" s="122">
        <v>0.2</v>
      </c>
      <c r="I14" s="122">
        <f t="shared" si="2"/>
        <v>1.5479341056</v>
      </c>
      <c r="J14" s="121">
        <v>0</v>
      </c>
      <c r="K14">
        <f t="shared" si="3"/>
        <v>22.127261876044</v>
      </c>
      <c r="L14" s="121">
        <v>1001</v>
      </c>
      <c r="M14" s="122">
        <v>0.2</v>
      </c>
      <c r="N14" s="122">
        <f t="shared" si="4"/>
        <v>1.85752092672</v>
      </c>
      <c r="O14" s="121">
        <v>0</v>
      </c>
      <c r="P14">
        <f t="shared" si="0"/>
        <v>31.1169500154885</v>
      </c>
      <c r="Q14" s="121">
        <v>1001</v>
      </c>
      <c r="R14" s="122">
        <v>0.2</v>
      </c>
      <c r="S14" s="122">
        <f t="shared" si="5"/>
        <v>2.043273019392</v>
      </c>
      <c r="T14" s="121">
        <v>0</v>
      </c>
      <c r="U14">
        <f t="shared" si="6"/>
        <v>31.7107628991552</v>
      </c>
      <c r="V14" s="1">
        <v>1001</v>
      </c>
      <c r="W14" s="122">
        <v>0.2</v>
      </c>
      <c r="X14" s="122">
        <f t="shared" si="7"/>
        <v>2.2476003213312</v>
      </c>
      <c r="Y14" s="121">
        <v>0</v>
      </c>
      <c r="Z14">
        <f t="shared" si="8"/>
        <v>48.3639570711887</v>
      </c>
      <c r="AA14" s="1">
        <v>1001</v>
      </c>
      <c r="AB14" s="122">
        <v>0.2</v>
      </c>
      <c r="AC14" s="122">
        <f t="shared" si="9"/>
        <v>2.47236035346432</v>
      </c>
      <c r="AD14" s="121">
        <v>0</v>
      </c>
      <c r="AE14">
        <f t="shared" si="10"/>
        <v>53.0824706604254</v>
      </c>
      <c r="AF14" s="1">
        <v>1001</v>
      </c>
      <c r="AG14" s="122">
        <v>0.2</v>
      </c>
      <c r="AH14" s="122">
        <f t="shared" si="11"/>
        <v>3.21406845950362</v>
      </c>
      <c r="AI14" s="121">
        <v>0</v>
      </c>
      <c r="AJ14">
        <f t="shared" si="12"/>
        <v>59.4535655049067</v>
      </c>
    </row>
    <row r="15" spans="1:36">
      <c r="A15" s="1" t="s">
        <v>114</v>
      </c>
      <c r="B15" s="121">
        <v>1201</v>
      </c>
      <c r="C15" s="122">
        <v>0.2</v>
      </c>
      <c r="D15" s="122">
        <f t="shared" si="13"/>
        <v>1.5479341056</v>
      </c>
      <c r="E15" s="121">
        <v>0</v>
      </c>
      <c r="F15">
        <f t="shared" si="1"/>
        <v>19.1069018633805</v>
      </c>
      <c r="G15" s="121">
        <v>1201</v>
      </c>
      <c r="H15" s="122">
        <v>0.2</v>
      </c>
      <c r="I15" s="122">
        <f t="shared" si="2"/>
        <v>1.85752092672</v>
      </c>
      <c r="J15" s="121">
        <v>0</v>
      </c>
      <c r="K15">
        <f t="shared" si="3"/>
        <v>21.9317793218185</v>
      </c>
      <c r="L15" s="121">
        <v>1201</v>
      </c>
      <c r="M15" s="122">
        <v>0.2</v>
      </c>
      <c r="N15" s="122">
        <f t="shared" si="4"/>
        <v>2.229025112064</v>
      </c>
      <c r="O15" s="121">
        <v>0</v>
      </c>
      <c r="P15">
        <f t="shared" si="0"/>
        <v>30.921632271944</v>
      </c>
      <c r="Q15" s="121">
        <v>1201</v>
      </c>
      <c r="R15" s="122">
        <v>0.2</v>
      </c>
      <c r="S15" s="122">
        <f t="shared" si="5"/>
        <v>2.4519276232704</v>
      </c>
      <c r="T15" s="121">
        <v>0</v>
      </c>
      <c r="U15">
        <f t="shared" si="6"/>
        <v>31.5155440420194</v>
      </c>
      <c r="V15" s="1">
        <v>1201</v>
      </c>
      <c r="W15" s="122">
        <v>0.2</v>
      </c>
      <c r="X15" s="122">
        <f t="shared" si="7"/>
        <v>2.69712038559744</v>
      </c>
      <c r="Y15" s="121">
        <v>0</v>
      </c>
      <c r="Z15">
        <f t="shared" si="8"/>
        <v>48.1688469891023</v>
      </c>
      <c r="AA15" s="1">
        <v>1201</v>
      </c>
      <c r="AB15" s="122">
        <v>0.2</v>
      </c>
      <c r="AC15" s="122">
        <f t="shared" si="9"/>
        <v>2.96683242415718</v>
      </c>
      <c r="AD15" s="121">
        <v>0</v>
      </c>
      <c r="AE15">
        <f t="shared" si="10"/>
        <v>52.8874802308934</v>
      </c>
      <c r="AF15" s="1">
        <v>1201</v>
      </c>
      <c r="AG15" s="122">
        <v>0.2</v>
      </c>
      <c r="AH15" s="122">
        <f t="shared" si="11"/>
        <v>3.85688215140434</v>
      </c>
      <c r="AI15" s="121">
        <v>0</v>
      </c>
      <c r="AJ15">
        <f t="shared" si="12"/>
        <v>59.2589699288042</v>
      </c>
    </row>
    <row r="16" spans="1:36">
      <c r="A16" s="1" t="s">
        <v>115</v>
      </c>
      <c r="B16" s="121">
        <v>1401</v>
      </c>
      <c r="C16" s="122">
        <v>0.3</v>
      </c>
      <c r="D16" s="122">
        <f t="shared" si="13"/>
        <v>1.85752092672</v>
      </c>
      <c r="E16" s="121">
        <v>0</v>
      </c>
      <c r="F16">
        <f t="shared" si="1"/>
        <v>19.5061148932934</v>
      </c>
      <c r="G16" s="121">
        <v>1401</v>
      </c>
      <c r="H16" s="122">
        <v>0.3</v>
      </c>
      <c r="I16" s="122">
        <f t="shared" si="2"/>
        <v>2.229025112064</v>
      </c>
      <c r="J16" s="121">
        <v>0</v>
      </c>
      <c r="K16">
        <f t="shared" si="3"/>
        <v>22.3546612124231</v>
      </c>
      <c r="L16" s="121">
        <v>1401</v>
      </c>
      <c r="M16" s="122">
        <v>0.3</v>
      </c>
      <c r="N16" s="122">
        <f t="shared" si="4"/>
        <v>2.6748301344768</v>
      </c>
      <c r="O16" s="121">
        <v>0</v>
      </c>
      <c r="P16">
        <f t="shared" si="0"/>
        <v>31.3729167953788</v>
      </c>
      <c r="Q16" s="121">
        <v>1401</v>
      </c>
      <c r="R16" s="122">
        <v>0.3</v>
      </c>
      <c r="S16" s="122">
        <f t="shared" si="5"/>
        <v>2.94231314792448</v>
      </c>
      <c r="T16" s="121">
        <v>0</v>
      </c>
      <c r="U16">
        <f t="shared" si="6"/>
        <v>31.9838701451523</v>
      </c>
      <c r="V16" s="1">
        <v>1401</v>
      </c>
      <c r="W16" s="122">
        <v>0.3</v>
      </c>
      <c r="X16" s="122">
        <f t="shared" si="7"/>
        <v>3.23654446271693</v>
      </c>
      <c r="Y16" s="121">
        <v>0</v>
      </c>
      <c r="Z16">
        <f t="shared" si="8"/>
        <v>48.6559188299031</v>
      </c>
      <c r="AA16" s="1">
        <v>1401</v>
      </c>
      <c r="AB16" s="122">
        <v>0.3</v>
      </c>
      <c r="AC16" s="122">
        <f t="shared" si="9"/>
        <v>3.56019890898862</v>
      </c>
      <c r="AD16" s="121">
        <v>0</v>
      </c>
      <c r="AE16">
        <f t="shared" si="10"/>
        <v>53.3951723831289</v>
      </c>
      <c r="AF16" s="1">
        <v>1401</v>
      </c>
      <c r="AG16" s="122">
        <v>0.3</v>
      </c>
      <c r="AH16" s="122">
        <f t="shared" si="11"/>
        <v>4.62825858168521</v>
      </c>
      <c r="AI16" s="121">
        <v>0</v>
      </c>
      <c r="AJ16">
        <f t="shared" si="12"/>
        <v>59.8347091087742</v>
      </c>
    </row>
    <row r="17" spans="1:36">
      <c r="A17" s="1" t="s">
        <v>116</v>
      </c>
      <c r="B17" s="121">
        <v>1601</v>
      </c>
      <c r="C17" s="122">
        <v>0.3</v>
      </c>
      <c r="D17" s="122">
        <f t="shared" si="13"/>
        <v>2.229025112064</v>
      </c>
      <c r="E17" s="121">
        <v>0</v>
      </c>
      <c r="F17">
        <f t="shared" si="1"/>
        <v>19.5608247086851</v>
      </c>
      <c r="G17" s="121">
        <v>1601</v>
      </c>
      <c r="H17" s="122">
        <v>0.3</v>
      </c>
      <c r="I17" s="122">
        <f t="shared" si="2"/>
        <v>2.6748301344768</v>
      </c>
      <c r="J17" s="121">
        <v>0</v>
      </c>
      <c r="K17">
        <f t="shared" si="3"/>
        <v>22.4518778453003</v>
      </c>
      <c r="L17" s="121">
        <v>1601</v>
      </c>
      <c r="M17" s="122">
        <v>0.3</v>
      </c>
      <c r="N17" s="122">
        <f t="shared" si="4"/>
        <v>3.20979616137216</v>
      </c>
      <c r="O17" s="121">
        <v>0</v>
      </c>
      <c r="P17">
        <f t="shared" si="0"/>
        <v>31.5211416092385</v>
      </c>
      <c r="Q17" s="121">
        <v>1601</v>
      </c>
      <c r="R17" s="122">
        <v>0.3</v>
      </c>
      <c r="S17" s="122">
        <f t="shared" si="5"/>
        <v>3.53077577750937</v>
      </c>
      <c r="T17" s="121">
        <v>0</v>
      </c>
      <c r="U17">
        <f t="shared" si="6"/>
        <v>32.1626998676015</v>
      </c>
      <c r="V17" s="1">
        <v>1601</v>
      </c>
      <c r="W17" s="122">
        <v>0.3</v>
      </c>
      <c r="X17" s="122">
        <f t="shared" si="7"/>
        <v>3.88385335526031</v>
      </c>
      <c r="Y17" s="121">
        <v>0</v>
      </c>
      <c r="Z17">
        <f t="shared" si="8"/>
        <v>48.8684139518007</v>
      </c>
      <c r="AA17" s="1">
        <v>1601</v>
      </c>
      <c r="AB17" s="122">
        <v>0.3</v>
      </c>
      <c r="AC17" s="122">
        <f t="shared" si="9"/>
        <v>4.27223869078634</v>
      </c>
      <c r="AD17" s="121">
        <v>0</v>
      </c>
      <c r="AE17">
        <f t="shared" si="10"/>
        <v>53.6446994444199</v>
      </c>
      <c r="AF17" s="1">
        <v>1601</v>
      </c>
      <c r="AG17" s="122">
        <v>0.3</v>
      </c>
      <c r="AH17" s="122">
        <f t="shared" si="11"/>
        <v>5.55391029802225</v>
      </c>
      <c r="AI17" s="121">
        <v>0</v>
      </c>
      <c r="AJ17">
        <f t="shared" si="12"/>
        <v>60.2064415700632</v>
      </c>
    </row>
    <row r="18" spans="1:36">
      <c r="A18" s="1" t="s">
        <v>117</v>
      </c>
      <c r="B18" s="121">
        <v>1801</v>
      </c>
      <c r="C18" s="122">
        <v>0.3</v>
      </c>
      <c r="D18" s="122">
        <f t="shared" si="13"/>
        <v>2.6748301344768</v>
      </c>
      <c r="E18" s="121">
        <v>0</v>
      </c>
      <c r="F18">
        <f t="shared" si="1"/>
        <v>19.7354005720854</v>
      </c>
      <c r="G18" s="121">
        <v>1801</v>
      </c>
      <c r="H18" s="122">
        <v>0.3</v>
      </c>
      <c r="I18" s="122">
        <f t="shared" si="2"/>
        <v>3.20979616137216</v>
      </c>
      <c r="J18" s="121">
        <v>0</v>
      </c>
      <c r="K18">
        <f t="shared" si="3"/>
        <v>22.6859232184292</v>
      </c>
      <c r="L18" s="121">
        <v>1801</v>
      </c>
      <c r="M18" s="122">
        <v>0.3</v>
      </c>
      <c r="N18" s="122">
        <f t="shared" si="4"/>
        <v>3.85175539364659</v>
      </c>
      <c r="O18" s="121">
        <v>0</v>
      </c>
      <c r="P18">
        <f t="shared" si="0"/>
        <v>31.8265503940417</v>
      </c>
      <c r="Q18" s="121">
        <v>1801</v>
      </c>
      <c r="R18" s="122">
        <v>0.3</v>
      </c>
      <c r="S18" s="122">
        <f t="shared" si="5"/>
        <v>4.23693093301125</v>
      </c>
      <c r="T18" s="121">
        <v>0</v>
      </c>
      <c r="U18">
        <f t="shared" si="6"/>
        <v>32.5109266994092</v>
      </c>
      <c r="V18" s="1">
        <v>1801</v>
      </c>
      <c r="W18" s="122">
        <v>0.3</v>
      </c>
      <c r="X18" s="122">
        <f t="shared" si="7"/>
        <v>4.66062402631237</v>
      </c>
      <c r="Y18" s="121">
        <v>0</v>
      </c>
      <c r="Z18">
        <f t="shared" si="8"/>
        <v>49.2637406353135</v>
      </c>
      <c r="AA18" s="1">
        <v>1801</v>
      </c>
      <c r="AB18" s="122">
        <v>0.3</v>
      </c>
      <c r="AC18" s="122">
        <f t="shared" si="9"/>
        <v>5.12668642894361</v>
      </c>
      <c r="AD18" s="121">
        <v>0</v>
      </c>
      <c r="AE18">
        <f t="shared" si="10"/>
        <v>54.0918359648082</v>
      </c>
      <c r="AF18" s="1">
        <v>1801</v>
      </c>
      <c r="AG18" s="122">
        <v>0.3</v>
      </c>
      <c r="AH18" s="122">
        <f t="shared" si="11"/>
        <v>6.6646923576267</v>
      </c>
      <c r="AI18" s="121">
        <v>0</v>
      </c>
      <c r="AJ18">
        <f t="shared" si="12"/>
        <v>60.8245505521407</v>
      </c>
    </row>
    <row r="19" spans="1:36">
      <c r="B19" s="1"/>
      <c r="C19" s="1"/>
      <c r="D19" s="1"/>
      <c r="E19" s="1"/>
      <c r="G19" s="1"/>
      <c r="H19" s="1"/>
      <c r="I19" s="1"/>
      <c r="J19" s="1"/>
      <c r="L19" s="1"/>
      <c r="M19" s="1"/>
      <c r="N19" s="1"/>
      <c r="O19" s="1"/>
      <c r="Q19" s="1"/>
      <c r="R19" s="1"/>
      <c r="S19" s="1"/>
      <c r="T19" s="1"/>
      <c r="V19" s="1"/>
      <c r="W19" s="1"/>
      <c r="X19" s="1"/>
      <c r="Y19" s="1"/>
      <c r="AA19" s="1"/>
      <c r="AB19" s="1"/>
      <c r="AC19" s="1"/>
      <c r="AD19" s="1"/>
      <c r="AF19" s="1"/>
      <c r="AG19" s="1"/>
      <c r="AH19" s="1"/>
      <c r="AI19" s="1"/>
    </row>
    <row r="20" ht="18.95" customHeight="1" spans="1:36">
      <c r="B20" s="84" t="s">
        <v>436</v>
      </c>
      <c r="C20" s="84"/>
      <c r="D20" s="118" t="s">
        <v>442</v>
      </c>
      <c r="E20" s="118"/>
      <c r="G20" s="84" t="s">
        <v>436</v>
      </c>
      <c r="H20" s="84"/>
      <c r="I20" s="118" t="s">
        <v>442</v>
      </c>
      <c r="J20" s="118"/>
      <c r="L20" s="84" t="s">
        <v>436</v>
      </c>
      <c r="M20" s="84"/>
      <c r="N20" s="118" t="s">
        <v>442</v>
      </c>
      <c r="O20" s="118"/>
      <c r="Q20" s="84" t="s">
        <v>436</v>
      </c>
      <c r="R20" s="84"/>
      <c r="S20" s="118" t="s">
        <v>442</v>
      </c>
      <c r="T20" s="118"/>
      <c r="V20" s="84" t="s">
        <v>436</v>
      </c>
      <c r="W20" s="84"/>
      <c r="X20" s="118" t="s">
        <v>442</v>
      </c>
      <c r="Y20" s="118"/>
      <c r="AA20" s="84" t="s">
        <v>436</v>
      </c>
      <c r="AB20" s="84"/>
      <c r="AC20" s="118" t="s">
        <v>442</v>
      </c>
      <c r="AD20" s="118"/>
      <c r="AF20" s="84" t="s">
        <v>436</v>
      </c>
      <c r="AG20" s="84"/>
      <c r="AH20" s="118" t="s">
        <v>442</v>
      </c>
      <c r="AI20" s="118"/>
    </row>
    <row r="21" ht="18.95" customHeight="1" spans="1:36">
      <c r="B21" s="119" t="s">
        <v>192</v>
      </c>
      <c r="C21" s="119"/>
      <c r="D21" s="118" t="s">
        <v>199</v>
      </c>
      <c r="E21" s="118"/>
      <c r="G21" s="119" t="s">
        <v>192</v>
      </c>
      <c r="H21" s="119"/>
      <c r="I21" s="118" t="s">
        <v>203</v>
      </c>
      <c r="J21" s="118"/>
      <c r="L21" s="119" t="s">
        <v>192</v>
      </c>
      <c r="M21" s="119"/>
      <c r="N21" s="118" t="s">
        <v>335</v>
      </c>
      <c r="O21" s="118"/>
      <c r="Q21" s="119" t="s">
        <v>192</v>
      </c>
      <c r="R21" s="119"/>
      <c r="S21" s="118" t="s">
        <v>438</v>
      </c>
      <c r="T21" s="118"/>
      <c r="V21" s="119" t="s">
        <v>192</v>
      </c>
      <c r="W21" s="119"/>
      <c r="X21" s="118" t="s">
        <v>439</v>
      </c>
      <c r="Y21" s="118"/>
      <c r="AA21" s="119" t="s">
        <v>192</v>
      </c>
      <c r="AB21" s="119"/>
      <c r="AC21" s="118" t="s">
        <v>440</v>
      </c>
      <c r="AD21" s="118"/>
      <c r="AF21" s="119" t="s">
        <v>192</v>
      </c>
      <c r="AG21" s="119"/>
      <c r="AH21" s="118" t="s">
        <v>338</v>
      </c>
      <c r="AI21" s="118"/>
    </row>
    <row r="22" ht="18.95" customHeight="1" spans="1:36">
      <c r="B22" s="120" t="s">
        <v>441</v>
      </c>
      <c r="C22" s="120"/>
      <c r="D22" s="118">
        <v>18</v>
      </c>
      <c r="E22" s="118"/>
      <c r="F22">
        <f>AVERAGE(F26:F36)</f>
        <v>28.0134589218316</v>
      </c>
      <c r="G22" s="120" t="s">
        <v>441</v>
      </c>
      <c r="H22" s="120"/>
      <c r="I22" s="118">
        <v>22</v>
      </c>
      <c r="J22" s="118"/>
      <c r="L22" s="120" t="s">
        <v>441</v>
      </c>
      <c r="M22" s="120"/>
      <c r="N22" s="118">
        <v>30</v>
      </c>
      <c r="O22" s="118"/>
      <c r="P22">
        <f>AVERAGE(P25:P36)</f>
        <v>220.289336645764</v>
      </c>
      <c r="Q22" s="120" t="s">
        <v>441</v>
      </c>
      <c r="R22" s="120"/>
      <c r="S22" s="118">
        <v>38</v>
      </c>
      <c r="T22" s="118"/>
      <c r="V22" s="120" t="s">
        <v>441</v>
      </c>
      <c r="W22" s="120"/>
      <c r="X22" s="118">
        <v>44</v>
      </c>
      <c r="Y22" s="118"/>
      <c r="AA22" s="120" t="s">
        <v>441</v>
      </c>
      <c r="AB22" s="120"/>
      <c r="AC22" s="118">
        <v>50</v>
      </c>
      <c r="AD22" s="118"/>
      <c r="AF22" s="120" t="s">
        <v>441</v>
      </c>
      <c r="AG22" s="120"/>
      <c r="AH22" s="118">
        <v>56</v>
      </c>
      <c r="AI22" s="118"/>
    </row>
    <row r="23" spans="1:36">
      <c r="B23" s="1" t="s">
        <v>101</v>
      </c>
      <c r="C23" s="121" t="s">
        <v>8</v>
      </c>
      <c r="D23" s="121" t="s">
        <v>9</v>
      </c>
      <c r="E23" s="121" t="s">
        <v>103</v>
      </c>
      <c r="G23" s="1" t="s">
        <v>101</v>
      </c>
      <c r="H23" s="121" t="s">
        <v>8</v>
      </c>
      <c r="I23" s="121" t="s">
        <v>9</v>
      </c>
      <c r="J23" s="121" t="s">
        <v>103</v>
      </c>
      <c r="L23" s="1" t="s">
        <v>101</v>
      </c>
      <c r="M23" s="121" t="s">
        <v>8</v>
      </c>
      <c r="N23" s="121" t="s">
        <v>9</v>
      </c>
      <c r="O23" s="121" t="s">
        <v>103</v>
      </c>
      <c r="Q23" s="1" t="s">
        <v>101</v>
      </c>
      <c r="R23" s="121" t="s">
        <v>8</v>
      </c>
      <c r="S23" s="121" t="s">
        <v>9</v>
      </c>
      <c r="T23" s="121" t="s">
        <v>103</v>
      </c>
      <c r="V23" s="1" t="s">
        <v>101</v>
      </c>
      <c r="W23" s="121" t="s">
        <v>8</v>
      </c>
      <c r="X23" s="121" t="s">
        <v>9</v>
      </c>
      <c r="Y23" s="121" t="s">
        <v>103</v>
      </c>
      <c r="AA23" s="1" t="s">
        <v>101</v>
      </c>
      <c r="AB23" s="121" t="s">
        <v>8</v>
      </c>
      <c r="AC23" s="121" t="s">
        <v>9</v>
      </c>
      <c r="AD23" s="121" t="s">
        <v>103</v>
      </c>
      <c r="AF23" s="1" t="s">
        <v>101</v>
      </c>
      <c r="AG23" s="121" t="s">
        <v>8</v>
      </c>
      <c r="AH23" s="121" t="s">
        <v>9</v>
      </c>
      <c r="AI23" s="121" t="s">
        <v>103</v>
      </c>
    </row>
    <row r="24" spans="1:36">
      <c r="B24" s="1">
        <v>0</v>
      </c>
      <c r="C24" s="122">
        <v>0</v>
      </c>
      <c r="D24" s="121">
        <v>0</v>
      </c>
      <c r="E24" s="121">
        <v>0</v>
      </c>
      <c r="F24" t="e">
        <f>(C24*5900+D24*3200+E24*300+$D$22*B24)/B24</f>
        <v>#DIV/0!</v>
      </c>
      <c r="G24" s="1">
        <v>0</v>
      </c>
      <c r="H24" s="122">
        <v>0</v>
      </c>
      <c r="I24" s="121">
        <v>0</v>
      </c>
      <c r="J24" s="121">
        <v>0</v>
      </c>
      <c r="L24" s="1">
        <v>0</v>
      </c>
      <c r="M24" s="122">
        <v>0</v>
      </c>
      <c r="N24" s="121">
        <v>0</v>
      </c>
      <c r="O24" s="121">
        <v>0</v>
      </c>
      <c r="P24" t="e">
        <f>(M24*7200+N24*3200+O24*300+$N$22*L24)/L24</f>
        <v>#DIV/0!</v>
      </c>
      <c r="Q24" s="1">
        <v>0</v>
      </c>
      <c r="R24" s="122">
        <v>0</v>
      </c>
      <c r="S24" s="121">
        <v>0</v>
      </c>
      <c r="T24" s="121">
        <v>0</v>
      </c>
      <c r="V24" s="1">
        <v>0</v>
      </c>
      <c r="W24" s="122">
        <v>0</v>
      </c>
      <c r="X24" s="121">
        <v>0</v>
      </c>
      <c r="Y24" s="121">
        <v>0</v>
      </c>
      <c r="AA24" s="1">
        <v>0</v>
      </c>
      <c r="AB24" s="122">
        <v>0</v>
      </c>
      <c r="AC24" s="121">
        <v>0</v>
      </c>
      <c r="AD24" s="121">
        <v>0</v>
      </c>
      <c r="AF24" s="1">
        <v>0</v>
      </c>
      <c r="AG24" s="122">
        <v>0</v>
      </c>
      <c r="AH24" s="122">
        <v>0</v>
      </c>
      <c r="AI24" s="122">
        <v>0</v>
      </c>
    </row>
    <row r="25" spans="1:36">
      <c r="B25" s="1">
        <v>1</v>
      </c>
      <c r="C25" s="122">
        <v>0</v>
      </c>
      <c r="D25" s="122">
        <f t="shared" ref="D25:D36" si="21">D7*1.5</f>
        <v>0.54</v>
      </c>
      <c r="E25" s="121">
        <v>0</v>
      </c>
      <c r="F25">
        <f t="shared" ref="F25:F36" si="22">(C25*5900+D25*3200+E25*300+$D$22*B25)/B25</f>
        <v>1746</v>
      </c>
      <c r="G25" s="1">
        <v>1</v>
      </c>
      <c r="H25" s="122">
        <v>0</v>
      </c>
      <c r="I25" s="122">
        <f t="shared" ref="I25:I36" si="23">D25*1.2</f>
        <v>0.648</v>
      </c>
      <c r="J25" s="121">
        <v>0</v>
      </c>
      <c r="L25" s="1">
        <v>1</v>
      </c>
      <c r="M25" s="122">
        <v>0</v>
      </c>
      <c r="N25" s="122">
        <f t="shared" ref="N25:N36" si="24">I25*1.2</f>
        <v>0.7776</v>
      </c>
      <c r="O25" s="121">
        <v>0</v>
      </c>
      <c r="P25">
        <f>(M25*7200+N25*3200+O25*500)/L25</f>
        <v>2488.32</v>
      </c>
      <c r="Q25" s="1">
        <v>1</v>
      </c>
      <c r="R25" s="122">
        <v>0</v>
      </c>
      <c r="S25" s="122">
        <f t="shared" ref="S25:S36" si="25">N25*1.1</f>
        <v>0.85536</v>
      </c>
      <c r="T25" s="121">
        <v>0</v>
      </c>
      <c r="V25" s="1">
        <v>1</v>
      </c>
      <c r="W25" s="122">
        <v>0</v>
      </c>
      <c r="X25" s="122">
        <f t="shared" ref="X25:X36" si="26">S25*1.1</f>
        <v>0.940896</v>
      </c>
      <c r="Y25" s="121">
        <v>0</v>
      </c>
      <c r="AA25" s="1">
        <v>1</v>
      </c>
      <c r="AB25" s="122">
        <v>0</v>
      </c>
      <c r="AC25" s="122">
        <f t="shared" ref="AC25:AC36" si="27">X25*1.1</f>
        <v>1.0349856</v>
      </c>
      <c r="AD25" s="121">
        <v>0</v>
      </c>
      <c r="AF25" s="1">
        <v>1</v>
      </c>
      <c r="AG25" s="122">
        <v>0</v>
      </c>
      <c r="AH25" s="122">
        <f t="shared" ref="AH25:AH36" si="28">AC25*1.1</f>
        <v>1.13848416</v>
      </c>
      <c r="AI25" s="122">
        <v>0</v>
      </c>
    </row>
    <row r="26" spans="1:36">
      <c r="B26" s="1">
        <v>101</v>
      </c>
      <c r="C26" s="122">
        <v>0</v>
      </c>
      <c r="D26" s="122">
        <f t="shared" si="21"/>
        <v>0.648</v>
      </c>
      <c r="E26" s="121">
        <v>0</v>
      </c>
      <c r="F26">
        <f t="shared" si="22"/>
        <v>38.5306930693069</v>
      </c>
      <c r="G26" s="1">
        <v>101</v>
      </c>
      <c r="H26" s="122">
        <v>0</v>
      </c>
      <c r="I26" s="122">
        <f t="shared" si="23"/>
        <v>0.7776</v>
      </c>
      <c r="J26" s="121">
        <v>0</v>
      </c>
      <c r="L26" s="1">
        <v>101</v>
      </c>
      <c r="M26" s="122">
        <v>0</v>
      </c>
      <c r="N26" s="122">
        <f t="shared" si="24"/>
        <v>0.93312</v>
      </c>
      <c r="O26" s="121">
        <v>0</v>
      </c>
      <c r="P26">
        <f t="shared" ref="P26:P36" si="29">(M26*7200+N26*3200+O26*500)/L26</f>
        <v>29.564198019802</v>
      </c>
      <c r="Q26" s="1">
        <v>101</v>
      </c>
      <c r="R26" s="122">
        <v>0</v>
      </c>
      <c r="S26" s="122">
        <f t="shared" si="25"/>
        <v>1.026432</v>
      </c>
      <c r="T26" s="121">
        <v>0</v>
      </c>
      <c r="V26" s="1">
        <v>101</v>
      </c>
      <c r="W26" s="122">
        <v>0</v>
      </c>
      <c r="X26" s="122">
        <f t="shared" si="26"/>
        <v>1.1290752</v>
      </c>
      <c r="Y26" s="121">
        <v>0</v>
      </c>
      <c r="AA26" s="1">
        <v>101</v>
      </c>
      <c r="AB26" s="122">
        <v>0</v>
      </c>
      <c r="AC26" s="122">
        <f t="shared" si="27"/>
        <v>1.24198272</v>
      </c>
      <c r="AD26" s="121">
        <v>0</v>
      </c>
      <c r="AF26" s="1">
        <v>101</v>
      </c>
      <c r="AG26" s="122">
        <v>0</v>
      </c>
      <c r="AH26" s="122">
        <f t="shared" si="28"/>
        <v>1.366180992</v>
      </c>
      <c r="AI26" s="122">
        <v>0</v>
      </c>
    </row>
    <row r="27" spans="1:36">
      <c r="B27" s="1">
        <v>201</v>
      </c>
      <c r="C27" s="122">
        <v>0.1</v>
      </c>
      <c r="D27" s="122">
        <f t="shared" si="21"/>
        <v>0.7776</v>
      </c>
      <c r="E27" s="121">
        <v>0</v>
      </c>
      <c r="F27">
        <f t="shared" si="22"/>
        <v>33.3150248756219</v>
      </c>
      <c r="G27" s="1">
        <v>201</v>
      </c>
      <c r="H27" s="122">
        <v>0.1</v>
      </c>
      <c r="I27" s="122">
        <f t="shared" si="23"/>
        <v>0.93312</v>
      </c>
      <c r="J27" s="121">
        <v>0</v>
      </c>
      <c r="L27" s="1">
        <v>201</v>
      </c>
      <c r="M27" s="122">
        <v>0.1</v>
      </c>
      <c r="N27" s="122">
        <f t="shared" si="24"/>
        <v>1.119744</v>
      </c>
      <c r="O27" s="121">
        <v>0</v>
      </c>
      <c r="P27">
        <f t="shared" si="29"/>
        <v>21.4088597014925</v>
      </c>
      <c r="Q27" s="1">
        <v>201</v>
      </c>
      <c r="R27" s="122">
        <v>0.1</v>
      </c>
      <c r="S27" s="122">
        <f t="shared" si="25"/>
        <v>1.2317184</v>
      </c>
      <c r="T27" s="121">
        <v>0</v>
      </c>
      <c r="V27" s="1">
        <v>201</v>
      </c>
      <c r="W27" s="122">
        <v>0.1</v>
      </c>
      <c r="X27" s="122">
        <f t="shared" si="26"/>
        <v>1.35489024</v>
      </c>
      <c r="Y27" s="121">
        <v>0</v>
      </c>
      <c r="AA27" s="1">
        <v>201</v>
      </c>
      <c r="AB27" s="122">
        <v>0.1</v>
      </c>
      <c r="AC27" s="122">
        <f t="shared" si="27"/>
        <v>1.490379264</v>
      </c>
      <c r="AD27" s="121">
        <v>0</v>
      </c>
      <c r="AF27" s="1">
        <v>201</v>
      </c>
      <c r="AG27" s="122">
        <v>0.1</v>
      </c>
      <c r="AH27" s="122">
        <f t="shared" si="28"/>
        <v>1.6394171904</v>
      </c>
      <c r="AI27" s="122">
        <v>0</v>
      </c>
    </row>
    <row r="28" spans="1:36">
      <c r="B28" s="1">
        <v>301</v>
      </c>
      <c r="C28" s="122">
        <v>0.1</v>
      </c>
      <c r="D28" s="122">
        <f t="shared" si="21"/>
        <v>0.93312</v>
      </c>
      <c r="E28" s="121">
        <v>0</v>
      </c>
      <c r="F28">
        <f t="shared" si="22"/>
        <v>29.8803455149502</v>
      </c>
      <c r="G28" s="1">
        <v>301</v>
      </c>
      <c r="H28" s="122">
        <v>0.1</v>
      </c>
      <c r="I28" s="122">
        <f t="shared" si="23"/>
        <v>1.119744</v>
      </c>
      <c r="J28" s="121">
        <v>0</v>
      </c>
      <c r="L28" s="1">
        <v>301</v>
      </c>
      <c r="M28" s="122">
        <v>0.1</v>
      </c>
      <c r="N28" s="122">
        <f t="shared" si="24"/>
        <v>1.3436928</v>
      </c>
      <c r="O28" s="121">
        <v>0</v>
      </c>
      <c r="P28">
        <f t="shared" si="29"/>
        <v>16.6771327574751</v>
      </c>
      <c r="Q28" s="1">
        <v>301</v>
      </c>
      <c r="R28" s="122">
        <v>0.1</v>
      </c>
      <c r="S28" s="122">
        <f t="shared" si="25"/>
        <v>1.47806208</v>
      </c>
      <c r="T28" s="121">
        <v>0</v>
      </c>
      <c r="V28" s="1">
        <v>301</v>
      </c>
      <c r="W28" s="122">
        <v>0.1</v>
      </c>
      <c r="X28" s="122">
        <f t="shared" si="26"/>
        <v>1.625868288</v>
      </c>
      <c r="Y28" s="121">
        <v>0</v>
      </c>
      <c r="AA28" s="1">
        <v>301</v>
      </c>
      <c r="AB28" s="122">
        <v>0.1</v>
      </c>
      <c r="AC28" s="122">
        <f t="shared" si="27"/>
        <v>1.7884551168</v>
      </c>
      <c r="AD28" s="121">
        <v>0</v>
      </c>
      <c r="AF28" s="1">
        <v>301</v>
      </c>
      <c r="AG28" s="122">
        <v>0.1</v>
      </c>
      <c r="AH28" s="122">
        <f t="shared" si="28"/>
        <v>1.96730062848</v>
      </c>
      <c r="AI28" s="122">
        <v>0</v>
      </c>
    </row>
    <row r="29" spans="1:36">
      <c r="B29" s="1">
        <v>501</v>
      </c>
      <c r="C29" s="122">
        <f t="shared" ref="C29:C31" si="30">0.2</f>
        <v>0.2</v>
      </c>
      <c r="D29" s="122">
        <f t="shared" si="21"/>
        <v>1.119744</v>
      </c>
      <c r="E29" s="121">
        <v>0</v>
      </c>
      <c r="F29">
        <f t="shared" si="22"/>
        <v>27.5073469061876</v>
      </c>
      <c r="G29" s="1">
        <v>501</v>
      </c>
      <c r="H29" s="122">
        <f t="shared" ref="H29:H31" si="31">0.2</f>
        <v>0.2</v>
      </c>
      <c r="I29" s="122">
        <f t="shared" si="23"/>
        <v>1.3436928</v>
      </c>
      <c r="J29" s="121">
        <v>0</v>
      </c>
      <c r="L29" s="1">
        <v>501</v>
      </c>
      <c r="M29" s="122">
        <f t="shared" ref="M29:M31" si="32">0.2</f>
        <v>0.2</v>
      </c>
      <c r="N29" s="122">
        <f t="shared" si="24"/>
        <v>1.61243136</v>
      </c>
      <c r="O29" s="121">
        <v>0</v>
      </c>
      <c r="P29">
        <f t="shared" si="29"/>
        <v>13.1732142754491</v>
      </c>
      <c r="Q29" s="1">
        <v>501</v>
      </c>
      <c r="R29" s="122">
        <f t="shared" ref="R29:R31" si="33">0.2</f>
        <v>0.2</v>
      </c>
      <c r="S29" s="122">
        <f t="shared" si="25"/>
        <v>1.773674496</v>
      </c>
      <c r="T29" s="121">
        <v>0</v>
      </c>
      <c r="V29" s="1">
        <v>501</v>
      </c>
      <c r="W29" s="122">
        <f t="shared" ref="W29:W31" si="34">0.2</f>
        <v>0.2</v>
      </c>
      <c r="X29" s="122">
        <f t="shared" si="26"/>
        <v>1.9510419456</v>
      </c>
      <c r="Y29" s="121">
        <v>0</v>
      </c>
      <c r="AA29" s="1">
        <v>501</v>
      </c>
      <c r="AB29" s="122">
        <f t="shared" ref="AB29:AB31" si="35">0.2</f>
        <v>0.2</v>
      </c>
      <c r="AC29" s="122">
        <f t="shared" si="27"/>
        <v>2.14614614016</v>
      </c>
      <c r="AD29" s="121">
        <v>0</v>
      </c>
      <c r="AF29" s="1">
        <v>501</v>
      </c>
      <c r="AG29" s="122">
        <f t="shared" ref="AG29:AG31" si="36">0.2</f>
        <v>0.2</v>
      </c>
      <c r="AH29" s="122">
        <f t="shared" si="28"/>
        <v>2.360760754176</v>
      </c>
      <c r="AI29" s="122">
        <v>0</v>
      </c>
    </row>
    <row r="30" spans="1:36">
      <c r="B30" s="1">
        <v>701</v>
      </c>
      <c r="C30" s="122">
        <f t="shared" si="30"/>
        <v>0.2</v>
      </c>
      <c r="D30" s="122">
        <f t="shared" si="21"/>
        <v>1.3436928</v>
      </c>
      <c r="E30" s="121">
        <v>0</v>
      </c>
      <c r="F30">
        <f t="shared" si="22"/>
        <v>25.817142596291</v>
      </c>
      <c r="G30" s="1">
        <v>701</v>
      </c>
      <c r="H30" s="122">
        <f t="shared" si="31"/>
        <v>0.2</v>
      </c>
      <c r="I30" s="122">
        <f t="shared" si="23"/>
        <v>1.61243136</v>
      </c>
      <c r="J30" s="121">
        <v>0</v>
      </c>
      <c r="L30" s="1">
        <v>701</v>
      </c>
      <c r="M30" s="122">
        <f t="shared" si="32"/>
        <v>0.2</v>
      </c>
      <c r="N30" s="122">
        <f t="shared" si="24"/>
        <v>1.934917632</v>
      </c>
      <c r="O30" s="121">
        <v>0</v>
      </c>
      <c r="P30">
        <f t="shared" si="29"/>
        <v>10.8869278493581</v>
      </c>
      <c r="Q30" s="1">
        <v>701</v>
      </c>
      <c r="R30" s="122">
        <f t="shared" si="33"/>
        <v>0.2</v>
      </c>
      <c r="S30" s="122">
        <f t="shared" si="25"/>
        <v>2.1284093952</v>
      </c>
      <c r="T30" s="121">
        <v>0</v>
      </c>
      <c r="V30" s="1">
        <v>701</v>
      </c>
      <c r="W30" s="122">
        <f t="shared" si="34"/>
        <v>0.2</v>
      </c>
      <c r="X30" s="122">
        <f t="shared" si="26"/>
        <v>2.34125033472</v>
      </c>
      <c r="Y30" s="121">
        <v>0</v>
      </c>
      <c r="AA30" s="1">
        <v>701</v>
      </c>
      <c r="AB30" s="122">
        <f t="shared" si="35"/>
        <v>0.2</v>
      </c>
      <c r="AC30" s="122">
        <f t="shared" si="27"/>
        <v>2.575375368192</v>
      </c>
      <c r="AD30" s="121">
        <v>0</v>
      </c>
      <c r="AF30" s="1">
        <v>701</v>
      </c>
      <c r="AG30" s="122">
        <f t="shared" si="36"/>
        <v>0.2</v>
      </c>
      <c r="AH30" s="122">
        <f t="shared" si="28"/>
        <v>2.8329129050112</v>
      </c>
      <c r="AI30" s="122">
        <v>0</v>
      </c>
    </row>
    <row r="31" spans="1:36">
      <c r="B31" s="1">
        <v>901</v>
      </c>
      <c r="C31" s="122">
        <f t="shared" si="30"/>
        <v>0.2</v>
      </c>
      <c r="D31" s="122">
        <f t="shared" si="21"/>
        <v>1.61243136</v>
      </c>
      <c r="E31" s="121">
        <v>0</v>
      </c>
      <c r="F31">
        <f t="shared" si="22"/>
        <v>25.0363821886792</v>
      </c>
      <c r="G31" s="1">
        <v>901</v>
      </c>
      <c r="H31" s="122">
        <f t="shared" si="31"/>
        <v>0.2</v>
      </c>
      <c r="I31" s="122">
        <f t="shared" si="23"/>
        <v>1.934917632</v>
      </c>
      <c r="J31" s="121">
        <v>0</v>
      </c>
      <c r="L31" s="1">
        <v>901</v>
      </c>
      <c r="M31" s="122">
        <f t="shared" si="32"/>
        <v>0.2</v>
      </c>
      <c r="N31" s="122">
        <f t="shared" si="24"/>
        <v>2.3219011584</v>
      </c>
      <c r="O31" s="121">
        <v>0</v>
      </c>
      <c r="P31">
        <f t="shared" si="29"/>
        <v>9.84470999653718</v>
      </c>
      <c r="Q31" s="1">
        <v>901</v>
      </c>
      <c r="R31" s="122">
        <f t="shared" si="33"/>
        <v>0.2</v>
      </c>
      <c r="S31" s="122">
        <f t="shared" si="25"/>
        <v>2.55409127424</v>
      </c>
      <c r="T31" s="121">
        <v>0</v>
      </c>
      <c r="V31" s="1">
        <v>901</v>
      </c>
      <c r="W31" s="122">
        <f t="shared" si="34"/>
        <v>0.2</v>
      </c>
      <c r="X31" s="122">
        <f t="shared" si="26"/>
        <v>2.809500401664</v>
      </c>
      <c r="Y31" s="121">
        <v>0</v>
      </c>
      <c r="AA31" s="1">
        <v>901</v>
      </c>
      <c r="AB31" s="122">
        <f t="shared" si="35"/>
        <v>0.2</v>
      </c>
      <c r="AC31" s="122">
        <f t="shared" si="27"/>
        <v>3.0904504418304</v>
      </c>
      <c r="AD31" s="121">
        <v>0</v>
      </c>
      <c r="AF31" s="1">
        <v>901</v>
      </c>
      <c r="AG31" s="122">
        <f t="shared" si="36"/>
        <v>0.2</v>
      </c>
      <c r="AH31" s="122">
        <f t="shared" si="28"/>
        <v>3.39949548601344</v>
      </c>
      <c r="AI31" s="122">
        <v>0</v>
      </c>
    </row>
    <row r="32" spans="1:36">
      <c r="B32" s="1">
        <v>1001</v>
      </c>
      <c r="C32" s="122">
        <v>0.2</v>
      </c>
      <c r="D32" s="122">
        <f t="shared" si="21"/>
        <v>1.934917632</v>
      </c>
      <c r="E32" s="121">
        <v>0</v>
      </c>
      <c r="F32">
        <f t="shared" si="22"/>
        <v>25.3643720503496</v>
      </c>
      <c r="G32" s="1">
        <v>1001</v>
      </c>
      <c r="H32" s="122">
        <v>0.2</v>
      </c>
      <c r="I32" s="122">
        <f t="shared" si="23"/>
        <v>2.3219011584</v>
      </c>
      <c r="J32" s="121">
        <v>0</v>
      </c>
      <c r="L32" s="1">
        <v>1001</v>
      </c>
      <c r="M32" s="122">
        <v>0.2</v>
      </c>
      <c r="N32" s="122">
        <f t="shared" si="24"/>
        <v>2.78628139008</v>
      </c>
      <c r="O32" s="121">
        <v>0</v>
      </c>
      <c r="P32">
        <f t="shared" si="29"/>
        <v>10.3457546935624</v>
      </c>
      <c r="Q32" s="1">
        <v>1001</v>
      </c>
      <c r="R32" s="122">
        <v>0.2</v>
      </c>
      <c r="S32" s="122">
        <f t="shared" si="25"/>
        <v>3.064909529088</v>
      </c>
      <c r="T32" s="121">
        <v>0</v>
      </c>
      <c r="V32" s="1">
        <v>1001</v>
      </c>
      <c r="W32" s="122">
        <v>0.2</v>
      </c>
      <c r="X32" s="122">
        <f t="shared" si="26"/>
        <v>3.3714004819968</v>
      </c>
      <c r="Y32" s="121">
        <v>0</v>
      </c>
      <c r="AA32" s="1">
        <v>1001</v>
      </c>
      <c r="AB32" s="122">
        <v>0.2</v>
      </c>
      <c r="AC32" s="122">
        <f t="shared" si="27"/>
        <v>3.70854053019648</v>
      </c>
      <c r="AD32" s="121">
        <v>0</v>
      </c>
      <c r="AF32" s="1">
        <v>1001</v>
      </c>
      <c r="AG32" s="122">
        <v>0.2</v>
      </c>
      <c r="AH32" s="122">
        <f t="shared" si="28"/>
        <v>4.07939458321613</v>
      </c>
      <c r="AI32" s="122">
        <v>0</v>
      </c>
    </row>
    <row r="33" spans="2:35">
      <c r="B33" s="1">
        <v>1201</v>
      </c>
      <c r="C33" s="122">
        <v>0.2</v>
      </c>
      <c r="D33" s="122">
        <f t="shared" si="21"/>
        <v>2.3219011584</v>
      </c>
      <c r="E33" s="121">
        <v>0</v>
      </c>
      <c r="F33">
        <f t="shared" si="22"/>
        <v>25.1690955094754</v>
      </c>
      <c r="G33" s="1">
        <v>1201</v>
      </c>
      <c r="H33" s="122">
        <v>0.2</v>
      </c>
      <c r="I33" s="122">
        <f t="shared" si="23"/>
        <v>2.78628139008</v>
      </c>
      <c r="J33" s="121">
        <v>0</v>
      </c>
      <c r="L33" s="1">
        <v>1201</v>
      </c>
      <c r="M33" s="122">
        <v>0.2</v>
      </c>
      <c r="N33" s="122">
        <f t="shared" si="24"/>
        <v>3.343537668096</v>
      </c>
      <c r="O33" s="121">
        <v>0</v>
      </c>
      <c r="P33">
        <f t="shared" si="29"/>
        <v>10.1076773837695</v>
      </c>
      <c r="Q33" s="1">
        <v>1201</v>
      </c>
      <c r="R33" s="122">
        <v>0.2</v>
      </c>
      <c r="S33" s="122">
        <f t="shared" si="25"/>
        <v>3.6778914349056</v>
      </c>
      <c r="T33" s="121">
        <v>0</v>
      </c>
      <c r="V33" s="1">
        <v>1201</v>
      </c>
      <c r="W33" s="122">
        <v>0.2</v>
      </c>
      <c r="X33" s="122">
        <f t="shared" si="26"/>
        <v>4.04568057839616</v>
      </c>
      <c r="Y33" s="121">
        <v>0</v>
      </c>
      <c r="AA33" s="1">
        <v>1201</v>
      </c>
      <c r="AB33" s="122">
        <v>0.2</v>
      </c>
      <c r="AC33" s="122">
        <f t="shared" si="27"/>
        <v>4.45024863623578</v>
      </c>
      <c r="AD33" s="121">
        <v>0</v>
      </c>
      <c r="AF33" s="1">
        <v>1201</v>
      </c>
      <c r="AG33" s="122">
        <v>0.2</v>
      </c>
      <c r="AH33" s="122">
        <f t="shared" si="28"/>
        <v>4.89527349985935</v>
      </c>
      <c r="AI33" s="122">
        <v>0</v>
      </c>
    </row>
    <row r="34" spans="2:35">
      <c r="B34" s="1">
        <v>1401</v>
      </c>
      <c r="C34" s="122">
        <v>0.3</v>
      </c>
      <c r="D34" s="122">
        <f t="shared" si="21"/>
        <v>2.78628139008</v>
      </c>
      <c r="E34" s="121">
        <v>0</v>
      </c>
      <c r="F34">
        <f t="shared" si="22"/>
        <v>25.6274806911178</v>
      </c>
      <c r="G34" s="1">
        <v>1401</v>
      </c>
      <c r="H34" s="122">
        <v>0.3</v>
      </c>
      <c r="I34" s="122">
        <f t="shared" si="23"/>
        <v>3.343537668096</v>
      </c>
      <c r="J34" s="121">
        <v>0</v>
      </c>
      <c r="L34" s="1">
        <v>1401</v>
      </c>
      <c r="M34" s="122">
        <v>0.3</v>
      </c>
      <c r="N34" s="122">
        <f t="shared" si="24"/>
        <v>4.0122452017152</v>
      </c>
      <c r="O34" s="121">
        <v>0</v>
      </c>
      <c r="P34">
        <f t="shared" si="29"/>
        <v>10.7060561352524</v>
      </c>
      <c r="Q34" s="1">
        <v>1401</v>
      </c>
      <c r="R34" s="122">
        <v>0.3</v>
      </c>
      <c r="S34" s="122">
        <f t="shared" si="25"/>
        <v>4.41346972188672</v>
      </c>
      <c r="T34" s="121">
        <v>0</v>
      </c>
      <c r="V34" s="1">
        <v>1401</v>
      </c>
      <c r="W34" s="122">
        <v>0.3</v>
      </c>
      <c r="X34" s="122">
        <f t="shared" si="26"/>
        <v>4.85481669407539</v>
      </c>
      <c r="Y34" s="121">
        <v>0</v>
      </c>
      <c r="AA34" s="1">
        <v>1401</v>
      </c>
      <c r="AB34" s="122">
        <v>0.3</v>
      </c>
      <c r="AC34" s="122">
        <f t="shared" si="27"/>
        <v>5.34029836348293</v>
      </c>
      <c r="AD34" s="121">
        <v>0</v>
      </c>
      <c r="AF34" s="1">
        <v>1401</v>
      </c>
      <c r="AG34" s="122">
        <v>0.3</v>
      </c>
      <c r="AH34" s="122">
        <f t="shared" si="28"/>
        <v>5.87432819983122</v>
      </c>
      <c r="AI34" s="122">
        <v>0</v>
      </c>
    </row>
    <row r="35" spans="2:35">
      <c r="B35" s="1">
        <v>1601</v>
      </c>
      <c r="C35" s="122">
        <v>0.3</v>
      </c>
      <c r="D35" s="122">
        <f t="shared" si="21"/>
        <v>3.343537668096</v>
      </c>
      <c r="E35" s="121">
        <v>0</v>
      </c>
      <c r="F35">
        <f t="shared" si="22"/>
        <v>25.7884575502231</v>
      </c>
      <c r="G35" s="1">
        <v>1601</v>
      </c>
      <c r="H35" s="122">
        <v>0.3</v>
      </c>
      <c r="I35" s="122">
        <f t="shared" si="23"/>
        <v>4.0122452017152</v>
      </c>
      <c r="J35" s="121">
        <v>0</v>
      </c>
      <c r="L35" s="1">
        <v>1601</v>
      </c>
      <c r="M35" s="122">
        <v>0.3</v>
      </c>
      <c r="N35" s="122">
        <f t="shared" si="24"/>
        <v>4.81469424205824</v>
      </c>
      <c r="O35" s="121">
        <v>0</v>
      </c>
      <c r="P35">
        <f t="shared" si="29"/>
        <v>10.9725306524587</v>
      </c>
      <c r="Q35" s="1">
        <v>1601</v>
      </c>
      <c r="R35" s="122">
        <v>0.3</v>
      </c>
      <c r="S35" s="122">
        <f t="shared" si="25"/>
        <v>5.29616366626406</v>
      </c>
      <c r="T35" s="121">
        <v>0</v>
      </c>
      <c r="V35" s="1">
        <v>1601</v>
      </c>
      <c r="W35" s="122">
        <v>0.3</v>
      </c>
      <c r="X35" s="122">
        <f t="shared" si="26"/>
        <v>5.82578003289047</v>
      </c>
      <c r="Y35" s="121">
        <v>0</v>
      </c>
      <c r="AA35" s="1">
        <v>1601</v>
      </c>
      <c r="AB35" s="122">
        <v>0.3</v>
      </c>
      <c r="AC35" s="122">
        <f t="shared" si="27"/>
        <v>6.40835803617952</v>
      </c>
      <c r="AD35" s="121">
        <v>0</v>
      </c>
      <c r="AF35" s="1">
        <v>1601</v>
      </c>
      <c r="AG35" s="122">
        <v>0.3</v>
      </c>
      <c r="AH35" s="122">
        <f t="shared" si="28"/>
        <v>7.04919383979747</v>
      </c>
      <c r="AI35" s="122">
        <v>0</v>
      </c>
    </row>
    <row r="36" spans="2:35">
      <c r="B36" s="1">
        <v>1801</v>
      </c>
      <c r="C36" s="122">
        <v>0.3</v>
      </c>
      <c r="D36" s="122">
        <f t="shared" si="21"/>
        <v>4.0122452017152</v>
      </c>
      <c r="E36" s="121">
        <v>0</v>
      </c>
      <c r="F36">
        <f t="shared" si="22"/>
        <v>26.1117071879448</v>
      </c>
      <c r="G36" s="1">
        <v>1801</v>
      </c>
      <c r="H36" s="122">
        <v>0.3</v>
      </c>
      <c r="I36" s="122">
        <f t="shared" si="23"/>
        <v>4.81469424205824</v>
      </c>
      <c r="J36" s="121">
        <v>0</v>
      </c>
      <c r="L36" s="1">
        <v>1801</v>
      </c>
      <c r="M36" s="122">
        <v>0.3</v>
      </c>
      <c r="N36" s="122">
        <f t="shared" si="24"/>
        <v>5.77763309046988</v>
      </c>
      <c r="O36" s="121">
        <v>0</v>
      </c>
      <c r="P36">
        <f t="shared" si="29"/>
        <v>11.4649782840109</v>
      </c>
      <c r="Q36" s="1">
        <v>1801</v>
      </c>
      <c r="R36" s="122">
        <v>0.3</v>
      </c>
      <c r="S36" s="122">
        <f t="shared" si="25"/>
        <v>6.35539639951687</v>
      </c>
      <c r="T36" s="121">
        <v>0</v>
      </c>
      <c r="V36" s="1">
        <v>1801</v>
      </c>
      <c r="W36" s="122">
        <v>0.3</v>
      </c>
      <c r="X36" s="122">
        <f t="shared" si="26"/>
        <v>6.99093603946856</v>
      </c>
      <c r="Y36" s="121">
        <v>0</v>
      </c>
      <c r="AA36" s="1">
        <v>1801</v>
      </c>
      <c r="AB36" s="122">
        <v>0.3</v>
      </c>
      <c r="AC36" s="122">
        <f t="shared" si="27"/>
        <v>7.69002964341542</v>
      </c>
      <c r="AD36" s="121">
        <v>0</v>
      </c>
      <c r="AF36" s="1">
        <v>1801</v>
      </c>
      <c r="AG36" s="122">
        <v>0.3</v>
      </c>
      <c r="AH36" s="122">
        <f t="shared" si="28"/>
        <v>8.45903260775696</v>
      </c>
      <c r="AI36" s="122">
        <v>0</v>
      </c>
    </row>
    <row r="37" spans="2:35">
      <c r="B37" s="1"/>
      <c r="C37" s="1"/>
      <c r="D37" s="1"/>
      <c r="E37" s="1"/>
      <c r="G37" s="1"/>
      <c r="H37" s="1"/>
      <c r="I37" s="1"/>
      <c r="J37" s="1"/>
      <c r="L37" s="1"/>
      <c r="M37" s="1"/>
      <c r="N37" s="1"/>
      <c r="O37" s="1"/>
      <c r="Q37" s="1"/>
      <c r="R37" s="1"/>
      <c r="S37" s="1"/>
      <c r="T37" s="1"/>
      <c r="V37" s="1"/>
      <c r="W37" s="1"/>
      <c r="X37" s="1"/>
      <c r="Y37" s="1"/>
      <c r="AA37" s="1"/>
      <c r="AB37" s="1"/>
      <c r="AC37" s="1"/>
      <c r="AD37" s="1"/>
      <c r="AF37" s="1"/>
      <c r="AG37" s="1"/>
      <c r="AH37" s="1"/>
      <c r="AI37" s="1"/>
    </row>
    <row r="38" ht="18.95" customHeight="1" spans="2:35">
      <c r="B38" s="84" t="s">
        <v>436</v>
      </c>
      <c r="C38" s="84"/>
      <c r="D38" s="118" t="s">
        <v>443</v>
      </c>
      <c r="E38" s="118"/>
      <c r="G38" s="84" t="s">
        <v>436</v>
      </c>
      <c r="H38" s="84"/>
      <c r="I38" s="118" t="s">
        <v>443</v>
      </c>
      <c r="J38" s="118"/>
      <c r="L38" s="84" t="s">
        <v>436</v>
      </c>
      <c r="M38" s="84"/>
      <c r="N38" s="118" t="s">
        <v>443</v>
      </c>
      <c r="O38" s="118"/>
      <c r="Q38" s="84" t="s">
        <v>436</v>
      </c>
      <c r="R38" s="84"/>
      <c r="S38" s="118" t="s">
        <v>443</v>
      </c>
      <c r="T38" s="118"/>
      <c r="V38" s="84" t="s">
        <v>436</v>
      </c>
      <c r="W38" s="84"/>
      <c r="X38" s="118" t="s">
        <v>443</v>
      </c>
      <c r="Y38" s="118"/>
      <c r="AA38" s="84" t="s">
        <v>436</v>
      </c>
      <c r="AB38" s="84"/>
      <c r="AC38" s="118" t="s">
        <v>443</v>
      </c>
      <c r="AD38" s="118"/>
      <c r="AF38" s="84" t="s">
        <v>436</v>
      </c>
      <c r="AG38" s="84"/>
      <c r="AH38" s="118" t="s">
        <v>443</v>
      </c>
      <c r="AI38" s="118"/>
    </row>
    <row r="39" ht="18.95" customHeight="1" spans="2:35">
      <c r="B39" s="119" t="s">
        <v>192</v>
      </c>
      <c r="C39" s="119"/>
      <c r="D39" s="118" t="s">
        <v>199</v>
      </c>
      <c r="E39" s="118"/>
      <c r="G39" s="119" t="s">
        <v>192</v>
      </c>
      <c r="H39" s="119"/>
      <c r="I39" s="118" t="s">
        <v>203</v>
      </c>
      <c r="J39" s="118"/>
      <c r="L39" s="119" t="s">
        <v>192</v>
      </c>
      <c r="M39" s="119"/>
      <c r="N39" s="118" t="s">
        <v>335</v>
      </c>
      <c r="O39" s="118"/>
      <c r="Q39" s="119" t="s">
        <v>192</v>
      </c>
      <c r="R39" s="119"/>
      <c r="S39" s="118" t="s">
        <v>438</v>
      </c>
      <c r="T39" s="118"/>
      <c r="V39" s="119" t="s">
        <v>192</v>
      </c>
      <c r="W39" s="119"/>
      <c r="X39" s="118" t="s">
        <v>439</v>
      </c>
      <c r="Y39" s="118"/>
      <c r="AA39" s="119" t="s">
        <v>192</v>
      </c>
      <c r="AB39" s="119"/>
      <c r="AC39" s="118" t="s">
        <v>440</v>
      </c>
      <c r="AD39" s="118"/>
      <c r="AF39" s="119" t="s">
        <v>192</v>
      </c>
      <c r="AG39" s="119"/>
      <c r="AH39" s="118" t="s">
        <v>338</v>
      </c>
      <c r="AI39" s="118"/>
    </row>
    <row r="40" ht="18.95" customHeight="1" spans="2:35">
      <c r="B40" s="120" t="s">
        <v>441</v>
      </c>
      <c r="C40" s="120"/>
      <c r="D40" s="118">
        <v>10</v>
      </c>
      <c r="E40" s="118"/>
      <c r="G40" s="120" t="s">
        <v>441</v>
      </c>
      <c r="H40" s="120"/>
      <c r="I40" s="118">
        <v>14</v>
      </c>
      <c r="J40" s="118"/>
      <c r="K40">
        <f>AVERAGE(K44:K54)</f>
        <v>25.3120697208971</v>
      </c>
      <c r="L40" s="120" t="s">
        <v>441</v>
      </c>
      <c r="M40" s="120"/>
      <c r="N40" s="118">
        <v>16</v>
      </c>
      <c r="O40" s="118"/>
      <c r="P40">
        <f>AVERAGE(P44:P54)</f>
        <v>13.6749199818901</v>
      </c>
      <c r="Q40" s="120" t="s">
        <v>441</v>
      </c>
      <c r="R40" s="120"/>
      <c r="S40" s="118">
        <v>20</v>
      </c>
      <c r="T40" s="118"/>
      <c r="U40">
        <f>AVERAGE(U44:U54)</f>
        <v>30.4028181709902</v>
      </c>
      <c r="V40" s="120" t="s">
        <v>441</v>
      </c>
      <c r="W40" s="120"/>
      <c r="X40" s="118">
        <v>25</v>
      </c>
      <c r="Y40" s="118"/>
      <c r="AA40" s="120" t="s">
        <v>441</v>
      </c>
      <c r="AB40" s="120"/>
      <c r="AC40" s="118">
        <v>30</v>
      </c>
      <c r="AD40" s="118"/>
      <c r="AF40" s="120" t="s">
        <v>441</v>
      </c>
      <c r="AG40" s="120"/>
      <c r="AH40" s="118">
        <v>40</v>
      </c>
      <c r="AI40" s="118"/>
    </row>
    <row r="41" spans="2:35">
      <c r="B41" s="121" t="s">
        <v>101</v>
      </c>
      <c r="C41" s="121" t="s">
        <v>8</v>
      </c>
      <c r="D41" s="121" t="s">
        <v>9</v>
      </c>
      <c r="E41" s="121" t="s">
        <v>103</v>
      </c>
      <c r="G41" s="121" t="s">
        <v>101</v>
      </c>
      <c r="H41" s="121" t="s">
        <v>8</v>
      </c>
      <c r="I41" s="121" t="s">
        <v>9</v>
      </c>
      <c r="J41" s="121" t="s">
        <v>103</v>
      </c>
      <c r="K41" s="123"/>
      <c r="L41" s="121" t="s">
        <v>101</v>
      </c>
      <c r="M41" s="121" t="s">
        <v>8</v>
      </c>
      <c r="N41" s="121" t="s">
        <v>9</v>
      </c>
      <c r="O41" s="121" t="s">
        <v>103</v>
      </c>
      <c r="Q41" s="121" t="s">
        <v>101</v>
      </c>
      <c r="R41" s="121" t="s">
        <v>8</v>
      </c>
      <c r="S41" s="121" t="s">
        <v>9</v>
      </c>
      <c r="T41" s="121" t="s">
        <v>103</v>
      </c>
      <c r="U41" s="123"/>
      <c r="V41" s="121" t="s">
        <v>101</v>
      </c>
      <c r="W41" s="121" t="s">
        <v>8</v>
      </c>
      <c r="X41" s="121" t="s">
        <v>9</v>
      </c>
      <c r="Y41" s="121" t="s">
        <v>103</v>
      </c>
      <c r="Z41" s="123"/>
      <c r="AA41" s="121" t="s">
        <v>101</v>
      </c>
      <c r="AB41" s="121" t="s">
        <v>8</v>
      </c>
      <c r="AC41" s="121" t="s">
        <v>9</v>
      </c>
      <c r="AD41" s="121" t="s">
        <v>103</v>
      </c>
      <c r="AE41" s="123"/>
      <c r="AF41" s="121" t="s">
        <v>101</v>
      </c>
      <c r="AG41" s="121" t="s">
        <v>8</v>
      </c>
      <c r="AH41" s="121" t="s">
        <v>9</v>
      </c>
      <c r="AI41" s="121" t="s">
        <v>103</v>
      </c>
    </row>
    <row r="42" spans="2:35">
      <c r="B42" s="121">
        <v>0</v>
      </c>
      <c r="C42" s="122">
        <v>0</v>
      </c>
      <c r="D42" s="122">
        <v>0</v>
      </c>
      <c r="E42" s="121">
        <v>0</v>
      </c>
      <c r="G42" s="121">
        <v>0</v>
      </c>
      <c r="H42" s="122">
        <v>0</v>
      </c>
      <c r="I42" s="122">
        <v>0</v>
      </c>
      <c r="J42" s="121">
        <v>0</v>
      </c>
      <c r="K42" t="e">
        <f>(H42*7200+I42*3200+J42*300+$N$40*G42)/G42</f>
        <v>#DIV/0!</v>
      </c>
      <c r="L42" s="121">
        <v>0</v>
      </c>
      <c r="M42" s="122">
        <v>0</v>
      </c>
      <c r="N42" s="121">
        <v>0</v>
      </c>
      <c r="O42" s="121">
        <v>0</v>
      </c>
      <c r="P42" t="e">
        <f>(M42*7200+N42*3200+O42*300+$N$40*L42)/L42</f>
        <v>#DIV/0!</v>
      </c>
      <c r="Q42" s="121">
        <v>0</v>
      </c>
      <c r="R42" s="122">
        <v>0</v>
      </c>
      <c r="S42" s="121">
        <v>0</v>
      </c>
      <c r="T42" s="121">
        <v>0</v>
      </c>
      <c r="U42" t="e">
        <f>(R42*7200+S42*3200+T42*300+$N$40*Q42)/Q42</f>
        <v>#DIV/0!</v>
      </c>
      <c r="V42" s="121">
        <v>0</v>
      </c>
      <c r="W42" s="122">
        <v>0</v>
      </c>
      <c r="X42" s="121">
        <v>0</v>
      </c>
      <c r="Y42" s="121">
        <v>0</v>
      </c>
      <c r="Z42" s="123"/>
      <c r="AA42" s="121">
        <v>0</v>
      </c>
      <c r="AB42" s="122">
        <v>0</v>
      </c>
      <c r="AC42" s="121">
        <v>0</v>
      </c>
      <c r="AD42" s="121">
        <v>0</v>
      </c>
      <c r="AE42" s="123"/>
      <c r="AF42" s="121">
        <v>0</v>
      </c>
      <c r="AG42" s="122">
        <v>0</v>
      </c>
      <c r="AH42" s="121">
        <v>0</v>
      </c>
      <c r="AI42" s="121">
        <v>0</v>
      </c>
    </row>
    <row r="43" spans="2:35">
      <c r="B43" s="121">
        <v>1</v>
      </c>
      <c r="C43" s="122">
        <v>0</v>
      </c>
      <c r="D43" s="122">
        <f>I43*0.8</f>
        <v>0.512</v>
      </c>
      <c r="E43" s="121">
        <v>0</v>
      </c>
      <c r="G43" s="121">
        <v>1</v>
      </c>
      <c r="H43" s="122">
        <v>0</v>
      </c>
      <c r="I43" s="122">
        <f>N43*0.8</f>
        <v>0.64</v>
      </c>
      <c r="J43" s="121">
        <v>0</v>
      </c>
      <c r="K43">
        <f>(H43*5900+I43*3400+J43*500+$I$40*G43)/G43</f>
        <v>2190</v>
      </c>
      <c r="L43" s="121">
        <v>1</v>
      </c>
      <c r="M43" s="122">
        <v>0</v>
      </c>
      <c r="N43" s="122">
        <f>0.5*1.6</f>
        <v>0.8</v>
      </c>
      <c r="O43" s="121">
        <v>0</v>
      </c>
      <c r="P43">
        <f>(M43*5900+N43*3400+O43*500)/L43</f>
        <v>2720</v>
      </c>
      <c r="Q43" s="121">
        <v>1</v>
      </c>
      <c r="R43" s="122">
        <v>0</v>
      </c>
      <c r="S43" s="122">
        <f>N43*1.1</f>
        <v>0.88</v>
      </c>
      <c r="T43" s="121">
        <v>0</v>
      </c>
      <c r="U43">
        <f t="shared" ref="U43:U54" si="37">(R43*7200+S43*3200+T43*300+$N$40*Q43)/Q43</f>
        <v>2832</v>
      </c>
      <c r="V43" s="121">
        <v>1</v>
      </c>
      <c r="W43" s="122">
        <v>0</v>
      </c>
      <c r="X43" s="122">
        <f>S43*1.1</f>
        <v>0.968</v>
      </c>
      <c r="Y43" s="121">
        <v>0</v>
      </c>
      <c r="Z43" s="123"/>
      <c r="AA43" s="121">
        <v>1</v>
      </c>
      <c r="AB43" s="122">
        <v>0</v>
      </c>
      <c r="AC43" s="122">
        <f t="shared" ref="AC43:AC54" si="38">X43*1.1</f>
        <v>1.0648</v>
      </c>
      <c r="AD43" s="121">
        <v>0</v>
      </c>
      <c r="AE43" s="123"/>
      <c r="AF43" s="121">
        <v>1</v>
      </c>
      <c r="AG43" s="122">
        <v>0</v>
      </c>
      <c r="AH43" s="122">
        <f t="shared" ref="AH43:AH54" si="39">AC43*1.3</f>
        <v>1.38424</v>
      </c>
      <c r="AI43" s="121">
        <v>0</v>
      </c>
    </row>
    <row r="44" spans="2:35">
      <c r="B44" s="121">
        <v>101</v>
      </c>
      <c r="C44" s="122">
        <v>0</v>
      </c>
      <c r="D44" s="122">
        <f t="shared" ref="D44:D54" si="40">I44*0.8</f>
        <v>0.6144</v>
      </c>
      <c r="E44" s="121">
        <v>0</v>
      </c>
      <c r="G44" s="121">
        <v>101</v>
      </c>
      <c r="H44" s="122">
        <v>0</v>
      </c>
      <c r="I44" s="122">
        <f t="shared" ref="I44:I54" si="41">N44*0.8</f>
        <v>0.768</v>
      </c>
      <c r="J44" s="121">
        <v>0</v>
      </c>
      <c r="K44">
        <f t="shared" ref="K44:K54" si="42">(H44*5900+I44*3400+J44*500+$I$40*G44)/G44</f>
        <v>39.8534653465347</v>
      </c>
      <c r="L44" s="121">
        <v>101</v>
      </c>
      <c r="M44" s="122">
        <v>0</v>
      </c>
      <c r="N44" s="122">
        <f>0.6*1.6</f>
        <v>0.96</v>
      </c>
      <c r="O44" s="121">
        <v>0</v>
      </c>
      <c r="P44">
        <f t="shared" ref="P44:P54" si="43">(M44*5900+N44*3400+O44*500)/L44</f>
        <v>32.3168316831683</v>
      </c>
      <c r="Q44" s="121">
        <v>101</v>
      </c>
      <c r="R44" s="122">
        <v>0</v>
      </c>
      <c r="S44" s="122">
        <f t="shared" ref="S44:S54" si="44">N44*1.1</f>
        <v>1.056</v>
      </c>
      <c r="T44" s="121">
        <v>0</v>
      </c>
      <c r="U44">
        <f t="shared" si="37"/>
        <v>49.4574257425743</v>
      </c>
      <c r="V44" s="121">
        <v>101</v>
      </c>
      <c r="W44" s="122">
        <v>0</v>
      </c>
      <c r="X44" s="122">
        <f t="shared" ref="X44:X54" si="45">S44*1.1</f>
        <v>1.1616</v>
      </c>
      <c r="Y44" s="121">
        <v>0</v>
      </c>
      <c r="Z44" s="123"/>
      <c r="AA44" s="121">
        <v>101</v>
      </c>
      <c r="AB44" s="122">
        <v>0</v>
      </c>
      <c r="AC44" s="122">
        <f t="shared" si="38"/>
        <v>1.27776</v>
      </c>
      <c r="AD44" s="121">
        <v>0</v>
      </c>
      <c r="AE44" s="123"/>
      <c r="AF44" s="121">
        <v>101</v>
      </c>
      <c r="AG44" s="122">
        <v>0</v>
      </c>
      <c r="AH44" s="122">
        <f t="shared" si="39"/>
        <v>1.661088</v>
      </c>
      <c r="AI44" s="121">
        <v>0</v>
      </c>
    </row>
    <row r="45" spans="2:35">
      <c r="B45" s="121">
        <v>201</v>
      </c>
      <c r="C45" s="122">
        <v>0.1</v>
      </c>
      <c r="D45" s="122">
        <f t="shared" si="40"/>
        <v>0.6272</v>
      </c>
      <c r="E45" s="121">
        <v>0</v>
      </c>
      <c r="G45" s="121">
        <v>201</v>
      </c>
      <c r="H45" s="122">
        <v>0.1</v>
      </c>
      <c r="I45" s="122">
        <f t="shared" si="41"/>
        <v>0.784</v>
      </c>
      <c r="J45" s="121">
        <v>0</v>
      </c>
      <c r="K45">
        <f t="shared" si="42"/>
        <v>30.1970149253731</v>
      </c>
      <c r="L45" s="121">
        <v>201</v>
      </c>
      <c r="M45" s="122">
        <v>0.1</v>
      </c>
      <c r="N45" s="122">
        <f>0.7*1.4</f>
        <v>0.98</v>
      </c>
      <c r="O45" s="121">
        <v>0</v>
      </c>
      <c r="P45">
        <f t="shared" si="43"/>
        <v>19.5124378109453</v>
      </c>
      <c r="Q45" s="121">
        <v>201</v>
      </c>
      <c r="R45" s="122">
        <v>0.1</v>
      </c>
      <c r="S45" s="122">
        <f t="shared" si="44"/>
        <v>1.078</v>
      </c>
      <c r="T45" s="121">
        <v>0</v>
      </c>
      <c r="U45">
        <f t="shared" si="37"/>
        <v>36.7442786069652</v>
      </c>
      <c r="V45" s="121">
        <v>201</v>
      </c>
      <c r="W45" s="122">
        <v>0.1</v>
      </c>
      <c r="X45" s="122">
        <f t="shared" si="45"/>
        <v>1.1858</v>
      </c>
      <c r="Y45" s="121">
        <v>0</v>
      </c>
      <c r="Z45" s="123"/>
      <c r="AA45" s="121">
        <v>201</v>
      </c>
      <c r="AB45" s="122">
        <v>0.1</v>
      </c>
      <c r="AC45" s="122">
        <f t="shared" si="38"/>
        <v>1.30438</v>
      </c>
      <c r="AD45" s="121">
        <v>0</v>
      </c>
      <c r="AE45" s="123"/>
      <c r="AF45" s="121">
        <v>201</v>
      </c>
      <c r="AG45" s="122">
        <v>0.1</v>
      </c>
      <c r="AH45" s="122">
        <f t="shared" si="39"/>
        <v>1.695694</v>
      </c>
      <c r="AI45" s="121">
        <v>0</v>
      </c>
    </row>
    <row r="46" spans="2:35">
      <c r="B46" s="121">
        <v>301</v>
      </c>
      <c r="C46" s="122">
        <v>0.1</v>
      </c>
      <c r="D46" s="122">
        <f t="shared" si="40"/>
        <v>0.8064</v>
      </c>
      <c r="E46" s="121">
        <v>0</v>
      </c>
      <c r="G46" s="121">
        <v>301</v>
      </c>
      <c r="H46" s="122">
        <v>0.1</v>
      </c>
      <c r="I46" s="122">
        <f t="shared" si="41"/>
        <v>1.008</v>
      </c>
      <c r="J46" s="121">
        <v>0</v>
      </c>
      <c r="K46">
        <f t="shared" si="42"/>
        <v>27.3461794019934</v>
      </c>
      <c r="L46" s="121">
        <v>301</v>
      </c>
      <c r="M46" s="122">
        <v>0.1</v>
      </c>
      <c r="N46" s="122">
        <f>0.9*1.4</f>
        <v>1.26</v>
      </c>
      <c r="O46" s="121">
        <v>0</v>
      </c>
      <c r="P46">
        <f t="shared" si="43"/>
        <v>16.1926910299003</v>
      </c>
      <c r="Q46" s="121">
        <v>301</v>
      </c>
      <c r="R46" s="122">
        <v>0.1</v>
      </c>
      <c r="S46" s="122">
        <f t="shared" si="44"/>
        <v>1.386</v>
      </c>
      <c r="T46" s="121">
        <v>0</v>
      </c>
      <c r="U46">
        <f t="shared" si="37"/>
        <v>33.1269102990033</v>
      </c>
      <c r="V46" s="121">
        <v>301</v>
      </c>
      <c r="W46" s="122">
        <v>0.1</v>
      </c>
      <c r="X46" s="122">
        <f t="shared" si="45"/>
        <v>1.5246</v>
      </c>
      <c r="Y46" s="121">
        <v>0</v>
      </c>
      <c r="Z46" s="123"/>
      <c r="AA46" s="121">
        <v>301</v>
      </c>
      <c r="AB46" s="122">
        <v>0.1</v>
      </c>
      <c r="AC46" s="122">
        <f t="shared" si="38"/>
        <v>1.67706</v>
      </c>
      <c r="AD46" s="121">
        <v>0</v>
      </c>
      <c r="AE46" s="123"/>
      <c r="AF46" s="121">
        <v>301</v>
      </c>
      <c r="AG46" s="122">
        <v>0.1</v>
      </c>
      <c r="AH46" s="122">
        <f t="shared" si="39"/>
        <v>2.180178</v>
      </c>
      <c r="AI46" s="121">
        <v>0</v>
      </c>
    </row>
    <row r="47" spans="2:35">
      <c r="B47" s="121">
        <v>501</v>
      </c>
      <c r="C47" s="122">
        <v>0.1</v>
      </c>
      <c r="D47" s="122">
        <f t="shared" si="40"/>
        <v>1.024</v>
      </c>
      <c r="E47" s="121">
        <v>0</v>
      </c>
      <c r="G47" s="121">
        <v>501</v>
      </c>
      <c r="H47" s="122">
        <f t="shared" ref="H47:H49" si="46">0.2</f>
        <v>0.2</v>
      </c>
      <c r="I47" s="122">
        <f t="shared" si="41"/>
        <v>1.28</v>
      </c>
      <c r="J47" s="121">
        <v>0</v>
      </c>
      <c r="K47">
        <f t="shared" si="42"/>
        <v>25.0419161676647</v>
      </c>
      <c r="L47" s="121">
        <v>501</v>
      </c>
      <c r="M47" s="122">
        <v>0.1</v>
      </c>
      <c r="N47" s="122">
        <f>1*1.6</f>
        <v>1.6</v>
      </c>
      <c r="O47" s="121">
        <v>0</v>
      </c>
      <c r="P47">
        <f t="shared" si="43"/>
        <v>12.0359281437126</v>
      </c>
      <c r="Q47" s="121">
        <v>501</v>
      </c>
      <c r="R47" s="122">
        <v>0.1</v>
      </c>
      <c r="S47" s="122">
        <f t="shared" si="44"/>
        <v>1.76</v>
      </c>
      <c r="T47" s="121">
        <v>0</v>
      </c>
      <c r="U47">
        <f t="shared" si="37"/>
        <v>28.6786427145709</v>
      </c>
      <c r="V47" s="121">
        <v>501</v>
      </c>
      <c r="W47" s="122">
        <v>0.1</v>
      </c>
      <c r="X47" s="122">
        <f t="shared" si="45"/>
        <v>1.936</v>
      </c>
      <c r="Y47" s="121">
        <v>0</v>
      </c>
      <c r="Z47" s="123"/>
      <c r="AA47" s="121">
        <v>501</v>
      </c>
      <c r="AB47" s="122">
        <v>0.1</v>
      </c>
      <c r="AC47" s="122">
        <f t="shared" si="38"/>
        <v>2.1296</v>
      </c>
      <c r="AD47" s="121">
        <v>0</v>
      </c>
      <c r="AE47" s="123"/>
      <c r="AF47" s="121">
        <v>501</v>
      </c>
      <c r="AG47" s="122">
        <v>0.1</v>
      </c>
      <c r="AH47" s="122">
        <f t="shared" si="39"/>
        <v>2.76848</v>
      </c>
      <c r="AI47" s="121">
        <v>0</v>
      </c>
    </row>
    <row r="48" spans="2:35">
      <c r="B48" s="121">
        <v>701</v>
      </c>
      <c r="C48" s="122">
        <f t="shared" ref="C48:C49" si="47">0.2</f>
        <v>0.2</v>
      </c>
      <c r="D48" s="122">
        <f t="shared" si="40"/>
        <v>1.1648</v>
      </c>
      <c r="E48" s="121">
        <v>0</v>
      </c>
      <c r="G48" s="121">
        <v>701</v>
      </c>
      <c r="H48" s="122">
        <f t="shared" si="46"/>
        <v>0.2</v>
      </c>
      <c r="I48" s="122">
        <f t="shared" si="41"/>
        <v>1.456</v>
      </c>
      <c r="J48" s="121">
        <v>0</v>
      </c>
      <c r="K48">
        <f t="shared" si="42"/>
        <v>22.7452211126961</v>
      </c>
      <c r="L48" s="121">
        <v>701</v>
      </c>
      <c r="M48" s="122">
        <f>0.2</f>
        <v>0.2</v>
      </c>
      <c r="N48" s="122">
        <f>1.3*1.4</f>
        <v>1.82</v>
      </c>
      <c r="O48" s="121">
        <v>0</v>
      </c>
      <c r="P48">
        <f t="shared" si="43"/>
        <v>10.5106990014265</v>
      </c>
      <c r="Q48" s="121">
        <v>701</v>
      </c>
      <c r="R48" s="122">
        <f t="shared" ref="R48:R49" si="48">0.2</f>
        <v>0.2</v>
      </c>
      <c r="S48" s="122">
        <f t="shared" si="44"/>
        <v>2.002</v>
      </c>
      <c r="T48" s="121">
        <v>0</v>
      </c>
      <c r="U48">
        <f t="shared" si="37"/>
        <v>27.193152639087</v>
      </c>
      <c r="V48" s="121">
        <v>701</v>
      </c>
      <c r="W48" s="122">
        <f t="shared" ref="W48:W49" si="49">0.2</f>
        <v>0.2</v>
      </c>
      <c r="X48" s="122">
        <f t="shared" si="45"/>
        <v>2.2022</v>
      </c>
      <c r="Y48" s="121">
        <v>0</v>
      </c>
      <c r="Z48" s="123"/>
      <c r="AA48" s="121">
        <v>701</v>
      </c>
      <c r="AB48" s="122">
        <f t="shared" ref="AB48:AB49" si="50">0.2</f>
        <v>0.2</v>
      </c>
      <c r="AC48" s="122">
        <f t="shared" si="38"/>
        <v>2.42242</v>
      </c>
      <c r="AD48" s="121">
        <v>0</v>
      </c>
      <c r="AE48" s="123"/>
      <c r="AF48" s="121">
        <v>701</v>
      </c>
      <c r="AG48" s="122">
        <f t="shared" ref="AG48:AG49" si="51">0.2</f>
        <v>0.2</v>
      </c>
      <c r="AH48" s="122">
        <f t="shared" si="39"/>
        <v>3.149146</v>
      </c>
      <c r="AI48" s="121">
        <v>0</v>
      </c>
    </row>
    <row r="49" spans="2:35">
      <c r="B49" s="121">
        <v>901</v>
      </c>
      <c r="C49" s="122">
        <f t="shared" si="47"/>
        <v>0.2</v>
      </c>
      <c r="D49" s="122">
        <f t="shared" si="40"/>
        <v>1.344</v>
      </c>
      <c r="E49" s="121">
        <v>0</v>
      </c>
      <c r="G49" s="121">
        <v>901</v>
      </c>
      <c r="H49" s="122">
        <f t="shared" si="46"/>
        <v>0.2</v>
      </c>
      <c r="I49" s="122">
        <f t="shared" si="41"/>
        <v>1.68</v>
      </c>
      <c r="J49" s="121">
        <v>0</v>
      </c>
      <c r="K49">
        <f t="shared" si="42"/>
        <v>21.6492785793563</v>
      </c>
      <c r="L49" s="121">
        <v>901</v>
      </c>
      <c r="M49" s="122">
        <f>0.2</f>
        <v>0.2</v>
      </c>
      <c r="N49" s="122">
        <f>1.5*1.4</f>
        <v>2.1</v>
      </c>
      <c r="O49" s="121">
        <v>0</v>
      </c>
      <c r="P49">
        <f t="shared" si="43"/>
        <v>9.23418423973363</v>
      </c>
      <c r="Q49" s="121">
        <v>901</v>
      </c>
      <c r="R49" s="122">
        <f t="shared" si="48"/>
        <v>0.2</v>
      </c>
      <c r="S49" s="122">
        <f t="shared" si="44"/>
        <v>2.31</v>
      </c>
      <c r="T49" s="121">
        <v>0</v>
      </c>
      <c r="U49">
        <f t="shared" si="37"/>
        <v>25.8024417314095</v>
      </c>
      <c r="V49" s="121">
        <v>901</v>
      </c>
      <c r="W49" s="122">
        <f t="shared" si="49"/>
        <v>0.2</v>
      </c>
      <c r="X49" s="122">
        <f t="shared" si="45"/>
        <v>2.541</v>
      </c>
      <c r="Y49" s="121">
        <v>0</v>
      </c>
      <c r="Z49" s="123"/>
      <c r="AA49" s="121">
        <v>901</v>
      </c>
      <c r="AB49" s="122">
        <f t="shared" si="50"/>
        <v>0.2</v>
      </c>
      <c r="AC49" s="122">
        <f t="shared" si="38"/>
        <v>2.7951</v>
      </c>
      <c r="AD49" s="121">
        <v>0</v>
      </c>
      <c r="AE49" s="123"/>
      <c r="AF49" s="121">
        <v>901</v>
      </c>
      <c r="AG49" s="122">
        <f t="shared" si="51"/>
        <v>0.2</v>
      </c>
      <c r="AH49" s="122">
        <f t="shared" si="39"/>
        <v>3.63363</v>
      </c>
      <c r="AI49" s="121">
        <v>0</v>
      </c>
    </row>
    <row r="50" spans="2:35">
      <c r="B50" s="121">
        <v>1001</v>
      </c>
      <c r="C50" s="122">
        <v>0.2</v>
      </c>
      <c r="D50" s="122">
        <f t="shared" si="40"/>
        <v>1.6128</v>
      </c>
      <c r="E50" s="121">
        <v>0</v>
      </c>
      <c r="G50" s="121">
        <v>1001</v>
      </c>
      <c r="H50" s="122">
        <v>0.2</v>
      </c>
      <c r="I50" s="122">
        <f t="shared" si="41"/>
        <v>2.016</v>
      </c>
      <c r="J50" s="121">
        <v>0</v>
      </c>
      <c r="K50">
        <f t="shared" si="42"/>
        <v>22.0263736263736</v>
      </c>
      <c r="L50" s="121">
        <v>1001</v>
      </c>
      <c r="M50" s="122">
        <v>0.2</v>
      </c>
      <c r="N50" s="122">
        <f>1.8*1.4</f>
        <v>2.52</v>
      </c>
      <c r="O50" s="121">
        <v>0</v>
      </c>
      <c r="P50">
        <f t="shared" si="43"/>
        <v>9.73826173826174</v>
      </c>
      <c r="Q50" s="121">
        <v>1001</v>
      </c>
      <c r="R50" s="122">
        <v>0.2</v>
      </c>
      <c r="S50" s="122">
        <f t="shared" si="44"/>
        <v>2.772</v>
      </c>
      <c r="T50" s="121">
        <v>0</v>
      </c>
      <c r="U50">
        <f t="shared" si="37"/>
        <v>26.3000999000999</v>
      </c>
      <c r="V50" s="121">
        <v>1001</v>
      </c>
      <c r="W50" s="122">
        <v>0.2</v>
      </c>
      <c r="X50" s="122">
        <f t="shared" si="45"/>
        <v>3.0492</v>
      </c>
      <c r="Y50" s="121">
        <v>0</v>
      </c>
      <c r="Z50" s="123"/>
      <c r="AA50" s="121">
        <v>1001</v>
      </c>
      <c r="AB50" s="122">
        <v>0.2</v>
      </c>
      <c r="AC50" s="122">
        <f t="shared" si="38"/>
        <v>3.35412</v>
      </c>
      <c r="AD50" s="121">
        <v>0</v>
      </c>
      <c r="AE50" s="123"/>
      <c r="AF50" s="121">
        <v>1001</v>
      </c>
      <c r="AG50" s="122">
        <v>0.2</v>
      </c>
      <c r="AH50" s="122">
        <f t="shared" si="39"/>
        <v>4.360356</v>
      </c>
      <c r="AI50" s="121">
        <v>0</v>
      </c>
    </row>
    <row r="51" spans="2:35">
      <c r="B51" s="121">
        <v>1201</v>
      </c>
      <c r="C51" s="122">
        <v>0.2</v>
      </c>
      <c r="D51" s="122">
        <f t="shared" si="40"/>
        <v>1.9712</v>
      </c>
      <c r="E51" s="121">
        <v>0</v>
      </c>
      <c r="G51" s="121">
        <v>1201</v>
      </c>
      <c r="H51" s="122">
        <v>0.2</v>
      </c>
      <c r="I51" s="122">
        <f t="shared" si="41"/>
        <v>2.464</v>
      </c>
      <c r="J51" s="121">
        <v>0</v>
      </c>
      <c r="K51">
        <f t="shared" si="42"/>
        <v>21.9580349708576</v>
      </c>
      <c r="L51" s="121">
        <v>1201</v>
      </c>
      <c r="M51" s="122">
        <v>0.2</v>
      </c>
      <c r="N51" s="122">
        <f>2.2*1.4</f>
        <v>3.08</v>
      </c>
      <c r="O51" s="121">
        <v>0</v>
      </c>
      <c r="P51">
        <f t="shared" si="43"/>
        <v>9.70191507077435</v>
      </c>
      <c r="Q51" s="121">
        <v>1201</v>
      </c>
      <c r="R51" s="122">
        <v>0.2</v>
      </c>
      <c r="S51" s="122">
        <f t="shared" si="44"/>
        <v>3.388</v>
      </c>
      <c r="T51" s="121">
        <v>0</v>
      </c>
      <c r="U51">
        <f t="shared" si="37"/>
        <v>26.2261448792673</v>
      </c>
      <c r="V51" s="121">
        <v>1201</v>
      </c>
      <c r="W51" s="122">
        <v>0.2</v>
      </c>
      <c r="X51" s="122">
        <f t="shared" si="45"/>
        <v>3.7268</v>
      </c>
      <c r="Y51" s="121">
        <v>0</v>
      </c>
      <c r="Z51" s="123"/>
      <c r="AA51" s="121">
        <v>1201</v>
      </c>
      <c r="AB51" s="122">
        <v>0.2</v>
      </c>
      <c r="AC51" s="122">
        <f t="shared" si="38"/>
        <v>4.09948</v>
      </c>
      <c r="AD51" s="121">
        <v>0</v>
      </c>
      <c r="AE51" s="123"/>
      <c r="AF51" s="121">
        <v>1201</v>
      </c>
      <c r="AG51" s="122">
        <v>0.2</v>
      </c>
      <c r="AH51" s="122">
        <f t="shared" si="39"/>
        <v>5.329324</v>
      </c>
      <c r="AI51" s="121">
        <v>0</v>
      </c>
    </row>
    <row r="52" spans="2:35">
      <c r="B52" s="121">
        <v>1401</v>
      </c>
      <c r="C52" s="122">
        <v>0.3</v>
      </c>
      <c r="D52" s="122">
        <f t="shared" si="40"/>
        <v>2.3296</v>
      </c>
      <c r="E52" s="121">
        <v>0</v>
      </c>
      <c r="G52" s="121">
        <v>1401</v>
      </c>
      <c r="H52" s="122">
        <v>0.3</v>
      </c>
      <c r="I52" s="122">
        <f t="shared" si="41"/>
        <v>2.912</v>
      </c>
      <c r="J52" s="121">
        <v>0</v>
      </c>
      <c r="K52">
        <f t="shared" si="42"/>
        <v>22.330335474661</v>
      </c>
      <c r="L52" s="121">
        <v>1401</v>
      </c>
      <c r="M52" s="122">
        <v>0.3</v>
      </c>
      <c r="N52" s="122">
        <f>2.6*1.4</f>
        <v>3.64</v>
      </c>
      <c r="O52" s="121">
        <v>0</v>
      </c>
      <c r="P52">
        <f t="shared" si="43"/>
        <v>10.0970735189151</v>
      </c>
      <c r="Q52" s="121">
        <v>1401</v>
      </c>
      <c r="R52" s="122">
        <v>0.3</v>
      </c>
      <c r="S52" s="122">
        <f t="shared" si="44"/>
        <v>4.004</v>
      </c>
      <c r="T52" s="121">
        <v>0</v>
      </c>
      <c r="U52">
        <f t="shared" si="37"/>
        <v>26.6872234118487</v>
      </c>
      <c r="V52" s="121">
        <v>1401</v>
      </c>
      <c r="W52" s="122">
        <v>0.3</v>
      </c>
      <c r="X52" s="122">
        <f t="shared" si="45"/>
        <v>4.4044</v>
      </c>
      <c r="Y52" s="121">
        <v>0</v>
      </c>
      <c r="Z52" s="123"/>
      <c r="AA52" s="121">
        <v>1401</v>
      </c>
      <c r="AB52" s="122">
        <v>0.3</v>
      </c>
      <c r="AC52" s="122">
        <f t="shared" si="38"/>
        <v>4.84484</v>
      </c>
      <c r="AD52" s="121">
        <v>0</v>
      </c>
      <c r="AE52" s="123"/>
      <c r="AF52" s="121">
        <v>1401</v>
      </c>
      <c r="AG52" s="122">
        <v>0.3</v>
      </c>
      <c r="AH52" s="122">
        <f t="shared" si="39"/>
        <v>6.298292</v>
      </c>
      <c r="AI52" s="121">
        <v>0</v>
      </c>
    </row>
    <row r="53" spans="2:35">
      <c r="B53" s="121">
        <v>1601</v>
      </c>
      <c r="C53" s="122">
        <v>0.3</v>
      </c>
      <c r="D53" s="122">
        <f t="shared" si="40"/>
        <v>2.7776</v>
      </c>
      <c r="E53" s="121">
        <v>0</v>
      </c>
      <c r="G53" s="121">
        <v>1601</v>
      </c>
      <c r="H53" s="122">
        <v>0.3</v>
      </c>
      <c r="I53" s="122">
        <f t="shared" si="41"/>
        <v>3.472</v>
      </c>
      <c r="J53" s="121">
        <v>0</v>
      </c>
      <c r="K53">
        <f t="shared" si="42"/>
        <v>22.4789506558401</v>
      </c>
      <c r="L53" s="121">
        <v>1601</v>
      </c>
      <c r="M53" s="122">
        <v>0.3</v>
      </c>
      <c r="N53" s="122">
        <f>3.1*1.4</f>
        <v>4.34</v>
      </c>
      <c r="O53" s="121">
        <v>0</v>
      </c>
      <c r="P53">
        <f t="shared" si="43"/>
        <v>10.3222985633979</v>
      </c>
      <c r="Q53" s="121">
        <v>1601</v>
      </c>
      <c r="R53" s="122">
        <v>0.3</v>
      </c>
      <c r="S53" s="122">
        <f t="shared" si="44"/>
        <v>4.774</v>
      </c>
      <c r="T53" s="121">
        <v>0</v>
      </c>
      <c r="U53">
        <f t="shared" si="37"/>
        <v>26.8911930043723</v>
      </c>
      <c r="V53" s="121">
        <v>1601</v>
      </c>
      <c r="W53" s="122">
        <v>0.3</v>
      </c>
      <c r="X53" s="122">
        <f t="shared" si="45"/>
        <v>5.2514</v>
      </c>
      <c r="Y53" s="121">
        <v>0</v>
      </c>
      <c r="Z53" s="123"/>
      <c r="AA53" s="121">
        <v>1601</v>
      </c>
      <c r="AB53" s="122">
        <v>0.3</v>
      </c>
      <c r="AC53" s="122">
        <f t="shared" si="38"/>
        <v>5.77654</v>
      </c>
      <c r="AD53" s="121">
        <v>0</v>
      </c>
      <c r="AE53" s="123"/>
      <c r="AF53" s="121">
        <v>1601</v>
      </c>
      <c r="AG53" s="122">
        <v>0.3</v>
      </c>
      <c r="AH53" s="122">
        <f t="shared" si="39"/>
        <v>7.509502</v>
      </c>
      <c r="AI53" s="121">
        <v>0</v>
      </c>
    </row>
    <row r="54" spans="2:35">
      <c r="B54" s="121">
        <v>1801</v>
      </c>
      <c r="C54" s="122">
        <v>0.3</v>
      </c>
      <c r="D54" s="122">
        <f t="shared" si="40"/>
        <v>3.3152</v>
      </c>
      <c r="E54" s="121">
        <v>0</v>
      </c>
      <c r="G54" s="121">
        <v>1801</v>
      </c>
      <c r="H54" s="122">
        <v>0.3</v>
      </c>
      <c r="I54" s="122">
        <f t="shared" si="41"/>
        <v>4.144</v>
      </c>
      <c r="J54" s="121">
        <v>0</v>
      </c>
      <c r="K54">
        <f t="shared" si="42"/>
        <v>22.8059966685175</v>
      </c>
      <c r="L54" s="121">
        <v>1801</v>
      </c>
      <c r="M54" s="122">
        <v>0.3</v>
      </c>
      <c r="N54" s="122">
        <f>3.7*1.4</f>
        <v>5.18</v>
      </c>
      <c r="O54" s="121">
        <v>0</v>
      </c>
      <c r="P54">
        <f t="shared" si="43"/>
        <v>10.7617990005552</v>
      </c>
      <c r="Q54" s="121">
        <v>1801</v>
      </c>
      <c r="R54" s="122">
        <v>0.3</v>
      </c>
      <c r="S54" s="122">
        <f t="shared" si="44"/>
        <v>5.698</v>
      </c>
      <c r="T54" s="121">
        <v>0</v>
      </c>
      <c r="U54">
        <f t="shared" si="37"/>
        <v>27.3234869516935</v>
      </c>
      <c r="V54" s="121">
        <v>1801</v>
      </c>
      <c r="W54" s="122">
        <v>0.3</v>
      </c>
      <c r="X54" s="122">
        <f t="shared" si="45"/>
        <v>6.2678</v>
      </c>
      <c r="Y54" s="121">
        <v>0</v>
      </c>
      <c r="Z54" s="123"/>
      <c r="AA54" s="121">
        <v>1801</v>
      </c>
      <c r="AB54" s="122">
        <v>0.3</v>
      </c>
      <c r="AC54" s="122">
        <f t="shared" si="38"/>
        <v>6.89458</v>
      </c>
      <c r="AD54" s="121">
        <v>0</v>
      </c>
      <c r="AE54" s="123"/>
      <c r="AF54" s="121">
        <v>1801</v>
      </c>
      <c r="AG54" s="122">
        <v>0.3</v>
      </c>
      <c r="AH54" s="122">
        <f t="shared" si="39"/>
        <v>8.962954</v>
      </c>
      <c r="AI54" s="121">
        <v>0</v>
      </c>
    </row>
    <row r="55" spans="2:35">
      <c r="B55" s="1"/>
      <c r="C55" s="1"/>
      <c r="D55" s="1"/>
      <c r="E55" s="1"/>
      <c r="G55" s="1"/>
      <c r="H55" s="1"/>
      <c r="I55" s="1"/>
      <c r="J55" s="1"/>
      <c r="L55" s="1"/>
      <c r="M55" s="1"/>
      <c r="N55" s="1"/>
      <c r="O55" s="1"/>
      <c r="Q55" s="1"/>
      <c r="R55" s="1"/>
      <c r="S55" s="1"/>
      <c r="T55" s="1"/>
      <c r="V55" s="1"/>
      <c r="W55" s="1"/>
      <c r="X55" s="1"/>
      <c r="Y55" s="1"/>
      <c r="AA55" s="1"/>
      <c r="AB55" s="1"/>
      <c r="AC55" s="1"/>
      <c r="AD55" s="1"/>
      <c r="AF55" s="1"/>
      <c r="AG55" s="1"/>
      <c r="AH55" s="1"/>
      <c r="AI55" s="1"/>
    </row>
    <row r="56" ht="18.95" customHeight="1" spans="2:35">
      <c r="B56" s="84" t="s">
        <v>436</v>
      </c>
      <c r="C56" s="84"/>
      <c r="D56" s="118" t="s">
        <v>444</v>
      </c>
      <c r="E56" s="118"/>
      <c r="F56" s="123"/>
      <c r="G56" s="84" t="s">
        <v>436</v>
      </c>
      <c r="H56" s="84"/>
      <c r="I56" s="118" t="s">
        <v>444</v>
      </c>
      <c r="J56" s="118"/>
      <c r="K56" s="123"/>
      <c r="L56" s="84" t="s">
        <v>436</v>
      </c>
      <c r="M56" s="84"/>
      <c r="N56" s="118" t="s">
        <v>444</v>
      </c>
      <c r="O56" s="118"/>
      <c r="P56" s="123"/>
      <c r="Q56" s="84" t="s">
        <v>436</v>
      </c>
      <c r="R56" s="84"/>
      <c r="S56" s="118" t="s">
        <v>444</v>
      </c>
      <c r="T56" s="118"/>
      <c r="U56" s="123"/>
      <c r="V56" s="84" t="s">
        <v>436</v>
      </c>
      <c r="W56" s="84"/>
      <c r="X56" s="118" t="s">
        <v>444</v>
      </c>
      <c r="Y56" s="118"/>
      <c r="Z56" s="123"/>
      <c r="AA56" s="84" t="s">
        <v>436</v>
      </c>
      <c r="AB56" s="84"/>
      <c r="AC56" s="118" t="s">
        <v>444</v>
      </c>
      <c r="AD56" s="118"/>
      <c r="AE56" s="123"/>
      <c r="AF56" s="84" t="s">
        <v>436</v>
      </c>
      <c r="AG56" s="84"/>
      <c r="AH56" s="118" t="s">
        <v>444</v>
      </c>
      <c r="AI56" s="118"/>
    </row>
    <row r="57" ht="18.95" customHeight="1" spans="2:35">
      <c r="B57" s="119" t="s">
        <v>192</v>
      </c>
      <c r="C57" s="119"/>
      <c r="D57" s="118" t="s">
        <v>199</v>
      </c>
      <c r="E57" s="118"/>
      <c r="F57" s="123"/>
      <c r="G57" s="119" t="s">
        <v>192</v>
      </c>
      <c r="H57" s="119"/>
      <c r="I57" s="118" t="s">
        <v>203</v>
      </c>
      <c r="J57" s="118"/>
      <c r="K57" s="123"/>
      <c r="L57" s="119" t="s">
        <v>192</v>
      </c>
      <c r="M57" s="119"/>
      <c r="N57" s="118" t="s">
        <v>335</v>
      </c>
      <c r="O57" s="118"/>
      <c r="P57" s="123"/>
      <c r="Q57" s="119" t="s">
        <v>192</v>
      </c>
      <c r="R57" s="119"/>
      <c r="S57" s="118" t="s">
        <v>438</v>
      </c>
      <c r="T57" s="118"/>
      <c r="U57" s="123"/>
      <c r="V57" s="119" t="s">
        <v>192</v>
      </c>
      <c r="W57" s="119"/>
      <c r="X57" s="118" t="s">
        <v>439</v>
      </c>
      <c r="Y57" s="118"/>
      <c r="Z57" s="123"/>
      <c r="AA57" s="119" t="s">
        <v>192</v>
      </c>
      <c r="AB57" s="119"/>
      <c r="AC57" s="118" t="s">
        <v>440</v>
      </c>
      <c r="AD57" s="118"/>
      <c r="AE57" s="123"/>
      <c r="AF57" s="119" t="s">
        <v>192</v>
      </c>
      <c r="AG57" s="119"/>
      <c r="AH57" s="118" t="s">
        <v>338</v>
      </c>
      <c r="AI57" s="118"/>
    </row>
    <row r="58" ht="18.95" customHeight="1" spans="2:35">
      <c r="B58" s="120" t="s">
        <v>441</v>
      </c>
      <c r="C58" s="120"/>
      <c r="D58" s="118">
        <v>18</v>
      </c>
      <c r="E58" s="118"/>
      <c r="F58" s="123"/>
      <c r="G58" s="120" t="s">
        <v>441</v>
      </c>
      <c r="H58" s="120"/>
      <c r="I58" s="118">
        <v>21</v>
      </c>
      <c r="J58" s="118"/>
      <c r="K58" s="123"/>
      <c r="L58" s="120" t="s">
        <v>441</v>
      </c>
      <c r="M58" s="120"/>
      <c r="N58" s="118">
        <v>25</v>
      </c>
      <c r="O58" s="118"/>
      <c r="P58" s="123">
        <f>AVERAGE(P62:P72)</f>
        <v>18.5044443533819</v>
      </c>
      <c r="Q58" s="120" t="s">
        <v>441</v>
      </c>
      <c r="R58" s="120"/>
      <c r="S58" s="118">
        <v>30</v>
      </c>
      <c r="T58" s="118"/>
      <c r="U58" s="123"/>
      <c r="V58" s="120" t="s">
        <v>441</v>
      </c>
      <c r="W58" s="120"/>
      <c r="X58" s="118">
        <v>38</v>
      </c>
      <c r="Y58" s="118"/>
      <c r="Z58" s="123"/>
      <c r="AA58" s="120" t="s">
        <v>441</v>
      </c>
      <c r="AB58" s="120"/>
      <c r="AC58" s="118">
        <v>42</v>
      </c>
      <c r="AD58" s="118"/>
      <c r="AE58" s="123"/>
      <c r="AF58" s="120" t="s">
        <v>441</v>
      </c>
      <c r="AG58" s="120"/>
      <c r="AH58" s="118">
        <v>48</v>
      </c>
      <c r="AI58" s="118"/>
    </row>
    <row r="59" spans="2:35">
      <c r="B59" s="121" t="s">
        <v>101</v>
      </c>
      <c r="C59" s="121" t="s">
        <v>8</v>
      </c>
      <c r="D59" s="121" t="s">
        <v>9</v>
      </c>
      <c r="E59" s="121" t="s">
        <v>103</v>
      </c>
      <c r="F59" s="123"/>
      <c r="G59" s="121" t="s">
        <v>101</v>
      </c>
      <c r="H59" s="121" t="s">
        <v>8</v>
      </c>
      <c r="I59" s="121" t="s">
        <v>9</v>
      </c>
      <c r="J59" s="121" t="s">
        <v>103</v>
      </c>
      <c r="K59" s="123"/>
      <c r="L59" s="121" t="s">
        <v>101</v>
      </c>
      <c r="M59" s="121" t="s">
        <v>8</v>
      </c>
      <c r="N59" s="121" t="s">
        <v>9</v>
      </c>
      <c r="O59" s="121" t="s">
        <v>103</v>
      </c>
      <c r="P59" s="123"/>
      <c r="Q59" s="121" t="s">
        <v>101</v>
      </c>
      <c r="R59" s="121" t="s">
        <v>8</v>
      </c>
      <c r="S59" s="121" t="s">
        <v>9</v>
      </c>
      <c r="T59" s="121" t="s">
        <v>103</v>
      </c>
      <c r="U59" s="123"/>
      <c r="V59" s="121" t="s">
        <v>101</v>
      </c>
      <c r="W59" s="121" t="s">
        <v>8</v>
      </c>
      <c r="X59" s="121" t="s">
        <v>9</v>
      </c>
      <c r="Y59" s="121" t="s">
        <v>103</v>
      </c>
      <c r="Z59" s="123"/>
      <c r="AA59" s="121" t="s">
        <v>101</v>
      </c>
      <c r="AB59" s="121" t="s">
        <v>8</v>
      </c>
      <c r="AC59" s="121" t="s">
        <v>9</v>
      </c>
      <c r="AD59" s="121" t="s">
        <v>103</v>
      </c>
      <c r="AE59" s="123"/>
      <c r="AF59" s="121" t="s">
        <v>101</v>
      </c>
      <c r="AG59" s="121" t="s">
        <v>8</v>
      </c>
      <c r="AH59" s="121" t="s">
        <v>9</v>
      </c>
      <c r="AI59" s="121" t="s">
        <v>103</v>
      </c>
    </row>
    <row r="60" spans="2:35">
      <c r="B60" s="121">
        <v>0</v>
      </c>
      <c r="C60" s="122">
        <v>0</v>
      </c>
      <c r="D60" s="121">
        <v>0</v>
      </c>
      <c r="E60" s="121">
        <v>0</v>
      </c>
      <c r="F60" s="123"/>
      <c r="G60" s="121">
        <v>0</v>
      </c>
      <c r="H60" s="122">
        <v>0</v>
      </c>
      <c r="I60" s="121">
        <v>0</v>
      </c>
      <c r="J60" s="121">
        <v>0</v>
      </c>
      <c r="K60" s="123"/>
      <c r="L60" s="121">
        <v>0</v>
      </c>
      <c r="M60" s="122">
        <v>0</v>
      </c>
      <c r="N60" s="121">
        <v>0</v>
      </c>
      <c r="O60" s="121">
        <v>0</v>
      </c>
      <c r="P60" s="123" t="e">
        <f>(M60*7200+N60*3200+O60*300+$N$58*L60)/L60</f>
        <v>#DIV/0!</v>
      </c>
      <c r="Q60" s="121">
        <v>0</v>
      </c>
      <c r="R60" s="122">
        <v>0</v>
      </c>
      <c r="S60" s="121">
        <v>0</v>
      </c>
      <c r="T60" s="121">
        <v>0</v>
      </c>
      <c r="U60" s="123"/>
      <c r="V60" s="121">
        <v>0</v>
      </c>
      <c r="W60" s="122">
        <v>0</v>
      </c>
      <c r="X60" s="121">
        <v>0</v>
      </c>
      <c r="Y60" s="121">
        <v>0</v>
      </c>
      <c r="Z60" s="123"/>
      <c r="AA60" s="121">
        <v>0</v>
      </c>
      <c r="AB60" s="122">
        <v>0</v>
      </c>
      <c r="AC60" s="121">
        <v>0</v>
      </c>
      <c r="AD60" s="121">
        <v>0</v>
      </c>
      <c r="AE60" s="123"/>
      <c r="AF60" s="121">
        <v>0</v>
      </c>
      <c r="AG60" s="122">
        <v>0</v>
      </c>
      <c r="AH60" s="122">
        <v>0</v>
      </c>
      <c r="AI60" s="122">
        <v>0</v>
      </c>
    </row>
    <row r="61" spans="2:35">
      <c r="B61" s="121">
        <v>1</v>
      </c>
      <c r="C61" s="122">
        <v>0</v>
      </c>
      <c r="D61" s="122">
        <f t="shared" ref="D61:D72" si="52">D43*1.5</f>
        <v>0.768</v>
      </c>
      <c r="E61" s="121">
        <v>0</v>
      </c>
      <c r="F61" s="123"/>
      <c r="G61" s="121">
        <v>1</v>
      </c>
      <c r="H61" s="122">
        <v>0</v>
      </c>
      <c r="I61" s="122">
        <f t="shared" ref="I61:I72" si="53">D61*1.2</f>
        <v>0.9216</v>
      </c>
      <c r="J61" s="121">
        <v>0</v>
      </c>
      <c r="K61" s="123"/>
      <c r="L61" s="121">
        <v>1</v>
      </c>
      <c r="M61" s="122">
        <v>0</v>
      </c>
      <c r="N61" s="122">
        <f t="shared" ref="N61:N72" si="54">I61*1.2</f>
        <v>1.10592</v>
      </c>
      <c r="O61" s="121">
        <v>0</v>
      </c>
      <c r="P61" s="123">
        <f>(M61*5900+N61*3400+O61*500)/L61</f>
        <v>3760.128</v>
      </c>
      <c r="Q61" s="121">
        <v>1</v>
      </c>
      <c r="R61" s="122">
        <v>0</v>
      </c>
      <c r="S61" s="122">
        <f t="shared" ref="S61:S72" si="55">N61*1.1</f>
        <v>1.216512</v>
      </c>
      <c r="T61" s="121">
        <v>0</v>
      </c>
      <c r="U61" s="123"/>
      <c r="V61" s="121">
        <v>1</v>
      </c>
      <c r="W61" s="122">
        <v>0</v>
      </c>
      <c r="X61" s="122">
        <f t="shared" ref="X61:X72" si="56">S61*1.1</f>
        <v>1.3381632</v>
      </c>
      <c r="Y61" s="121">
        <v>0</v>
      </c>
      <c r="Z61" s="123"/>
      <c r="AA61" s="121">
        <v>1</v>
      </c>
      <c r="AB61" s="122">
        <v>0</v>
      </c>
      <c r="AC61" s="122">
        <f t="shared" ref="AC61:AC72" si="57">X61*1.1</f>
        <v>1.47197952</v>
      </c>
      <c r="AD61" s="121">
        <v>0</v>
      </c>
      <c r="AE61" s="123"/>
      <c r="AF61" s="121">
        <v>1</v>
      </c>
      <c r="AG61" s="122">
        <v>0</v>
      </c>
      <c r="AH61" s="122">
        <f t="shared" ref="AH61:AH72" si="58">AC61+0.4</f>
        <v>1.87197952</v>
      </c>
      <c r="AI61" s="122">
        <v>0</v>
      </c>
    </row>
    <row r="62" spans="2:35">
      <c r="B62" s="121">
        <v>101</v>
      </c>
      <c r="C62" s="122">
        <v>0</v>
      </c>
      <c r="D62" s="122">
        <f t="shared" si="52"/>
        <v>0.9216</v>
      </c>
      <c r="E62" s="121">
        <v>0</v>
      </c>
      <c r="F62" s="123"/>
      <c r="G62" s="121">
        <v>101</v>
      </c>
      <c r="H62" s="122">
        <v>0</v>
      </c>
      <c r="I62" s="122">
        <f t="shared" si="53"/>
        <v>1.10592</v>
      </c>
      <c r="J62" s="121">
        <v>0</v>
      </c>
      <c r="K62" s="123"/>
      <c r="L62" s="121">
        <v>101</v>
      </c>
      <c r="M62" s="122">
        <v>0</v>
      </c>
      <c r="N62" s="122">
        <f t="shared" si="54"/>
        <v>1.327104</v>
      </c>
      <c r="O62" s="121">
        <v>0</v>
      </c>
      <c r="P62" s="123">
        <f t="shared" ref="P62:P72" si="59">(M62*5900+N62*3400+O62*500)/L62</f>
        <v>44.6747881188119</v>
      </c>
      <c r="Q62" s="121">
        <v>101</v>
      </c>
      <c r="R62" s="122">
        <v>0</v>
      </c>
      <c r="S62" s="122">
        <f t="shared" si="55"/>
        <v>1.4598144</v>
      </c>
      <c r="T62" s="121">
        <v>0</v>
      </c>
      <c r="U62" s="123"/>
      <c r="V62" s="121">
        <v>101</v>
      </c>
      <c r="W62" s="122">
        <v>0</v>
      </c>
      <c r="X62" s="122">
        <f t="shared" si="56"/>
        <v>1.60579584</v>
      </c>
      <c r="Y62" s="121">
        <v>0</v>
      </c>
      <c r="Z62" s="123"/>
      <c r="AA62" s="121">
        <v>101</v>
      </c>
      <c r="AB62" s="122">
        <v>0</v>
      </c>
      <c r="AC62" s="122">
        <f t="shared" si="57"/>
        <v>1.766375424</v>
      </c>
      <c r="AD62" s="121">
        <v>0</v>
      </c>
      <c r="AE62" s="123"/>
      <c r="AF62" s="121">
        <v>101</v>
      </c>
      <c r="AG62" s="122">
        <v>0</v>
      </c>
      <c r="AH62" s="122">
        <f t="shared" si="58"/>
        <v>2.166375424</v>
      </c>
      <c r="AI62" s="122">
        <v>0</v>
      </c>
    </row>
    <row r="63" spans="2:35">
      <c r="B63" s="121">
        <v>201</v>
      </c>
      <c r="C63" s="122">
        <v>0.1</v>
      </c>
      <c r="D63" s="122">
        <f t="shared" si="52"/>
        <v>0.9408</v>
      </c>
      <c r="E63" s="121">
        <v>0</v>
      </c>
      <c r="F63" s="123"/>
      <c r="G63" s="121">
        <v>201</v>
      </c>
      <c r="H63" s="122">
        <v>0.1</v>
      </c>
      <c r="I63" s="122">
        <f t="shared" si="53"/>
        <v>1.12896</v>
      </c>
      <c r="J63" s="121">
        <v>0</v>
      </c>
      <c r="K63" s="123"/>
      <c r="L63" s="121">
        <v>201</v>
      </c>
      <c r="M63" s="122">
        <v>0.1</v>
      </c>
      <c r="N63" s="122">
        <f t="shared" si="54"/>
        <v>1.354752</v>
      </c>
      <c r="O63" s="121">
        <v>0</v>
      </c>
      <c r="P63" s="123">
        <f t="shared" si="59"/>
        <v>25.8515263681592</v>
      </c>
      <c r="Q63" s="121">
        <v>201</v>
      </c>
      <c r="R63" s="122">
        <v>0.1</v>
      </c>
      <c r="S63" s="122">
        <f t="shared" si="55"/>
        <v>1.4902272</v>
      </c>
      <c r="T63" s="121">
        <v>0</v>
      </c>
      <c r="U63" s="123"/>
      <c r="V63" s="121">
        <v>201</v>
      </c>
      <c r="W63" s="122">
        <v>0.1</v>
      </c>
      <c r="X63" s="122">
        <f t="shared" si="56"/>
        <v>1.63924992</v>
      </c>
      <c r="Y63" s="121">
        <v>0</v>
      </c>
      <c r="Z63" s="123"/>
      <c r="AA63" s="121">
        <v>201</v>
      </c>
      <c r="AB63" s="122">
        <v>0.1</v>
      </c>
      <c r="AC63" s="122">
        <f t="shared" si="57"/>
        <v>1.803174912</v>
      </c>
      <c r="AD63" s="121">
        <v>0</v>
      </c>
      <c r="AE63" s="123"/>
      <c r="AF63" s="121">
        <v>201</v>
      </c>
      <c r="AG63" s="122">
        <v>0.1</v>
      </c>
      <c r="AH63" s="122">
        <f t="shared" si="58"/>
        <v>2.203174912</v>
      </c>
      <c r="AI63" s="122">
        <v>0</v>
      </c>
    </row>
    <row r="64" spans="2:35">
      <c r="B64" s="121">
        <v>301</v>
      </c>
      <c r="C64" s="122">
        <v>0.1</v>
      </c>
      <c r="D64" s="122">
        <f t="shared" si="52"/>
        <v>1.2096</v>
      </c>
      <c r="E64" s="121">
        <v>0</v>
      </c>
      <c r="F64" s="123"/>
      <c r="G64" s="121">
        <v>301</v>
      </c>
      <c r="H64" s="122">
        <v>0.1</v>
      </c>
      <c r="I64" s="122">
        <f t="shared" si="53"/>
        <v>1.45152</v>
      </c>
      <c r="J64" s="121">
        <v>0</v>
      </c>
      <c r="K64" s="123"/>
      <c r="L64" s="121">
        <v>301</v>
      </c>
      <c r="M64" s="122">
        <v>0.1</v>
      </c>
      <c r="N64" s="122">
        <f t="shared" si="54"/>
        <v>1.741824</v>
      </c>
      <c r="O64" s="121">
        <v>0</v>
      </c>
      <c r="P64" s="123">
        <f t="shared" si="59"/>
        <v>21.6352212624585</v>
      </c>
      <c r="Q64" s="121">
        <v>301</v>
      </c>
      <c r="R64" s="122">
        <v>0.1</v>
      </c>
      <c r="S64" s="122">
        <f t="shared" si="55"/>
        <v>1.9160064</v>
      </c>
      <c r="T64" s="121">
        <v>0</v>
      </c>
      <c r="U64" s="123"/>
      <c r="V64" s="121">
        <v>301</v>
      </c>
      <c r="W64" s="122">
        <v>0.1</v>
      </c>
      <c r="X64" s="122">
        <f t="shared" si="56"/>
        <v>2.10760704</v>
      </c>
      <c r="Y64" s="121">
        <v>0</v>
      </c>
      <c r="Z64" s="123"/>
      <c r="AA64" s="121">
        <v>301</v>
      </c>
      <c r="AB64" s="122">
        <v>0.1</v>
      </c>
      <c r="AC64" s="122">
        <f t="shared" si="57"/>
        <v>2.318367744</v>
      </c>
      <c r="AD64" s="121">
        <v>0</v>
      </c>
      <c r="AE64" s="123"/>
      <c r="AF64" s="121">
        <v>301</v>
      </c>
      <c r="AG64" s="122">
        <v>0.1</v>
      </c>
      <c r="AH64" s="122">
        <f t="shared" si="58"/>
        <v>2.718367744</v>
      </c>
      <c r="AI64" s="122">
        <v>0</v>
      </c>
    </row>
    <row r="65" spans="1:35">
      <c r="B65" s="121">
        <v>501</v>
      </c>
      <c r="C65" s="122">
        <f t="shared" ref="C65:C67" si="60">0.2</f>
        <v>0.2</v>
      </c>
      <c r="D65" s="122">
        <f t="shared" si="52"/>
        <v>1.536</v>
      </c>
      <c r="E65" s="121">
        <v>0</v>
      </c>
      <c r="F65" s="123"/>
      <c r="G65" s="121">
        <v>501</v>
      </c>
      <c r="H65" s="122">
        <f t="shared" ref="H65:H67" si="61">0.2</f>
        <v>0.2</v>
      </c>
      <c r="I65" s="122">
        <f t="shared" si="53"/>
        <v>1.8432</v>
      </c>
      <c r="J65" s="121">
        <v>0</v>
      </c>
      <c r="K65" s="123"/>
      <c r="L65" s="121">
        <v>501</v>
      </c>
      <c r="M65" s="122">
        <f t="shared" ref="M65:M67" si="62">0.2</f>
        <v>0.2</v>
      </c>
      <c r="N65" s="122">
        <f t="shared" si="54"/>
        <v>2.21184</v>
      </c>
      <c r="O65" s="121">
        <v>0</v>
      </c>
      <c r="P65" s="123">
        <f t="shared" si="59"/>
        <v>17.3657804391218</v>
      </c>
      <c r="Q65" s="121">
        <v>501</v>
      </c>
      <c r="R65" s="122">
        <f t="shared" ref="R65:R67" si="63">0.2</f>
        <v>0.2</v>
      </c>
      <c r="S65" s="122">
        <f t="shared" si="55"/>
        <v>2.433024</v>
      </c>
      <c r="T65" s="121">
        <v>0</v>
      </c>
      <c r="U65" s="123"/>
      <c r="V65" s="121">
        <v>501</v>
      </c>
      <c r="W65" s="122">
        <f t="shared" ref="W65:W67" si="64">0.2</f>
        <v>0.2</v>
      </c>
      <c r="X65" s="122">
        <f t="shared" si="56"/>
        <v>2.6763264</v>
      </c>
      <c r="Y65" s="121">
        <v>0</v>
      </c>
      <c r="Z65" s="123"/>
      <c r="AA65" s="121">
        <v>501</v>
      </c>
      <c r="AB65" s="122">
        <f t="shared" ref="AB65:AB67" si="65">0.2</f>
        <v>0.2</v>
      </c>
      <c r="AC65" s="122">
        <f t="shared" si="57"/>
        <v>2.94395904</v>
      </c>
      <c r="AD65" s="121">
        <v>0</v>
      </c>
      <c r="AE65" s="123"/>
      <c r="AF65" s="121">
        <v>501</v>
      </c>
      <c r="AG65" s="122">
        <f t="shared" ref="AG65:AG67" si="66">0.2</f>
        <v>0.2</v>
      </c>
      <c r="AH65" s="122">
        <f t="shared" si="58"/>
        <v>3.34395904</v>
      </c>
      <c r="AI65" s="122">
        <v>0</v>
      </c>
    </row>
    <row r="66" spans="1:35">
      <c r="B66" s="121">
        <v>701</v>
      </c>
      <c r="C66" s="122">
        <f t="shared" si="60"/>
        <v>0.2</v>
      </c>
      <c r="D66" s="122">
        <f t="shared" si="52"/>
        <v>1.7472</v>
      </c>
      <c r="E66" s="121">
        <v>0</v>
      </c>
      <c r="F66" s="123"/>
      <c r="G66" s="121">
        <v>701</v>
      </c>
      <c r="H66" s="122">
        <f t="shared" si="61"/>
        <v>0.2</v>
      </c>
      <c r="I66" s="122">
        <f t="shared" si="53"/>
        <v>2.09664</v>
      </c>
      <c r="J66" s="121">
        <v>0</v>
      </c>
      <c r="K66" s="123"/>
      <c r="L66" s="121">
        <v>701</v>
      </c>
      <c r="M66" s="122">
        <f t="shared" si="62"/>
        <v>0.2</v>
      </c>
      <c r="N66" s="122">
        <f t="shared" si="54"/>
        <v>2.515968</v>
      </c>
      <c r="O66" s="121">
        <v>0</v>
      </c>
      <c r="P66" s="123">
        <f t="shared" si="59"/>
        <v>13.886292724679</v>
      </c>
      <c r="Q66" s="121">
        <v>701</v>
      </c>
      <c r="R66" s="122">
        <f t="shared" si="63"/>
        <v>0.2</v>
      </c>
      <c r="S66" s="122">
        <f t="shared" si="55"/>
        <v>2.7675648</v>
      </c>
      <c r="T66" s="121">
        <v>0</v>
      </c>
      <c r="U66" s="123"/>
      <c r="V66" s="121">
        <v>701</v>
      </c>
      <c r="W66" s="122">
        <f t="shared" si="64"/>
        <v>0.2</v>
      </c>
      <c r="X66" s="122">
        <f t="shared" si="56"/>
        <v>3.04432128</v>
      </c>
      <c r="Y66" s="121">
        <v>0</v>
      </c>
      <c r="Z66" s="123"/>
      <c r="AA66" s="121">
        <v>701</v>
      </c>
      <c r="AB66" s="122">
        <f t="shared" si="65"/>
        <v>0.2</v>
      </c>
      <c r="AC66" s="122">
        <f t="shared" si="57"/>
        <v>3.348753408</v>
      </c>
      <c r="AD66" s="121">
        <v>0</v>
      </c>
      <c r="AE66" s="123"/>
      <c r="AF66" s="121">
        <v>701</v>
      </c>
      <c r="AG66" s="122">
        <f t="shared" si="66"/>
        <v>0.2</v>
      </c>
      <c r="AH66" s="122">
        <f t="shared" si="58"/>
        <v>3.748753408</v>
      </c>
      <c r="AI66" s="122">
        <v>0</v>
      </c>
    </row>
    <row r="67" spans="1:35">
      <c r="B67" s="121">
        <v>901</v>
      </c>
      <c r="C67" s="122">
        <f t="shared" si="60"/>
        <v>0.2</v>
      </c>
      <c r="D67" s="122">
        <f t="shared" si="52"/>
        <v>2.016</v>
      </c>
      <c r="E67" s="121">
        <v>0</v>
      </c>
      <c r="F67" s="123"/>
      <c r="G67" s="121">
        <v>901</v>
      </c>
      <c r="H67" s="122">
        <f t="shared" si="61"/>
        <v>0.2</v>
      </c>
      <c r="I67" s="122">
        <f t="shared" si="53"/>
        <v>2.4192</v>
      </c>
      <c r="J67" s="121">
        <v>0</v>
      </c>
      <c r="K67" s="123"/>
      <c r="L67" s="121">
        <v>901</v>
      </c>
      <c r="M67" s="122">
        <f t="shared" si="62"/>
        <v>0.2</v>
      </c>
      <c r="N67" s="122">
        <f t="shared" si="54"/>
        <v>2.90304</v>
      </c>
      <c r="O67" s="121">
        <v>0</v>
      </c>
      <c r="P67" s="123">
        <f t="shared" si="59"/>
        <v>12.2645238623751</v>
      </c>
      <c r="Q67" s="121">
        <v>901</v>
      </c>
      <c r="R67" s="122">
        <f t="shared" si="63"/>
        <v>0.2</v>
      </c>
      <c r="S67" s="122">
        <f t="shared" si="55"/>
        <v>3.193344</v>
      </c>
      <c r="T67" s="121">
        <v>0</v>
      </c>
      <c r="U67" s="123"/>
      <c r="V67" s="121">
        <v>901</v>
      </c>
      <c r="W67" s="122">
        <f t="shared" si="64"/>
        <v>0.2</v>
      </c>
      <c r="X67" s="122">
        <f t="shared" si="56"/>
        <v>3.5126784</v>
      </c>
      <c r="Y67" s="121">
        <v>0</v>
      </c>
      <c r="Z67" s="123"/>
      <c r="AA67" s="121">
        <v>901</v>
      </c>
      <c r="AB67" s="122">
        <f t="shared" si="65"/>
        <v>0.2</v>
      </c>
      <c r="AC67" s="122">
        <f t="shared" si="57"/>
        <v>3.86394624</v>
      </c>
      <c r="AD67" s="121">
        <v>0</v>
      </c>
      <c r="AE67" s="123"/>
      <c r="AF67" s="121">
        <v>901</v>
      </c>
      <c r="AG67" s="122">
        <f t="shared" si="66"/>
        <v>0.2</v>
      </c>
      <c r="AH67" s="122">
        <f t="shared" si="58"/>
        <v>4.26394624</v>
      </c>
      <c r="AI67" s="122">
        <v>0</v>
      </c>
    </row>
    <row r="68" spans="1:35">
      <c r="B68" s="121">
        <v>1001</v>
      </c>
      <c r="C68" s="122">
        <v>0.2</v>
      </c>
      <c r="D68" s="122">
        <f t="shared" si="52"/>
        <v>2.4192</v>
      </c>
      <c r="E68" s="121">
        <v>0</v>
      </c>
      <c r="F68" s="123"/>
      <c r="G68" s="121">
        <v>1001</v>
      </c>
      <c r="H68" s="122">
        <v>0.2</v>
      </c>
      <c r="I68" s="122">
        <f t="shared" si="53"/>
        <v>2.90304</v>
      </c>
      <c r="J68" s="121">
        <v>0</v>
      </c>
      <c r="K68" s="123"/>
      <c r="L68" s="121">
        <v>1001</v>
      </c>
      <c r="M68" s="122">
        <v>0.2</v>
      </c>
      <c r="N68" s="122">
        <f t="shared" si="54"/>
        <v>3.483648</v>
      </c>
      <c r="O68" s="121">
        <v>0</v>
      </c>
      <c r="P68" s="123">
        <f t="shared" si="59"/>
        <v>13.0113918081918</v>
      </c>
      <c r="Q68" s="121">
        <v>1001</v>
      </c>
      <c r="R68" s="122">
        <v>0.2</v>
      </c>
      <c r="S68" s="122">
        <f t="shared" si="55"/>
        <v>3.8320128</v>
      </c>
      <c r="T68" s="121">
        <v>0</v>
      </c>
      <c r="U68" s="123"/>
      <c r="V68" s="121">
        <v>1001</v>
      </c>
      <c r="W68" s="122">
        <v>0.2</v>
      </c>
      <c r="X68" s="122">
        <f t="shared" si="56"/>
        <v>4.21521408</v>
      </c>
      <c r="Y68" s="121">
        <v>0</v>
      </c>
      <c r="Z68" s="123"/>
      <c r="AA68" s="121">
        <v>1001</v>
      </c>
      <c r="AB68" s="122">
        <v>0.2</v>
      </c>
      <c r="AC68" s="122">
        <f t="shared" si="57"/>
        <v>4.636735488</v>
      </c>
      <c r="AD68" s="121">
        <v>0</v>
      </c>
      <c r="AE68" s="123"/>
      <c r="AF68" s="121">
        <v>1001</v>
      </c>
      <c r="AG68" s="122">
        <v>0.2</v>
      </c>
      <c r="AH68" s="122">
        <f t="shared" si="58"/>
        <v>5.036735488</v>
      </c>
      <c r="AI68" s="122">
        <v>0</v>
      </c>
    </row>
    <row r="69" spans="1:35">
      <c r="B69" s="121">
        <v>1201</v>
      </c>
      <c r="C69" s="122">
        <v>0.2</v>
      </c>
      <c r="D69" s="122">
        <f t="shared" si="52"/>
        <v>2.9568</v>
      </c>
      <c r="E69" s="121">
        <v>0</v>
      </c>
      <c r="F69" s="123"/>
      <c r="G69" s="121">
        <v>1201</v>
      </c>
      <c r="H69" s="122">
        <v>0.2</v>
      </c>
      <c r="I69" s="122">
        <f t="shared" si="53"/>
        <v>3.54816</v>
      </c>
      <c r="J69" s="121">
        <v>0</v>
      </c>
      <c r="K69" s="123"/>
      <c r="L69" s="121">
        <v>1201</v>
      </c>
      <c r="M69" s="122">
        <v>0.2</v>
      </c>
      <c r="N69" s="122">
        <f t="shared" si="54"/>
        <v>4.257792</v>
      </c>
      <c r="O69" s="121">
        <v>0</v>
      </c>
      <c r="P69" s="123">
        <f t="shared" si="59"/>
        <v>13.0362138218152</v>
      </c>
      <c r="Q69" s="121">
        <v>1201</v>
      </c>
      <c r="R69" s="122">
        <v>0.2</v>
      </c>
      <c r="S69" s="122">
        <f t="shared" si="55"/>
        <v>4.6835712</v>
      </c>
      <c r="T69" s="121">
        <v>0</v>
      </c>
      <c r="U69" s="123"/>
      <c r="V69" s="121">
        <v>1201</v>
      </c>
      <c r="W69" s="122">
        <v>0.2</v>
      </c>
      <c r="X69" s="122">
        <f t="shared" si="56"/>
        <v>5.15192832</v>
      </c>
      <c r="Y69" s="121">
        <v>0</v>
      </c>
      <c r="Z69" s="123"/>
      <c r="AA69" s="121">
        <v>1201</v>
      </c>
      <c r="AB69" s="122">
        <v>0.2</v>
      </c>
      <c r="AC69" s="122">
        <f t="shared" si="57"/>
        <v>5.667121152</v>
      </c>
      <c r="AD69" s="121">
        <v>0</v>
      </c>
      <c r="AE69" s="123"/>
      <c r="AF69" s="121">
        <v>1201</v>
      </c>
      <c r="AG69" s="122">
        <v>0.2</v>
      </c>
      <c r="AH69" s="122">
        <f t="shared" si="58"/>
        <v>6.067121152</v>
      </c>
      <c r="AI69" s="122">
        <v>0</v>
      </c>
    </row>
    <row r="70" spans="1:35">
      <c r="B70" s="121">
        <v>1401</v>
      </c>
      <c r="C70" s="122">
        <v>0.3</v>
      </c>
      <c r="D70" s="122">
        <f t="shared" si="52"/>
        <v>3.4944</v>
      </c>
      <c r="E70" s="121">
        <v>0</v>
      </c>
      <c r="F70" s="123"/>
      <c r="G70" s="121">
        <v>1401</v>
      </c>
      <c r="H70" s="122">
        <v>0.3</v>
      </c>
      <c r="I70" s="122">
        <f t="shared" si="53"/>
        <v>4.19328</v>
      </c>
      <c r="J70" s="121">
        <v>0</v>
      </c>
      <c r="K70" s="123"/>
      <c r="L70" s="121">
        <v>1401</v>
      </c>
      <c r="M70" s="122">
        <v>0.3</v>
      </c>
      <c r="N70" s="122">
        <f t="shared" si="54"/>
        <v>5.031936</v>
      </c>
      <c r="O70" s="121">
        <v>0</v>
      </c>
      <c r="P70" s="123">
        <f t="shared" si="59"/>
        <v>13.4750766595289</v>
      </c>
      <c r="Q70" s="121">
        <v>1401</v>
      </c>
      <c r="R70" s="122">
        <v>0.3</v>
      </c>
      <c r="S70" s="122">
        <f t="shared" si="55"/>
        <v>5.5351296</v>
      </c>
      <c r="T70" s="121">
        <v>0</v>
      </c>
      <c r="U70" s="123"/>
      <c r="V70" s="121">
        <v>1401</v>
      </c>
      <c r="W70" s="122">
        <v>0.3</v>
      </c>
      <c r="X70" s="122">
        <f t="shared" si="56"/>
        <v>6.08864256</v>
      </c>
      <c r="Y70" s="121">
        <v>0</v>
      </c>
      <c r="Z70" s="123"/>
      <c r="AA70" s="121">
        <v>1401</v>
      </c>
      <c r="AB70" s="122">
        <v>0.3</v>
      </c>
      <c r="AC70" s="122">
        <f t="shared" si="57"/>
        <v>6.697506816</v>
      </c>
      <c r="AD70" s="121">
        <v>0</v>
      </c>
      <c r="AE70" s="123"/>
      <c r="AF70" s="121">
        <v>1401</v>
      </c>
      <c r="AG70" s="122">
        <v>0.3</v>
      </c>
      <c r="AH70" s="122">
        <f t="shared" si="58"/>
        <v>7.097506816</v>
      </c>
      <c r="AI70" s="122">
        <v>0</v>
      </c>
    </row>
    <row r="71" spans="1:35">
      <c r="B71" s="121">
        <v>1601</v>
      </c>
      <c r="C71" s="122">
        <v>0.3</v>
      </c>
      <c r="D71" s="122">
        <f t="shared" si="52"/>
        <v>4.1664</v>
      </c>
      <c r="E71" s="121">
        <v>0</v>
      </c>
      <c r="F71" s="123"/>
      <c r="G71" s="121">
        <v>1601</v>
      </c>
      <c r="H71" s="122">
        <v>0.3</v>
      </c>
      <c r="I71" s="122">
        <f t="shared" si="53"/>
        <v>4.99968</v>
      </c>
      <c r="J71" s="121">
        <v>0</v>
      </c>
      <c r="K71" s="123"/>
      <c r="L71" s="121">
        <v>1601</v>
      </c>
      <c r="M71" s="122">
        <v>0.3</v>
      </c>
      <c r="N71" s="122">
        <f t="shared" si="54"/>
        <v>5.999616</v>
      </c>
      <c r="O71" s="121">
        <v>0</v>
      </c>
      <c r="P71" s="123">
        <f t="shared" si="59"/>
        <v>13.8467797626483</v>
      </c>
      <c r="Q71" s="121">
        <v>1601</v>
      </c>
      <c r="R71" s="122">
        <v>0.3</v>
      </c>
      <c r="S71" s="122">
        <f t="shared" si="55"/>
        <v>6.5995776</v>
      </c>
      <c r="T71" s="121">
        <v>0</v>
      </c>
      <c r="U71" s="123"/>
      <c r="V71" s="121">
        <v>1601</v>
      </c>
      <c r="W71" s="122">
        <v>0.3</v>
      </c>
      <c r="X71" s="122">
        <f t="shared" si="56"/>
        <v>7.25953536</v>
      </c>
      <c r="Y71" s="121">
        <v>0</v>
      </c>
      <c r="Z71" s="123"/>
      <c r="AA71" s="121">
        <v>1601</v>
      </c>
      <c r="AB71" s="122">
        <v>0.3</v>
      </c>
      <c r="AC71" s="122">
        <f t="shared" si="57"/>
        <v>7.985488896</v>
      </c>
      <c r="AD71" s="121">
        <v>0</v>
      </c>
      <c r="AE71" s="123"/>
      <c r="AF71" s="121">
        <v>1601</v>
      </c>
      <c r="AG71" s="122">
        <v>0.3</v>
      </c>
      <c r="AH71" s="122">
        <f t="shared" si="58"/>
        <v>8.385488896</v>
      </c>
      <c r="AI71" s="122">
        <v>0</v>
      </c>
    </row>
    <row r="72" spans="1:35">
      <c r="B72" s="121">
        <v>1801</v>
      </c>
      <c r="C72" s="122">
        <v>0.3</v>
      </c>
      <c r="D72" s="122">
        <f t="shared" si="52"/>
        <v>4.9728</v>
      </c>
      <c r="E72" s="121">
        <v>0</v>
      </c>
      <c r="F72" s="123"/>
      <c r="G72" s="121">
        <v>1801</v>
      </c>
      <c r="H72" s="122">
        <v>0.3</v>
      </c>
      <c r="I72" s="122">
        <f t="shared" si="53"/>
        <v>5.96736</v>
      </c>
      <c r="J72" s="121">
        <v>0</v>
      </c>
      <c r="K72" s="123"/>
      <c r="L72" s="121">
        <v>1801</v>
      </c>
      <c r="M72" s="122">
        <v>0.3</v>
      </c>
      <c r="N72" s="122">
        <f t="shared" si="54"/>
        <v>7.160832</v>
      </c>
      <c r="O72" s="121">
        <v>0</v>
      </c>
      <c r="P72" s="123">
        <f t="shared" si="59"/>
        <v>14.5012930594114</v>
      </c>
      <c r="Q72" s="121">
        <v>1801</v>
      </c>
      <c r="R72" s="122">
        <v>0.3</v>
      </c>
      <c r="S72" s="122">
        <f t="shared" si="55"/>
        <v>7.8769152</v>
      </c>
      <c r="T72" s="121">
        <v>0</v>
      </c>
      <c r="U72" s="123"/>
      <c r="V72" s="121">
        <v>1801</v>
      </c>
      <c r="W72" s="122">
        <v>0.3</v>
      </c>
      <c r="X72" s="122">
        <f t="shared" si="56"/>
        <v>8.66460672</v>
      </c>
      <c r="Y72" s="121">
        <v>0</v>
      </c>
      <c r="Z72" s="123"/>
      <c r="AA72" s="121">
        <v>1801</v>
      </c>
      <c r="AB72" s="122">
        <v>0.3</v>
      </c>
      <c r="AC72" s="122">
        <f t="shared" si="57"/>
        <v>9.531067392</v>
      </c>
      <c r="AD72" s="121">
        <v>0</v>
      </c>
      <c r="AE72" s="123"/>
      <c r="AF72" s="121">
        <v>1801</v>
      </c>
      <c r="AG72" s="122">
        <v>0.3</v>
      </c>
      <c r="AH72" s="122">
        <f t="shared" si="58"/>
        <v>9.931067392</v>
      </c>
      <c r="AI72" s="122">
        <v>0</v>
      </c>
    </row>
    <row r="74" ht="18.95" customHeight="1" spans="1:35">
      <c r="B74" s="84" t="s">
        <v>436</v>
      </c>
      <c r="C74" s="84"/>
      <c r="D74" s="118" t="s">
        <v>445</v>
      </c>
      <c r="E74" s="118"/>
      <c r="F74" s="123"/>
      <c r="G74" s="84" t="s">
        <v>436</v>
      </c>
      <c r="H74" s="84"/>
      <c r="I74" s="118" t="s">
        <v>445</v>
      </c>
      <c r="J74" s="118"/>
      <c r="K74" s="123"/>
      <c r="L74" s="84" t="s">
        <v>436</v>
      </c>
      <c r="M74" s="84"/>
      <c r="N74" s="118" t="s">
        <v>445</v>
      </c>
      <c r="O74" s="118"/>
      <c r="P74" s="123"/>
      <c r="Q74" s="84" t="s">
        <v>436</v>
      </c>
      <c r="R74" s="84"/>
      <c r="S74" s="118" t="s">
        <v>445</v>
      </c>
      <c r="T74" s="118"/>
      <c r="U74" s="123"/>
      <c r="V74" s="84" t="s">
        <v>436</v>
      </c>
      <c r="W74" s="84"/>
      <c r="X74" s="118" t="s">
        <v>445</v>
      </c>
      <c r="Y74" s="118"/>
      <c r="Z74" s="123"/>
      <c r="AA74" s="84" t="s">
        <v>436</v>
      </c>
      <c r="AB74" s="84"/>
      <c r="AC74" s="118" t="s">
        <v>445</v>
      </c>
      <c r="AD74" s="118"/>
      <c r="AE74" s="123"/>
      <c r="AF74" s="84" t="s">
        <v>436</v>
      </c>
      <c r="AG74" s="84"/>
      <c r="AH74" s="118" t="s">
        <v>445</v>
      </c>
      <c r="AI74" s="118"/>
    </row>
    <row r="75" ht="18.95" customHeight="1" spans="1:35">
      <c r="B75" s="119" t="s">
        <v>192</v>
      </c>
      <c r="C75" s="119"/>
      <c r="D75" s="118" t="s">
        <v>199</v>
      </c>
      <c r="E75" s="118"/>
      <c r="F75" s="123"/>
      <c r="G75" s="119" t="s">
        <v>192</v>
      </c>
      <c r="H75" s="119"/>
      <c r="I75" s="118" t="s">
        <v>203</v>
      </c>
      <c r="J75" s="118"/>
      <c r="K75" s="123"/>
      <c r="L75" s="119" t="s">
        <v>192</v>
      </c>
      <c r="M75" s="119"/>
      <c r="N75" s="118" t="s">
        <v>335</v>
      </c>
      <c r="O75" s="118"/>
      <c r="P75" s="123"/>
      <c r="Q75" s="119" t="s">
        <v>192</v>
      </c>
      <c r="R75" s="119"/>
      <c r="S75" s="118" t="s">
        <v>438</v>
      </c>
      <c r="T75" s="118"/>
      <c r="U75" s="123"/>
      <c r="V75" s="119" t="s">
        <v>192</v>
      </c>
      <c r="W75" s="119"/>
      <c r="X75" s="118" t="s">
        <v>439</v>
      </c>
      <c r="Y75" s="118"/>
      <c r="Z75" s="123"/>
      <c r="AA75" s="119" t="s">
        <v>192</v>
      </c>
      <c r="AB75" s="119"/>
      <c r="AC75" s="118" t="s">
        <v>440</v>
      </c>
      <c r="AD75" s="118"/>
      <c r="AE75" s="123"/>
      <c r="AF75" s="119" t="s">
        <v>192</v>
      </c>
      <c r="AG75" s="119"/>
      <c r="AH75" s="118" t="s">
        <v>338</v>
      </c>
      <c r="AI75" s="118"/>
    </row>
    <row r="76" ht="18.95" customHeight="1" spans="1:35">
      <c r="B76" s="120" t="s">
        <v>441</v>
      </c>
      <c r="C76" s="120"/>
      <c r="D76" s="118">
        <v>8</v>
      </c>
      <c r="E76" s="118"/>
      <c r="F76" s="123"/>
      <c r="G76" s="120" t="s">
        <v>441</v>
      </c>
      <c r="H76" s="120"/>
      <c r="I76" s="118">
        <v>9</v>
      </c>
      <c r="J76" s="118"/>
      <c r="K76" s="123"/>
      <c r="L76" s="120" t="s">
        <v>441</v>
      </c>
      <c r="M76" s="120"/>
      <c r="N76" s="118">
        <v>10</v>
      </c>
      <c r="O76" s="118"/>
      <c r="P76" s="123"/>
      <c r="Q76" s="120" t="s">
        <v>441</v>
      </c>
      <c r="R76" s="120"/>
      <c r="S76" s="118">
        <v>12</v>
      </c>
      <c r="T76" s="118"/>
      <c r="U76" s="123"/>
      <c r="V76" s="120" t="s">
        <v>441</v>
      </c>
      <c r="W76" s="120"/>
      <c r="X76" s="118">
        <v>16</v>
      </c>
      <c r="Y76" s="118"/>
      <c r="Z76" s="123"/>
      <c r="AA76" s="120" t="s">
        <v>441</v>
      </c>
      <c r="AB76" s="120"/>
      <c r="AC76" s="118">
        <v>18</v>
      </c>
      <c r="AD76" s="118"/>
      <c r="AE76" s="123"/>
      <c r="AF76" s="120" t="s">
        <v>441</v>
      </c>
      <c r="AG76" s="120"/>
      <c r="AH76" s="118">
        <v>20</v>
      </c>
      <c r="AI76" s="118"/>
    </row>
    <row r="77" spans="1:35">
      <c r="B77" s="121" t="s">
        <v>101</v>
      </c>
      <c r="C77" s="121" t="s">
        <v>8</v>
      </c>
      <c r="D77" s="121" t="s">
        <v>9</v>
      </c>
      <c r="E77" s="121" t="s">
        <v>103</v>
      </c>
      <c r="F77" s="123"/>
      <c r="G77" s="121" t="s">
        <v>101</v>
      </c>
      <c r="H77" s="121" t="s">
        <v>8</v>
      </c>
      <c r="I77" s="121" t="s">
        <v>9</v>
      </c>
      <c r="J77" s="121" t="s">
        <v>103</v>
      </c>
      <c r="K77" s="123"/>
      <c r="L77" s="121" t="s">
        <v>101</v>
      </c>
      <c r="M77" s="121" t="s">
        <v>8</v>
      </c>
      <c r="N77" s="121" t="s">
        <v>9</v>
      </c>
      <c r="O77" s="121" t="s">
        <v>103</v>
      </c>
      <c r="P77" s="123"/>
      <c r="Q77" s="121" t="s">
        <v>101</v>
      </c>
      <c r="R77" s="121" t="s">
        <v>8</v>
      </c>
      <c r="S77" s="121" t="s">
        <v>9</v>
      </c>
      <c r="T77" s="121" t="s">
        <v>103</v>
      </c>
      <c r="U77" s="123"/>
      <c r="V77" s="121" t="s">
        <v>101</v>
      </c>
      <c r="W77" s="121" t="s">
        <v>8</v>
      </c>
      <c r="X77" s="121" t="s">
        <v>9</v>
      </c>
      <c r="Y77" s="121" t="s">
        <v>103</v>
      </c>
      <c r="Z77" s="123"/>
      <c r="AA77" s="121" t="s">
        <v>101</v>
      </c>
      <c r="AB77" s="121" t="s">
        <v>8</v>
      </c>
      <c r="AC77" s="121" t="s">
        <v>9</v>
      </c>
      <c r="AD77" s="121" t="s">
        <v>103</v>
      </c>
      <c r="AE77" s="123"/>
      <c r="AF77" s="121" t="s">
        <v>101</v>
      </c>
      <c r="AG77" s="121" t="s">
        <v>8</v>
      </c>
      <c r="AH77" s="121" t="s">
        <v>9</v>
      </c>
      <c r="AI77" s="121" t="s">
        <v>103</v>
      </c>
    </row>
    <row r="78" spans="1:35">
      <c r="A78" s="1">
        <v>0</v>
      </c>
      <c r="B78" s="121">
        <v>0</v>
      </c>
      <c r="C78" s="121">
        <v>0</v>
      </c>
      <c r="D78" s="121">
        <v>0</v>
      </c>
      <c r="E78" s="121">
        <v>0</v>
      </c>
      <c r="F78" s="123"/>
      <c r="G78" s="121">
        <v>0</v>
      </c>
      <c r="H78" s="121">
        <v>0</v>
      </c>
      <c r="I78" s="121">
        <v>0</v>
      </c>
      <c r="J78" s="121">
        <v>0</v>
      </c>
      <c r="K78" s="123"/>
      <c r="L78" s="121">
        <v>0</v>
      </c>
      <c r="M78" s="121">
        <v>0</v>
      </c>
      <c r="N78" s="121">
        <v>0</v>
      </c>
      <c r="O78" s="121">
        <v>0</v>
      </c>
      <c r="P78" s="123" t="e">
        <f t="shared" ref="P78:P85" si="67">(M78*7200+N78*3200+O78*300+$N$76*L78)/L78</f>
        <v>#DIV/0!</v>
      </c>
      <c r="Q78" s="121">
        <v>0</v>
      </c>
      <c r="R78" s="121">
        <v>0</v>
      </c>
      <c r="S78" s="121">
        <v>0</v>
      </c>
      <c r="T78" s="121">
        <v>0</v>
      </c>
      <c r="U78" s="123"/>
      <c r="V78" s="121">
        <v>0</v>
      </c>
      <c r="W78" s="121">
        <v>0</v>
      </c>
      <c r="X78" s="121">
        <v>0</v>
      </c>
      <c r="Y78" s="121">
        <v>0</v>
      </c>
      <c r="Z78" s="123"/>
      <c r="AA78" s="121">
        <v>0</v>
      </c>
      <c r="AB78" s="121">
        <v>0</v>
      </c>
      <c r="AC78" s="121">
        <v>0</v>
      </c>
      <c r="AD78" s="121">
        <v>0</v>
      </c>
      <c r="AE78" s="123"/>
      <c r="AF78" s="121">
        <v>0</v>
      </c>
      <c r="AG78" s="121">
        <v>0</v>
      </c>
      <c r="AH78" s="121">
        <v>0</v>
      </c>
      <c r="AI78" s="121">
        <v>0</v>
      </c>
    </row>
    <row r="79" spans="1:35">
      <c r="A79" s="1" t="s">
        <v>106</v>
      </c>
      <c r="B79" s="121">
        <v>1</v>
      </c>
      <c r="C79" s="121">
        <v>0</v>
      </c>
      <c r="D79" s="121">
        <v>0.4</v>
      </c>
      <c r="E79" s="121">
        <v>0</v>
      </c>
      <c r="F79" s="123"/>
      <c r="G79" s="121">
        <v>1</v>
      </c>
      <c r="H79" s="121">
        <v>0</v>
      </c>
      <c r="I79" s="121">
        <f t="shared" ref="I79:I85" si="68">D79+0.1</f>
        <v>0.5</v>
      </c>
      <c r="J79" s="121">
        <v>0</v>
      </c>
      <c r="K79" s="123"/>
      <c r="L79" s="121">
        <v>1</v>
      </c>
      <c r="M79" s="121">
        <v>0</v>
      </c>
      <c r="N79" s="121">
        <f t="shared" ref="N79:N85" si="69">I79+0.2</f>
        <v>0.7</v>
      </c>
      <c r="O79" s="121">
        <v>0</v>
      </c>
      <c r="P79" s="123">
        <f t="shared" si="67"/>
        <v>2250</v>
      </c>
      <c r="Q79" s="121">
        <v>1</v>
      </c>
      <c r="R79" s="121">
        <v>0</v>
      </c>
      <c r="S79" s="121">
        <f t="shared" ref="S79:S85" si="70">N79+0.3</f>
        <v>1</v>
      </c>
      <c r="T79" s="121">
        <v>0</v>
      </c>
      <c r="U79" s="123"/>
      <c r="V79" s="121">
        <v>1</v>
      </c>
      <c r="W79" s="121">
        <v>0</v>
      </c>
      <c r="X79" s="121">
        <f t="shared" ref="X79:X85" si="71">S79+0.4</f>
        <v>1.4</v>
      </c>
      <c r="Y79" s="121">
        <v>0</v>
      </c>
      <c r="Z79" s="123"/>
      <c r="AA79" s="121">
        <v>1</v>
      </c>
      <c r="AB79" s="121">
        <v>0</v>
      </c>
      <c r="AC79" s="121">
        <f t="shared" ref="AC79:AC85" si="72">X79+0.4</f>
        <v>1.8</v>
      </c>
      <c r="AD79" s="121">
        <v>0</v>
      </c>
      <c r="AE79" s="123"/>
      <c r="AF79" s="121">
        <v>1</v>
      </c>
      <c r="AG79" s="121">
        <v>0</v>
      </c>
      <c r="AH79" s="121">
        <f t="shared" ref="AH79:AH85" si="73">AC79+0.4</f>
        <v>2.2</v>
      </c>
      <c r="AI79" s="121">
        <v>0</v>
      </c>
    </row>
    <row r="80" spans="1:35">
      <c r="A80" s="1" t="s">
        <v>107</v>
      </c>
      <c r="B80" s="121">
        <v>101</v>
      </c>
      <c r="C80" s="121">
        <v>0</v>
      </c>
      <c r="D80" s="121">
        <v>0.5</v>
      </c>
      <c r="E80" s="121">
        <v>0</v>
      </c>
      <c r="F80" s="123"/>
      <c r="G80" s="121">
        <v>101</v>
      </c>
      <c r="H80" s="121">
        <v>0</v>
      </c>
      <c r="I80" s="121">
        <f t="shared" si="68"/>
        <v>0.6</v>
      </c>
      <c r="J80" s="121">
        <v>0</v>
      </c>
      <c r="K80" s="123"/>
      <c r="L80" s="121">
        <v>101</v>
      </c>
      <c r="M80" s="121">
        <v>0</v>
      </c>
      <c r="N80" s="121">
        <f t="shared" si="69"/>
        <v>0.8</v>
      </c>
      <c r="O80" s="121">
        <v>0</v>
      </c>
      <c r="P80" s="123">
        <f t="shared" si="67"/>
        <v>35.3465346534653</v>
      </c>
      <c r="Q80" s="121">
        <v>101</v>
      </c>
      <c r="R80" s="121">
        <v>0</v>
      </c>
      <c r="S80" s="121">
        <f t="shared" si="70"/>
        <v>1.1</v>
      </c>
      <c r="T80" s="121">
        <v>0</v>
      </c>
      <c r="U80" s="123"/>
      <c r="V80" s="121">
        <v>101</v>
      </c>
      <c r="W80" s="121">
        <v>0</v>
      </c>
      <c r="X80" s="121">
        <f t="shared" si="71"/>
        <v>1.5</v>
      </c>
      <c r="Y80" s="121">
        <v>0</v>
      </c>
      <c r="Z80" s="123"/>
      <c r="AA80" s="121">
        <v>101</v>
      </c>
      <c r="AB80" s="121">
        <v>0</v>
      </c>
      <c r="AC80" s="121">
        <f t="shared" si="72"/>
        <v>1.9</v>
      </c>
      <c r="AD80" s="121">
        <v>0</v>
      </c>
      <c r="AE80" s="123"/>
      <c r="AF80" s="121">
        <v>101</v>
      </c>
      <c r="AG80" s="121">
        <v>0</v>
      </c>
      <c r="AH80" s="121">
        <f t="shared" si="73"/>
        <v>2.3</v>
      </c>
      <c r="AI80" s="121">
        <v>0</v>
      </c>
    </row>
    <row r="81" spans="1:35">
      <c r="A81" s="1" t="s">
        <v>108</v>
      </c>
      <c r="B81" s="121">
        <v>201</v>
      </c>
      <c r="C81" s="121">
        <v>0.2</v>
      </c>
      <c r="D81" s="121">
        <v>0.6</v>
      </c>
      <c r="E81" s="121">
        <v>0</v>
      </c>
      <c r="F81" s="123"/>
      <c r="G81" s="121">
        <v>201</v>
      </c>
      <c r="H81" s="121">
        <v>0.2</v>
      </c>
      <c r="I81" s="121">
        <f t="shared" si="68"/>
        <v>0.7</v>
      </c>
      <c r="J81" s="121">
        <v>0</v>
      </c>
      <c r="K81" s="123"/>
      <c r="L81" s="121">
        <v>201</v>
      </c>
      <c r="M81" s="121">
        <v>0.2</v>
      </c>
      <c r="N81" s="121">
        <f t="shared" si="69"/>
        <v>0.9</v>
      </c>
      <c r="O81" s="121">
        <v>0</v>
      </c>
      <c r="P81" s="123">
        <f t="shared" si="67"/>
        <v>31.4925373134328</v>
      </c>
      <c r="Q81" s="121">
        <v>201</v>
      </c>
      <c r="R81" s="121">
        <v>0.2</v>
      </c>
      <c r="S81" s="121">
        <f t="shared" si="70"/>
        <v>1.2</v>
      </c>
      <c r="T81" s="121">
        <v>0</v>
      </c>
      <c r="U81" s="123"/>
      <c r="V81" s="121">
        <v>201</v>
      </c>
      <c r="W81" s="121">
        <v>0.2</v>
      </c>
      <c r="X81" s="121">
        <f t="shared" si="71"/>
        <v>1.6</v>
      </c>
      <c r="Y81" s="121">
        <v>0</v>
      </c>
      <c r="Z81" s="123"/>
      <c r="AA81" s="121">
        <v>201</v>
      </c>
      <c r="AB81" s="121">
        <v>0.2</v>
      </c>
      <c r="AC81" s="121">
        <f t="shared" si="72"/>
        <v>2</v>
      </c>
      <c r="AD81" s="121">
        <v>0</v>
      </c>
      <c r="AE81" s="123"/>
      <c r="AF81" s="121">
        <v>201</v>
      </c>
      <c r="AG81" s="121">
        <v>0.2</v>
      </c>
      <c r="AH81" s="121">
        <f t="shared" si="73"/>
        <v>2.4</v>
      </c>
      <c r="AI81" s="121">
        <v>0</v>
      </c>
    </row>
    <row r="82" spans="1:35">
      <c r="A82" s="1" t="s">
        <v>109</v>
      </c>
      <c r="B82" s="121">
        <v>301</v>
      </c>
      <c r="C82" s="121">
        <v>0.2</v>
      </c>
      <c r="D82" s="121">
        <v>0.7</v>
      </c>
      <c r="E82" s="121">
        <v>0</v>
      </c>
      <c r="F82" s="123"/>
      <c r="G82" s="121">
        <v>301</v>
      </c>
      <c r="H82" s="121">
        <v>0.2</v>
      </c>
      <c r="I82" s="121">
        <f t="shared" si="68"/>
        <v>0.8</v>
      </c>
      <c r="J82" s="121">
        <v>0</v>
      </c>
      <c r="K82" s="123"/>
      <c r="L82" s="121">
        <v>301</v>
      </c>
      <c r="M82" s="121">
        <v>0.2</v>
      </c>
      <c r="N82" s="121">
        <f t="shared" si="69"/>
        <v>1</v>
      </c>
      <c r="O82" s="121">
        <v>0</v>
      </c>
      <c r="P82" s="123">
        <f t="shared" si="67"/>
        <v>25.4152823920266</v>
      </c>
      <c r="Q82" s="121">
        <v>301</v>
      </c>
      <c r="R82" s="121">
        <v>0.2</v>
      </c>
      <c r="S82" s="121">
        <f t="shared" si="70"/>
        <v>1.3</v>
      </c>
      <c r="T82" s="121">
        <v>0</v>
      </c>
      <c r="U82" s="123"/>
      <c r="V82" s="121">
        <v>301</v>
      </c>
      <c r="W82" s="121">
        <v>0.2</v>
      </c>
      <c r="X82" s="121">
        <f t="shared" si="71"/>
        <v>1.7</v>
      </c>
      <c r="Y82" s="121">
        <v>0</v>
      </c>
      <c r="Z82" s="123"/>
      <c r="AA82" s="121">
        <v>301</v>
      </c>
      <c r="AB82" s="121">
        <v>0.2</v>
      </c>
      <c r="AC82" s="121">
        <f t="shared" si="72"/>
        <v>2.1</v>
      </c>
      <c r="AD82" s="121">
        <v>0</v>
      </c>
      <c r="AE82" s="123"/>
      <c r="AF82" s="121">
        <v>301</v>
      </c>
      <c r="AG82" s="121">
        <v>0.2</v>
      </c>
      <c r="AH82" s="121">
        <f t="shared" si="73"/>
        <v>2.5</v>
      </c>
      <c r="AI82" s="121">
        <v>0</v>
      </c>
    </row>
    <row r="83" spans="1:35">
      <c r="A83" s="1" t="s">
        <v>110</v>
      </c>
      <c r="B83" s="121">
        <v>501</v>
      </c>
      <c r="C83" s="121">
        <v>0.3</v>
      </c>
      <c r="D83" s="121">
        <v>0.9</v>
      </c>
      <c r="E83" s="121">
        <v>0</v>
      </c>
      <c r="F83" s="123"/>
      <c r="G83" s="121">
        <v>501</v>
      </c>
      <c r="H83" s="121">
        <v>0.3</v>
      </c>
      <c r="I83" s="121">
        <f t="shared" si="68"/>
        <v>1</v>
      </c>
      <c r="J83" s="121">
        <v>0</v>
      </c>
      <c r="K83" s="123"/>
      <c r="L83" s="121">
        <v>501</v>
      </c>
      <c r="M83" s="121">
        <v>0.3</v>
      </c>
      <c r="N83" s="121">
        <f t="shared" si="69"/>
        <v>1.2</v>
      </c>
      <c r="O83" s="121">
        <v>0</v>
      </c>
      <c r="P83" s="123">
        <f t="shared" si="67"/>
        <v>21.9760479041916</v>
      </c>
      <c r="Q83" s="121">
        <v>501</v>
      </c>
      <c r="R83" s="121">
        <v>0.3</v>
      </c>
      <c r="S83" s="121">
        <f t="shared" si="70"/>
        <v>1.5</v>
      </c>
      <c r="T83" s="121">
        <v>0</v>
      </c>
      <c r="U83" s="123"/>
      <c r="V83" s="121">
        <v>501</v>
      </c>
      <c r="W83" s="121">
        <v>0.3</v>
      </c>
      <c r="X83" s="121">
        <f t="shared" si="71"/>
        <v>1.9</v>
      </c>
      <c r="Y83" s="121">
        <v>0</v>
      </c>
      <c r="Z83" s="123"/>
      <c r="AA83" s="121">
        <v>501</v>
      </c>
      <c r="AB83" s="121">
        <v>0.3</v>
      </c>
      <c r="AC83" s="121">
        <f t="shared" si="72"/>
        <v>2.3</v>
      </c>
      <c r="AD83" s="121">
        <v>0</v>
      </c>
      <c r="AE83" s="123"/>
      <c r="AF83" s="121">
        <v>501</v>
      </c>
      <c r="AG83" s="121">
        <v>0.3</v>
      </c>
      <c r="AH83" s="121">
        <f t="shared" si="73"/>
        <v>2.7</v>
      </c>
      <c r="AI83" s="121">
        <v>0</v>
      </c>
    </row>
    <row r="84" spans="1:35">
      <c r="A84" s="1" t="s">
        <v>111</v>
      </c>
      <c r="B84" s="121">
        <v>701</v>
      </c>
      <c r="C84" s="121">
        <v>0.3</v>
      </c>
      <c r="D84" s="122">
        <v>1.1</v>
      </c>
      <c r="E84" s="121">
        <v>0</v>
      </c>
      <c r="F84" s="123"/>
      <c r="G84" s="121">
        <v>701</v>
      </c>
      <c r="H84" s="121">
        <v>0.3</v>
      </c>
      <c r="I84" s="121">
        <f t="shared" si="68"/>
        <v>1.2</v>
      </c>
      <c r="J84" s="121">
        <v>0</v>
      </c>
      <c r="K84" s="123"/>
      <c r="L84" s="121">
        <v>701</v>
      </c>
      <c r="M84" s="121">
        <v>0.3</v>
      </c>
      <c r="N84" s="121">
        <f t="shared" si="69"/>
        <v>1.4</v>
      </c>
      <c r="O84" s="121">
        <v>0</v>
      </c>
      <c r="P84" s="123">
        <f t="shared" si="67"/>
        <v>19.472182596291</v>
      </c>
      <c r="Q84" s="121">
        <v>701</v>
      </c>
      <c r="R84" s="121">
        <v>0.3</v>
      </c>
      <c r="S84" s="121">
        <f t="shared" si="70"/>
        <v>1.7</v>
      </c>
      <c r="T84" s="121">
        <v>0</v>
      </c>
      <c r="U84" s="123"/>
      <c r="V84" s="121">
        <v>701</v>
      </c>
      <c r="W84" s="121">
        <v>0.3</v>
      </c>
      <c r="X84" s="121">
        <f t="shared" si="71"/>
        <v>2.1</v>
      </c>
      <c r="Y84" s="121">
        <v>0</v>
      </c>
      <c r="Z84" s="123"/>
      <c r="AA84" s="121">
        <v>701</v>
      </c>
      <c r="AB84" s="121">
        <v>0.3</v>
      </c>
      <c r="AC84" s="121">
        <f t="shared" si="72"/>
        <v>2.5</v>
      </c>
      <c r="AD84" s="121">
        <v>0</v>
      </c>
      <c r="AE84" s="123"/>
      <c r="AF84" s="121">
        <v>701</v>
      </c>
      <c r="AG84" s="121">
        <v>0.3</v>
      </c>
      <c r="AH84" s="121">
        <f t="shared" si="73"/>
        <v>2.9</v>
      </c>
      <c r="AI84" s="121">
        <v>0</v>
      </c>
    </row>
    <row r="85" spans="1:35">
      <c r="A85" s="1" t="s">
        <v>112</v>
      </c>
      <c r="B85" s="121">
        <v>901</v>
      </c>
      <c r="C85" s="121">
        <v>0.4</v>
      </c>
      <c r="D85" s="121">
        <v>1.3</v>
      </c>
      <c r="E85" s="121">
        <v>0</v>
      </c>
      <c r="F85" s="123"/>
      <c r="G85" s="121">
        <v>901</v>
      </c>
      <c r="H85" s="121">
        <v>0.4</v>
      </c>
      <c r="I85" s="121">
        <f t="shared" si="68"/>
        <v>1.4</v>
      </c>
      <c r="J85" s="121">
        <v>0</v>
      </c>
      <c r="K85" s="123"/>
      <c r="L85" s="121">
        <v>901</v>
      </c>
      <c r="M85" s="121">
        <v>0.4</v>
      </c>
      <c r="N85" s="121">
        <f t="shared" si="69"/>
        <v>1.6</v>
      </c>
      <c r="O85" s="121">
        <v>0</v>
      </c>
      <c r="P85" s="123">
        <f t="shared" si="67"/>
        <v>18.8790233074362</v>
      </c>
      <c r="Q85" s="121">
        <v>901</v>
      </c>
      <c r="R85" s="121">
        <v>0.4</v>
      </c>
      <c r="S85" s="121">
        <f t="shared" si="70"/>
        <v>1.9</v>
      </c>
      <c r="T85" s="121">
        <v>0</v>
      </c>
      <c r="U85" s="123"/>
      <c r="V85" s="121">
        <v>901</v>
      </c>
      <c r="W85" s="121">
        <v>0.4</v>
      </c>
      <c r="X85" s="121">
        <f t="shared" si="71"/>
        <v>2.3</v>
      </c>
      <c r="Y85" s="121">
        <v>0</v>
      </c>
      <c r="Z85" s="123"/>
      <c r="AA85" s="121">
        <v>901</v>
      </c>
      <c r="AB85" s="121">
        <v>0.4</v>
      </c>
      <c r="AC85" s="121">
        <f t="shared" si="72"/>
        <v>2.7</v>
      </c>
      <c r="AD85" s="121">
        <v>0</v>
      </c>
      <c r="AE85" s="123"/>
      <c r="AF85" s="121">
        <v>901</v>
      </c>
      <c r="AG85" s="121">
        <v>0.4</v>
      </c>
      <c r="AH85" s="121">
        <f t="shared" si="73"/>
        <v>3.1</v>
      </c>
      <c r="AI85" s="121">
        <v>0</v>
      </c>
    </row>
    <row r="86" spans="1:35">
      <c r="B86" s="1"/>
      <c r="C86" s="1"/>
      <c r="D86" s="1"/>
      <c r="E86" s="1"/>
      <c r="G86" s="1"/>
      <c r="H86" s="1"/>
      <c r="I86" s="1"/>
      <c r="J86" s="1"/>
      <c r="L86" s="1"/>
      <c r="M86" s="1"/>
      <c r="N86" s="1"/>
      <c r="O86" s="1"/>
      <c r="Q86" s="1"/>
      <c r="R86" s="1"/>
      <c r="S86" s="1"/>
      <c r="T86" s="1"/>
      <c r="V86" s="1"/>
      <c r="W86" s="1"/>
      <c r="X86" s="1"/>
      <c r="Y86" s="1"/>
      <c r="AA86" s="1"/>
      <c r="AB86" s="1"/>
      <c r="AC86" s="1"/>
      <c r="AD86" s="1"/>
      <c r="AF86" s="1"/>
      <c r="AG86" s="1"/>
      <c r="AH86" s="1"/>
      <c r="AI86" s="1"/>
    </row>
    <row r="87" ht="18.95" customHeight="1" spans="1:35">
      <c r="B87" s="84" t="s">
        <v>436</v>
      </c>
      <c r="C87" s="84"/>
      <c r="D87" s="118" t="s">
        <v>446</v>
      </c>
      <c r="E87" s="118"/>
      <c r="F87" s="123"/>
      <c r="G87" s="84" t="s">
        <v>436</v>
      </c>
      <c r="H87" s="84"/>
      <c r="I87" s="118" t="s">
        <v>446</v>
      </c>
      <c r="J87" s="118"/>
      <c r="K87" s="123"/>
      <c r="L87" s="84" t="s">
        <v>436</v>
      </c>
      <c r="M87" s="84"/>
      <c r="N87" s="118" t="s">
        <v>446</v>
      </c>
      <c r="O87" s="118"/>
      <c r="P87" s="123"/>
      <c r="Q87" s="84" t="s">
        <v>436</v>
      </c>
      <c r="R87" s="84"/>
      <c r="S87" s="118" t="s">
        <v>446</v>
      </c>
      <c r="T87" s="118"/>
      <c r="U87" s="123"/>
      <c r="V87" s="84" t="s">
        <v>436</v>
      </c>
      <c r="W87" s="84"/>
      <c r="X87" s="118" t="s">
        <v>446</v>
      </c>
      <c r="Y87" s="118"/>
      <c r="Z87" s="123"/>
      <c r="AA87" s="84" t="s">
        <v>436</v>
      </c>
      <c r="AB87" s="84"/>
      <c r="AC87" s="118" t="s">
        <v>446</v>
      </c>
      <c r="AD87" s="118"/>
      <c r="AE87" s="123"/>
      <c r="AF87" s="84" t="s">
        <v>436</v>
      </c>
      <c r="AG87" s="84"/>
      <c r="AH87" s="118" t="s">
        <v>446</v>
      </c>
      <c r="AI87" s="118"/>
    </row>
    <row r="88" ht="18.95" customHeight="1" spans="1:35">
      <c r="B88" s="119" t="s">
        <v>192</v>
      </c>
      <c r="C88" s="119"/>
      <c r="D88" s="118" t="s">
        <v>199</v>
      </c>
      <c r="E88" s="118"/>
      <c r="F88" s="123"/>
      <c r="G88" s="119" t="s">
        <v>192</v>
      </c>
      <c r="H88" s="119"/>
      <c r="I88" s="118" t="s">
        <v>203</v>
      </c>
      <c r="J88" s="118"/>
      <c r="K88" s="123"/>
      <c r="L88" s="119" t="s">
        <v>192</v>
      </c>
      <c r="M88" s="119"/>
      <c r="N88" s="118" t="s">
        <v>335</v>
      </c>
      <c r="O88" s="118"/>
      <c r="P88" s="123">
        <f>AVERAGE(P72,P93:P98)</f>
        <v>43.4233545665146</v>
      </c>
      <c r="Q88" s="119" t="s">
        <v>192</v>
      </c>
      <c r="R88" s="119"/>
      <c r="S88" s="118" t="s">
        <v>438</v>
      </c>
      <c r="T88" s="118"/>
      <c r="U88" s="123"/>
      <c r="V88" s="119" t="s">
        <v>192</v>
      </c>
      <c r="W88" s="119"/>
      <c r="X88" s="118" t="s">
        <v>439</v>
      </c>
      <c r="Y88" s="118"/>
      <c r="Z88" s="123"/>
      <c r="AA88" s="119" t="s">
        <v>192</v>
      </c>
      <c r="AB88" s="119"/>
      <c r="AC88" s="118" t="s">
        <v>440</v>
      </c>
      <c r="AD88" s="118"/>
      <c r="AE88" s="123"/>
      <c r="AF88" s="119" t="s">
        <v>192</v>
      </c>
      <c r="AG88" s="119"/>
      <c r="AH88" s="118" t="s">
        <v>338</v>
      </c>
      <c r="AI88" s="118"/>
    </row>
    <row r="89" ht="18.95" customHeight="1" spans="1:35">
      <c r="B89" s="120" t="s">
        <v>441</v>
      </c>
      <c r="C89" s="120"/>
      <c r="D89" s="118">
        <v>20</v>
      </c>
      <c r="E89" s="118"/>
      <c r="F89" s="123"/>
      <c r="G89" s="120" t="s">
        <v>441</v>
      </c>
      <c r="H89" s="120"/>
      <c r="I89" s="118">
        <v>22</v>
      </c>
      <c r="J89" s="118"/>
      <c r="K89" s="123"/>
      <c r="L89" s="120" t="s">
        <v>441</v>
      </c>
      <c r="M89" s="120"/>
      <c r="N89" s="118">
        <v>24</v>
      </c>
      <c r="O89" s="118"/>
      <c r="P89" s="123"/>
      <c r="Q89" s="120" t="s">
        <v>441</v>
      </c>
      <c r="R89" s="120"/>
      <c r="S89" s="118">
        <v>26</v>
      </c>
      <c r="T89" s="118"/>
      <c r="U89" s="123"/>
      <c r="V89" s="120" t="s">
        <v>441</v>
      </c>
      <c r="W89" s="120"/>
      <c r="X89" s="118">
        <v>28</v>
      </c>
      <c r="Y89" s="118"/>
      <c r="Z89" s="123"/>
      <c r="AA89" s="120" t="s">
        <v>441</v>
      </c>
      <c r="AB89" s="120"/>
      <c r="AC89" s="118">
        <v>30</v>
      </c>
      <c r="AD89" s="118"/>
      <c r="AE89" s="123"/>
      <c r="AF89" s="120" t="s">
        <v>441</v>
      </c>
      <c r="AG89" s="120"/>
      <c r="AH89" s="118">
        <v>32</v>
      </c>
      <c r="AI89" s="118"/>
    </row>
    <row r="90" spans="1:35">
      <c r="B90" s="121" t="s">
        <v>101</v>
      </c>
      <c r="C90" s="121" t="s">
        <v>8</v>
      </c>
      <c r="D90" s="121" t="s">
        <v>9</v>
      </c>
      <c r="E90" s="121" t="s">
        <v>103</v>
      </c>
      <c r="F90" s="123"/>
      <c r="G90" s="121" t="s">
        <v>101</v>
      </c>
      <c r="H90" s="121" t="s">
        <v>8</v>
      </c>
      <c r="I90" s="121" t="s">
        <v>9</v>
      </c>
      <c r="J90" s="121" t="s">
        <v>103</v>
      </c>
      <c r="K90" s="123"/>
      <c r="L90" s="121" t="s">
        <v>101</v>
      </c>
      <c r="M90" s="121" t="s">
        <v>8</v>
      </c>
      <c r="N90" s="121" t="s">
        <v>9</v>
      </c>
      <c r="O90" s="121" t="s">
        <v>103</v>
      </c>
      <c r="P90" s="123"/>
      <c r="Q90" s="121" t="s">
        <v>101</v>
      </c>
      <c r="R90" s="121" t="s">
        <v>8</v>
      </c>
      <c r="S90" s="121" t="s">
        <v>9</v>
      </c>
      <c r="T90" s="121" t="s">
        <v>103</v>
      </c>
      <c r="U90" s="123"/>
      <c r="V90" s="121" t="s">
        <v>101</v>
      </c>
      <c r="W90" s="121" t="s">
        <v>8</v>
      </c>
      <c r="X90" s="121" t="s">
        <v>9</v>
      </c>
      <c r="Y90" s="121" t="s">
        <v>103</v>
      </c>
      <c r="Z90" s="123"/>
      <c r="AA90" s="121" t="s">
        <v>101</v>
      </c>
      <c r="AB90" s="121" t="s">
        <v>8</v>
      </c>
      <c r="AC90" s="121" t="s">
        <v>9</v>
      </c>
      <c r="AD90" s="121" t="s">
        <v>103</v>
      </c>
      <c r="AE90" s="123"/>
      <c r="AF90" s="121" t="s">
        <v>101</v>
      </c>
      <c r="AG90" s="121" t="s">
        <v>8</v>
      </c>
      <c r="AH90" s="121" t="s">
        <v>9</v>
      </c>
      <c r="AI90" s="121" t="s">
        <v>103</v>
      </c>
    </row>
    <row r="91" spans="1:35">
      <c r="A91" s="1">
        <v>0</v>
      </c>
      <c r="B91" s="121">
        <v>0</v>
      </c>
      <c r="C91" s="121">
        <v>0</v>
      </c>
      <c r="D91" s="121">
        <v>0</v>
      </c>
      <c r="E91" s="121">
        <v>0</v>
      </c>
      <c r="F91" s="123"/>
      <c r="G91" s="121">
        <v>0</v>
      </c>
      <c r="H91" s="121">
        <v>0</v>
      </c>
      <c r="I91" s="121">
        <v>0</v>
      </c>
      <c r="J91" s="121">
        <v>0</v>
      </c>
      <c r="K91" s="123"/>
      <c r="L91" s="121">
        <v>0</v>
      </c>
      <c r="M91" s="121">
        <v>0</v>
      </c>
      <c r="N91" s="121">
        <v>0</v>
      </c>
      <c r="O91" s="121">
        <v>0</v>
      </c>
      <c r="P91" s="123" t="e">
        <f t="shared" ref="P91:P98" si="74">(M91*7200+N91*3200+O91*300+$N$89*L91)/L91</f>
        <v>#DIV/0!</v>
      </c>
      <c r="Q91" s="121">
        <v>0</v>
      </c>
      <c r="R91" s="121">
        <v>0</v>
      </c>
      <c r="S91" s="121">
        <v>0</v>
      </c>
      <c r="T91" s="121">
        <v>0</v>
      </c>
      <c r="U91" s="123"/>
      <c r="V91" s="121">
        <v>0</v>
      </c>
      <c r="W91" s="121">
        <v>0</v>
      </c>
      <c r="X91" s="121">
        <v>0</v>
      </c>
      <c r="Y91" s="121">
        <v>0</v>
      </c>
      <c r="Z91" s="123"/>
      <c r="AA91" s="121">
        <v>0</v>
      </c>
      <c r="AB91" s="121">
        <v>0</v>
      </c>
      <c r="AC91" s="121">
        <v>0</v>
      </c>
      <c r="AD91" s="121">
        <v>0</v>
      </c>
      <c r="AE91" s="123"/>
      <c r="AF91" s="121">
        <v>0</v>
      </c>
      <c r="AG91" s="121">
        <v>0</v>
      </c>
      <c r="AH91" s="121">
        <v>0</v>
      </c>
      <c r="AI91" s="121">
        <v>0</v>
      </c>
    </row>
    <row r="92" spans="1:35">
      <c r="A92" s="1" t="s">
        <v>106</v>
      </c>
      <c r="B92" s="121">
        <v>1</v>
      </c>
      <c r="C92" s="121">
        <v>0</v>
      </c>
      <c r="D92" s="121">
        <f t="shared" ref="D92:D98" si="75">D79+0.4</f>
        <v>0.8</v>
      </c>
      <c r="E92" s="121">
        <v>0</v>
      </c>
      <c r="F92" s="123"/>
      <c r="G92" s="121">
        <v>1</v>
      </c>
      <c r="H92" s="121">
        <v>0</v>
      </c>
      <c r="I92" s="121">
        <f t="shared" ref="I92:I98" si="76">D92+0.2</f>
        <v>1</v>
      </c>
      <c r="J92" s="121">
        <v>0</v>
      </c>
      <c r="K92" s="123"/>
      <c r="L92" s="121">
        <v>1</v>
      </c>
      <c r="M92" s="121">
        <v>0</v>
      </c>
      <c r="N92" s="121">
        <f t="shared" ref="N92:N98" si="77">I92+0.3</f>
        <v>1.3</v>
      </c>
      <c r="O92" s="121">
        <v>0</v>
      </c>
      <c r="P92" s="123">
        <f t="shared" si="74"/>
        <v>4184</v>
      </c>
      <c r="Q92" s="121">
        <v>1</v>
      </c>
      <c r="R92" s="121">
        <v>0</v>
      </c>
      <c r="S92" s="121">
        <f t="shared" ref="S92:S98" si="78">N92+0.3</f>
        <v>1.6</v>
      </c>
      <c r="T92" s="121">
        <v>0</v>
      </c>
      <c r="U92" s="123"/>
      <c r="V92" s="121">
        <v>1</v>
      </c>
      <c r="W92" s="121">
        <v>0</v>
      </c>
      <c r="X92" s="121">
        <f t="shared" ref="X92:X98" si="79">S92+0.4</f>
        <v>2</v>
      </c>
      <c r="Y92" s="121">
        <v>0</v>
      </c>
      <c r="Z92" s="123"/>
      <c r="AA92" s="121">
        <v>1</v>
      </c>
      <c r="AB92" s="121">
        <v>0</v>
      </c>
      <c r="AC92" s="121">
        <f t="shared" ref="AC92:AC98" si="80">X92+0.4</f>
        <v>2.4</v>
      </c>
      <c r="AD92" s="121">
        <v>0</v>
      </c>
      <c r="AE92" s="123"/>
      <c r="AF92" s="121">
        <v>1</v>
      </c>
      <c r="AG92" s="121">
        <v>0</v>
      </c>
      <c r="AH92" s="121">
        <f t="shared" ref="AH92:AH98" si="81">AC92+0.4</f>
        <v>2.8</v>
      </c>
      <c r="AI92" s="121">
        <v>0</v>
      </c>
    </row>
    <row r="93" spans="1:35">
      <c r="A93" s="1" t="s">
        <v>107</v>
      </c>
      <c r="B93" s="121">
        <v>101</v>
      </c>
      <c r="C93" s="121">
        <v>0</v>
      </c>
      <c r="D93" s="121">
        <f t="shared" si="75"/>
        <v>0.9</v>
      </c>
      <c r="E93" s="121">
        <v>0</v>
      </c>
      <c r="F93" s="123"/>
      <c r="G93" s="121">
        <v>101</v>
      </c>
      <c r="H93" s="121">
        <v>0</v>
      </c>
      <c r="I93" s="121">
        <f t="shared" si="76"/>
        <v>1.1</v>
      </c>
      <c r="J93" s="121">
        <v>0</v>
      </c>
      <c r="K93" s="123"/>
      <c r="L93" s="121">
        <v>101</v>
      </c>
      <c r="M93" s="121">
        <v>0</v>
      </c>
      <c r="N93" s="121">
        <f t="shared" si="77"/>
        <v>1.4</v>
      </c>
      <c r="O93" s="121">
        <v>0</v>
      </c>
      <c r="P93" s="123">
        <f t="shared" si="74"/>
        <v>68.3564356435644</v>
      </c>
      <c r="Q93" s="121">
        <v>101</v>
      </c>
      <c r="R93" s="121">
        <v>0</v>
      </c>
      <c r="S93" s="121">
        <f t="shared" si="78"/>
        <v>1.7</v>
      </c>
      <c r="T93" s="121">
        <v>0</v>
      </c>
      <c r="U93" s="123"/>
      <c r="V93" s="121">
        <v>101</v>
      </c>
      <c r="W93" s="121">
        <v>0</v>
      </c>
      <c r="X93" s="121">
        <f t="shared" si="79"/>
        <v>2.1</v>
      </c>
      <c r="Y93" s="121">
        <v>0</v>
      </c>
      <c r="Z93" s="123"/>
      <c r="AA93" s="121">
        <v>101</v>
      </c>
      <c r="AB93" s="121">
        <v>0</v>
      </c>
      <c r="AC93" s="121">
        <f t="shared" si="80"/>
        <v>2.5</v>
      </c>
      <c r="AD93" s="121">
        <v>0</v>
      </c>
      <c r="AE93" s="123"/>
      <c r="AF93" s="121">
        <v>101</v>
      </c>
      <c r="AG93" s="121">
        <v>0</v>
      </c>
      <c r="AH93" s="121">
        <f t="shared" si="81"/>
        <v>2.9</v>
      </c>
      <c r="AI93" s="121">
        <v>0</v>
      </c>
    </row>
    <row r="94" spans="1:35">
      <c r="A94" s="1" t="s">
        <v>108</v>
      </c>
      <c r="B94" s="121">
        <v>201</v>
      </c>
      <c r="C94" s="121">
        <f t="shared" ref="C94:C98" si="82">C81+0.1</f>
        <v>0.3</v>
      </c>
      <c r="D94" s="121">
        <f t="shared" si="75"/>
        <v>1</v>
      </c>
      <c r="E94" s="121">
        <v>0</v>
      </c>
      <c r="F94" s="123"/>
      <c r="G94" s="121">
        <v>201</v>
      </c>
      <c r="H94" s="121">
        <f t="shared" ref="H94:H98" si="83">H81+0.1</f>
        <v>0.3</v>
      </c>
      <c r="I94" s="121">
        <f t="shared" si="76"/>
        <v>1.2</v>
      </c>
      <c r="J94" s="121">
        <v>0</v>
      </c>
      <c r="K94" s="123"/>
      <c r="L94" s="121">
        <v>201</v>
      </c>
      <c r="M94" s="121">
        <f t="shared" ref="M94:M98" si="84">M81+0.1</f>
        <v>0.3</v>
      </c>
      <c r="N94" s="121">
        <f t="shared" si="77"/>
        <v>1.5</v>
      </c>
      <c r="O94" s="121">
        <v>0</v>
      </c>
      <c r="P94" s="123">
        <f t="shared" si="74"/>
        <v>58.6268656716418</v>
      </c>
      <c r="Q94" s="121">
        <v>201</v>
      </c>
      <c r="R94" s="121">
        <f t="shared" ref="R94:R98" si="85">R81+0.1</f>
        <v>0.3</v>
      </c>
      <c r="S94" s="121">
        <f t="shared" si="78"/>
        <v>1.8</v>
      </c>
      <c r="T94" s="121">
        <v>0</v>
      </c>
      <c r="U94" s="123"/>
      <c r="V94" s="121">
        <v>201</v>
      </c>
      <c r="W94" s="121">
        <f t="shared" ref="W94:W98" si="86">W81+0.1</f>
        <v>0.3</v>
      </c>
      <c r="X94" s="121">
        <f t="shared" si="79"/>
        <v>2.2</v>
      </c>
      <c r="Y94" s="121">
        <v>0</v>
      </c>
      <c r="Z94" s="123"/>
      <c r="AA94" s="121">
        <v>201</v>
      </c>
      <c r="AB94" s="121">
        <f t="shared" ref="AB94:AB98" si="87">AB81+0.1</f>
        <v>0.3</v>
      </c>
      <c r="AC94" s="121">
        <f t="shared" si="80"/>
        <v>2.6</v>
      </c>
      <c r="AD94" s="121">
        <v>0</v>
      </c>
      <c r="AE94" s="123"/>
      <c r="AF94" s="121">
        <v>201</v>
      </c>
      <c r="AG94" s="121">
        <f t="shared" ref="AG94:AG98" si="88">AG81+0.1</f>
        <v>0.3</v>
      </c>
      <c r="AH94" s="121">
        <f t="shared" si="81"/>
        <v>3</v>
      </c>
      <c r="AI94" s="121">
        <v>0</v>
      </c>
    </row>
    <row r="95" spans="1:35">
      <c r="A95" s="1" t="s">
        <v>109</v>
      </c>
      <c r="B95" s="121">
        <v>301</v>
      </c>
      <c r="C95" s="121">
        <f t="shared" si="82"/>
        <v>0.3</v>
      </c>
      <c r="D95" s="121">
        <f t="shared" si="75"/>
        <v>1.1</v>
      </c>
      <c r="E95" s="121">
        <v>0</v>
      </c>
      <c r="F95" s="123"/>
      <c r="G95" s="121">
        <v>301</v>
      </c>
      <c r="H95" s="121">
        <f t="shared" si="83"/>
        <v>0.3</v>
      </c>
      <c r="I95" s="121">
        <f t="shared" si="76"/>
        <v>1.3</v>
      </c>
      <c r="J95" s="121">
        <v>0</v>
      </c>
      <c r="K95" s="123"/>
      <c r="L95" s="121">
        <v>301</v>
      </c>
      <c r="M95" s="121">
        <f t="shared" si="84"/>
        <v>0.3</v>
      </c>
      <c r="N95" s="121">
        <f t="shared" si="77"/>
        <v>1.6</v>
      </c>
      <c r="O95" s="121">
        <v>0</v>
      </c>
      <c r="P95" s="123">
        <f t="shared" si="74"/>
        <v>48.1860465116279</v>
      </c>
      <c r="Q95" s="121">
        <v>301</v>
      </c>
      <c r="R95" s="121">
        <f t="shared" si="85"/>
        <v>0.3</v>
      </c>
      <c r="S95" s="121">
        <f t="shared" si="78"/>
        <v>1.9</v>
      </c>
      <c r="T95" s="121">
        <v>0</v>
      </c>
      <c r="U95" s="123"/>
      <c r="V95" s="121">
        <v>301</v>
      </c>
      <c r="W95" s="121">
        <f t="shared" si="86"/>
        <v>0.3</v>
      </c>
      <c r="X95" s="121">
        <f t="shared" si="79"/>
        <v>2.3</v>
      </c>
      <c r="Y95" s="121">
        <v>0</v>
      </c>
      <c r="Z95" s="123"/>
      <c r="AA95" s="121">
        <v>301</v>
      </c>
      <c r="AB95" s="121">
        <f t="shared" si="87"/>
        <v>0.3</v>
      </c>
      <c r="AC95" s="121">
        <f t="shared" si="80"/>
        <v>2.7</v>
      </c>
      <c r="AD95" s="121">
        <v>0</v>
      </c>
      <c r="AE95" s="123"/>
      <c r="AF95" s="121">
        <v>301</v>
      </c>
      <c r="AG95" s="121">
        <f t="shared" si="88"/>
        <v>0.3</v>
      </c>
      <c r="AH95" s="121">
        <f t="shared" si="81"/>
        <v>3.1</v>
      </c>
      <c r="AI95" s="121">
        <v>0</v>
      </c>
    </row>
    <row r="96" spans="1:35">
      <c r="A96" s="1" t="s">
        <v>110</v>
      </c>
      <c r="B96" s="121">
        <v>501</v>
      </c>
      <c r="C96" s="121">
        <f t="shared" si="82"/>
        <v>0.4</v>
      </c>
      <c r="D96" s="121">
        <f t="shared" si="75"/>
        <v>1.3</v>
      </c>
      <c r="E96" s="121">
        <v>0</v>
      </c>
      <c r="F96" s="123"/>
      <c r="G96" s="121">
        <v>501</v>
      </c>
      <c r="H96" s="121">
        <f t="shared" si="83"/>
        <v>0.4</v>
      </c>
      <c r="I96" s="121">
        <f t="shared" si="76"/>
        <v>1.5</v>
      </c>
      <c r="J96" s="121">
        <v>0</v>
      </c>
      <c r="K96" s="123"/>
      <c r="L96" s="121">
        <v>501</v>
      </c>
      <c r="M96" s="121">
        <f t="shared" si="84"/>
        <v>0.4</v>
      </c>
      <c r="N96" s="121">
        <f t="shared" si="77"/>
        <v>1.8</v>
      </c>
      <c r="O96" s="121">
        <v>0</v>
      </c>
      <c r="P96" s="123">
        <f t="shared" si="74"/>
        <v>41.2455089820359</v>
      </c>
      <c r="Q96" s="121">
        <v>501</v>
      </c>
      <c r="R96" s="121">
        <f t="shared" si="85"/>
        <v>0.4</v>
      </c>
      <c r="S96" s="121">
        <f t="shared" si="78"/>
        <v>2.1</v>
      </c>
      <c r="T96" s="121">
        <v>0</v>
      </c>
      <c r="U96" s="123"/>
      <c r="V96" s="121">
        <v>501</v>
      </c>
      <c r="W96" s="121">
        <f t="shared" si="86"/>
        <v>0.4</v>
      </c>
      <c r="X96" s="121">
        <f t="shared" si="79"/>
        <v>2.5</v>
      </c>
      <c r="Y96" s="121">
        <v>0</v>
      </c>
      <c r="Z96" s="123"/>
      <c r="AA96" s="121">
        <v>501</v>
      </c>
      <c r="AB96" s="121">
        <f t="shared" si="87"/>
        <v>0.4</v>
      </c>
      <c r="AC96" s="121">
        <f t="shared" si="80"/>
        <v>2.9</v>
      </c>
      <c r="AD96" s="121">
        <v>0</v>
      </c>
      <c r="AE96" s="123"/>
      <c r="AF96" s="121">
        <v>501</v>
      </c>
      <c r="AG96" s="121">
        <f t="shared" si="88"/>
        <v>0.4</v>
      </c>
      <c r="AH96" s="121">
        <f t="shared" si="81"/>
        <v>3.3</v>
      </c>
      <c r="AI96" s="121">
        <v>0</v>
      </c>
    </row>
    <row r="97" spans="1:35">
      <c r="A97" s="1" t="s">
        <v>111</v>
      </c>
      <c r="B97" s="121">
        <v>701</v>
      </c>
      <c r="C97" s="121">
        <f t="shared" si="82"/>
        <v>0.4</v>
      </c>
      <c r="D97" s="121">
        <f t="shared" si="75"/>
        <v>1.5</v>
      </c>
      <c r="E97" s="121">
        <v>0</v>
      </c>
      <c r="F97" s="123"/>
      <c r="G97" s="121">
        <v>701</v>
      </c>
      <c r="H97" s="121">
        <f t="shared" si="83"/>
        <v>0.4</v>
      </c>
      <c r="I97" s="121">
        <f t="shared" si="76"/>
        <v>1.7</v>
      </c>
      <c r="J97" s="121">
        <v>0</v>
      </c>
      <c r="K97" s="123"/>
      <c r="L97" s="121">
        <v>701</v>
      </c>
      <c r="M97" s="121">
        <f t="shared" si="84"/>
        <v>0.4</v>
      </c>
      <c r="N97" s="121">
        <f t="shared" si="77"/>
        <v>2</v>
      </c>
      <c r="O97" s="121">
        <v>0</v>
      </c>
      <c r="P97" s="123">
        <f t="shared" si="74"/>
        <v>37.2382310984308</v>
      </c>
      <c r="Q97" s="121">
        <v>701</v>
      </c>
      <c r="R97" s="121">
        <f t="shared" si="85"/>
        <v>0.4</v>
      </c>
      <c r="S97" s="121">
        <f t="shared" si="78"/>
        <v>2.3</v>
      </c>
      <c r="T97" s="121">
        <v>0</v>
      </c>
      <c r="U97" s="123"/>
      <c r="V97" s="121">
        <v>701</v>
      </c>
      <c r="W97" s="121">
        <f t="shared" si="86"/>
        <v>0.4</v>
      </c>
      <c r="X97" s="121">
        <f t="shared" si="79"/>
        <v>2.7</v>
      </c>
      <c r="Y97" s="121">
        <v>0</v>
      </c>
      <c r="Z97" s="123"/>
      <c r="AA97" s="121">
        <v>701</v>
      </c>
      <c r="AB97" s="121">
        <f t="shared" si="87"/>
        <v>0.4</v>
      </c>
      <c r="AC97" s="121">
        <f t="shared" si="80"/>
        <v>3.1</v>
      </c>
      <c r="AD97" s="121">
        <v>0</v>
      </c>
      <c r="AE97" s="123"/>
      <c r="AF97" s="121">
        <v>701</v>
      </c>
      <c r="AG97" s="121">
        <f t="shared" si="88"/>
        <v>0.4</v>
      </c>
      <c r="AH97" s="121">
        <f t="shared" si="81"/>
        <v>3.5</v>
      </c>
      <c r="AI97" s="121">
        <v>0</v>
      </c>
    </row>
    <row r="98" spans="1:35">
      <c r="A98" s="1" t="s">
        <v>112</v>
      </c>
      <c r="B98" s="121">
        <v>901</v>
      </c>
      <c r="C98" s="121">
        <f t="shared" si="82"/>
        <v>0.5</v>
      </c>
      <c r="D98" s="121">
        <f t="shared" si="75"/>
        <v>1.7</v>
      </c>
      <c r="E98" s="121">
        <v>0</v>
      </c>
      <c r="F98" s="123"/>
      <c r="G98" s="121">
        <v>901</v>
      </c>
      <c r="H98" s="121">
        <f t="shared" si="83"/>
        <v>0.5</v>
      </c>
      <c r="I98" s="121">
        <f t="shared" si="76"/>
        <v>1.9</v>
      </c>
      <c r="J98" s="121">
        <v>0</v>
      </c>
      <c r="K98" s="123"/>
      <c r="L98" s="121">
        <v>901</v>
      </c>
      <c r="M98" s="121">
        <f t="shared" si="84"/>
        <v>0.5</v>
      </c>
      <c r="N98" s="121">
        <f t="shared" si="77"/>
        <v>2.2</v>
      </c>
      <c r="O98" s="121">
        <v>0</v>
      </c>
      <c r="P98" s="123">
        <f t="shared" si="74"/>
        <v>35.8091009988901</v>
      </c>
      <c r="Q98" s="121">
        <v>901</v>
      </c>
      <c r="R98" s="121">
        <f t="shared" si="85"/>
        <v>0.5</v>
      </c>
      <c r="S98" s="121">
        <f t="shared" si="78"/>
        <v>2.5</v>
      </c>
      <c r="T98" s="121">
        <v>0</v>
      </c>
      <c r="U98" s="123"/>
      <c r="V98" s="121">
        <v>901</v>
      </c>
      <c r="W98" s="121">
        <f t="shared" si="86"/>
        <v>0.5</v>
      </c>
      <c r="X98" s="121">
        <f t="shared" si="79"/>
        <v>2.9</v>
      </c>
      <c r="Y98" s="121">
        <v>0</v>
      </c>
      <c r="Z98" s="123"/>
      <c r="AA98" s="121">
        <v>901</v>
      </c>
      <c r="AB98" s="121">
        <f t="shared" si="87"/>
        <v>0.5</v>
      </c>
      <c r="AC98" s="121">
        <f t="shared" si="80"/>
        <v>3.3</v>
      </c>
      <c r="AD98" s="121">
        <v>0</v>
      </c>
      <c r="AE98" s="123"/>
      <c r="AF98" s="121">
        <v>901</v>
      </c>
      <c r="AG98" s="121">
        <f t="shared" si="88"/>
        <v>0.5</v>
      </c>
      <c r="AH98" s="121">
        <f t="shared" si="81"/>
        <v>3.7</v>
      </c>
      <c r="AI98" s="121">
        <v>0</v>
      </c>
    </row>
    <row r="101" spans="1:35">
      <c r="P101">
        <f>AVERAGE(P88,P58,P22)</f>
        <v>94.0723785218868</v>
      </c>
    </row>
  </sheetData>
  <mergeCells count="252">
    <mergeCell ref="B2:C2"/>
    <mergeCell ref="D2:E2"/>
    <mergeCell ref="G2:H2"/>
    <mergeCell ref="I2:J2"/>
    <mergeCell ref="L2:M2"/>
    <mergeCell ref="N2:O2"/>
    <mergeCell ref="Q2:R2"/>
    <mergeCell ref="S2:T2"/>
    <mergeCell ref="V2:W2"/>
    <mergeCell ref="X2:Y2"/>
    <mergeCell ref="AA2:AB2"/>
    <mergeCell ref="AC2:AD2"/>
    <mergeCell ref="AF2:AG2"/>
    <mergeCell ref="AH2:AI2"/>
    <mergeCell ref="B3:C3"/>
    <mergeCell ref="D3:E3"/>
    <mergeCell ref="G3:H3"/>
    <mergeCell ref="I3:J3"/>
    <mergeCell ref="L3:M3"/>
    <mergeCell ref="N3:O3"/>
    <mergeCell ref="Q3:R3"/>
    <mergeCell ref="S3:T3"/>
    <mergeCell ref="V3:W3"/>
    <mergeCell ref="X3:Y3"/>
    <mergeCell ref="AA3:AB3"/>
    <mergeCell ref="AC3:AD3"/>
    <mergeCell ref="AF3:AG3"/>
    <mergeCell ref="AH3:AI3"/>
    <mergeCell ref="B4:C4"/>
    <mergeCell ref="D4:E4"/>
    <mergeCell ref="G4:H4"/>
    <mergeCell ref="I4:J4"/>
    <mergeCell ref="L4:M4"/>
    <mergeCell ref="N4:O4"/>
    <mergeCell ref="Q4:R4"/>
    <mergeCell ref="S4:T4"/>
    <mergeCell ref="V4:W4"/>
    <mergeCell ref="X4:Y4"/>
    <mergeCell ref="AA4:AB4"/>
    <mergeCell ref="AC4:AD4"/>
    <mergeCell ref="AF4:AG4"/>
    <mergeCell ref="AH4:AI4"/>
    <mergeCell ref="B20:C20"/>
    <mergeCell ref="D20:E20"/>
    <mergeCell ref="G20:H20"/>
    <mergeCell ref="I20:J20"/>
    <mergeCell ref="L20:M20"/>
    <mergeCell ref="N20:O20"/>
    <mergeCell ref="Q20:R20"/>
    <mergeCell ref="S20:T20"/>
    <mergeCell ref="V20:W20"/>
    <mergeCell ref="X20:Y20"/>
    <mergeCell ref="AA20:AB20"/>
    <mergeCell ref="AC20:AD20"/>
    <mergeCell ref="AF20:AG20"/>
    <mergeCell ref="AH20:AI20"/>
    <mergeCell ref="B21:C21"/>
    <mergeCell ref="D21:E21"/>
    <mergeCell ref="G21:H21"/>
    <mergeCell ref="I21:J21"/>
    <mergeCell ref="L21:M21"/>
    <mergeCell ref="N21:O21"/>
    <mergeCell ref="Q21:R21"/>
    <mergeCell ref="S21:T21"/>
    <mergeCell ref="V21:W21"/>
    <mergeCell ref="X21:Y21"/>
    <mergeCell ref="AA21:AB21"/>
    <mergeCell ref="AC21:AD21"/>
    <mergeCell ref="AF21:AG21"/>
    <mergeCell ref="AH21:AI21"/>
    <mergeCell ref="B22:C22"/>
    <mergeCell ref="D22:E22"/>
    <mergeCell ref="G22:H22"/>
    <mergeCell ref="I22:J22"/>
    <mergeCell ref="L22:M22"/>
    <mergeCell ref="N22:O22"/>
    <mergeCell ref="Q22:R22"/>
    <mergeCell ref="S22:T22"/>
    <mergeCell ref="V22:W22"/>
    <mergeCell ref="X22:Y22"/>
    <mergeCell ref="AA22:AB22"/>
    <mergeCell ref="AC22:AD22"/>
    <mergeCell ref="AF22:AG22"/>
    <mergeCell ref="AH22:AI22"/>
    <mergeCell ref="B38:C38"/>
    <mergeCell ref="D38:E38"/>
    <mergeCell ref="G38:H38"/>
    <mergeCell ref="I38:J38"/>
    <mergeCell ref="L38:M38"/>
    <mergeCell ref="N38:O38"/>
    <mergeCell ref="Q38:R38"/>
    <mergeCell ref="S38:T38"/>
    <mergeCell ref="V38:W38"/>
    <mergeCell ref="X38:Y38"/>
    <mergeCell ref="AA38:AB38"/>
    <mergeCell ref="AC38:AD38"/>
    <mergeCell ref="AF38:AG38"/>
    <mergeCell ref="AH38:AI38"/>
    <mergeCell ref="B39:C39"/>
    <mergeCell ref="D39:E39"/>
    <mergeCell ref="G39:H39"/>
    <mergeCell ref="I39:J39"/>
    <mergeCell ref="L39:M39"/>
    <mergeCell ref="N39:O39"/>
    <mergeCell ref="Q39:R39"/>
    <mergeCell ref="S39:T39"/>
    <mergeCell ref="V39:W39"/>
    <mergeCell ref="X39:Y39"/>
    <mergeCell ref="AA39:AB39"/>
    <mergeCell ref="AC39:AD39"/>
    <mergeCell ref="AF39:AG39"/>
    <mergeCell ref="AH39:AI39"/>
    <mergeCell ref="B40:C40"/>
    <mergeCell ref="D40:E40"/>
    <mergeCell ref="G40:H40"/>
    <mergeCell ref="I40:J40"/>
    <mergeCell ref="L40:M40"/>
    <mergeCell ref="N40:O40"/>
    <mergeCell ref="Q40:R40"/>
    <mergeCell ref="S40:T40"/>
    <mergeCell ref="V40:W40"/>
    <mergeCell ref="X40:Y40"/>
    <mergeCell ref="AA40:AB40"/>
    <mergeCell ref="AC40:AD40"/>
    <mergeCell ref="AF40:AG40"/>
    <mergeCell ref="AH40:AI40"/>
    <mergeCell ref="B56:C56"/>
    <mergeCell ref="D56:E56"/>
    <mergeCell ref="G56:H56"/>
    <mergeCell ref="I56:J56"/>
    <mergeCell ref="L56:M56"/>
    <mergeCell ref="N56:O56"/>
    <mergeCell ref="Q56:R56"/>
    <mergeCell ref="S56:T56"/>
    <mergeCell ref="V56:W56"/>
    <mergeCell ref="X56:Y56"/>
    <mergeCell ref="AA56:AB56"/>
    <mergeCell ref="AC56:AD56"/>
    <mergeCell ref="AF56:AG56"/>
    <mergeCell ref="AH56:AI56"/>
    <mergeCell ref="B57:C57"/>
    <mergeCell ref="D57:E57"/>
    <mergeCell ref="G57:H57"/>
    <mergeCell ref="I57:J57"/>
    <mergeCell ref="L57:M57"/>
    <mergeCell ref="N57:O57"/>
    <mergeCell ref="Q57:R57"/>
    <mergeCell ref="S57:T57"/>
    <mergeCell ref="V57:W57"/>
    <mergeCell ref="X57:Y57"/>
    <mergeCell ref="AA57:AB57"/>
    <mergeCell ref="AC57:AD57"/>
    <mergeCell ref="AF57:AG57"/>
    <mergeCell ref="AH57:AI57"/>
    <mergeCell ref="B58:C58"/>
    <mergeCell ref="D58:E58"/>
    <mergeCell ref="G58:H58"/>
    <mergeCell ref="I58:J58"/>
    <mergeCell ref="L58:M58"/>
    <mergeCell ref="N58:O58"/>
    <mergeCell ref="Q58:R58"/>
    <mergeCell ref="S58:T58"/>
    <mergeCell ref="V58:W58"/>
    <mergeCell ref="X58:Y58"/>
    <mergeCell ref="AA58:AB58"/>
    <mergeCell ref="AC58:AD58"/>
    <mergeCell ref="AF58:AG58"/>
    <mergeCell ref="AH58:AI58"/>
    <mergeCell ref="B74:C74"/>
    <mergeCell ref="D74:E74"/>
    <mergeCell ref="G74:H74"/>
    <mergeCell ref="I74:J74"/>
    <mergeCell ref="L74:M74"/>
    <mergeCell ref="N74:O74"/>
    <mergeCell ref="Q74:R74"/>
    <mergeCell ref="S74:T74"/>
    <mergeCell ref="V74:W74"/>
    <mergeCell ref="X74:Y74"/>
    <mergeCell ref="AA74:AB74"/>
    <mergeCell ref="AC74:AD74"/>
    <mergeCell ref="AF74:AG74"/>
    <mergeCell ref="AH74:AI74"/>
    <mergeCell ref="B75:C75"/>
    <mergeCell ref="D75:E75"/>
    <mergeCell ref="G75:H75"/>
    <mergeCell ref="I75:J75"/>
    <mergeCell ref="L75:M75"/>
    <mergeCell ref="N75:O75"/>
    <mergeCell ref="Q75:R75"/>
    <mergeCell ref="S75:T75"/>
    <mergeCell ref="V75:W75"/>
    <mergeCell ref="X75:Y75"/>
    <mergeCell ref="AA75:AB75"/>
    <mergeCell ref="AC75:AD75"/>
    <mergeCell ref="AF75:AG75"/>
    <mergeCell ref="AH75:AI75"/>
    <mergeCell ref="B76:C76"/>
    <mergeCell ref="D76:E76"/>
    <mergeCell ref="G76:H76"/>
    <mergeCell ref="I76:J76"/>
    <mergeCell ref="L76:M76"/>
    <mergeCell ref="N76:O76"/>
    <mergeCell ref="Q76:R76"/>
    <mergeCell ref="S76:T76"/>
    <mergeCell ref="V76:W76"/>
    <mergeCell ref="X76:Y76"/>
    <mergeCell ref="AA76:AB76"/>
    <mergeCell ref="AC76:AD76"/>
    <mergeCell ref="AF76:AG76"/>
    <mergeCell ref="AH76:AI76"/>
    <mergeCell ref="B87:C87"/>
    <mergeCell ref="D87:E87"/>
    <mergeCell ref="G87:H87"/>
    <mergeCell ref="I87:J87"/>
    <mergeCell ref="L87:M87"/>
    <mergeCell ref="N87:O87"/>
    <mergeCell ref="Q87:R87"/>
    <mergeCell ref="S87:T87"/>
    <mergeCell ref="V87:W87"/>
    <mergeCell ref="X87:Y87"/>
    <mergeCell ref="AA87:AB87"/>
    <mergeCell ref="AC87:AD87"/>
    <mergeCell ref="AF87:AG87"/>
    <mergeCell ref="AH87:AI87"/>
    <mergeCell ref="B88:C88"/>
    <mergeCell ref="D88:E88"/>
    <mergeCell ref="G88:H88"/>
    <mergeCell ref="I88:J88"/>
    <mergeCell ref="L88:M88"/>
    <mergeCell ref="N88:O88"/>
    <mergeCell ref="Q88:R88"/>
    <mergeCell ref="S88:T88"/>
    <mergeCell ref="V88:W88"/>
    <mergeCell ref="X88:Y88"/>
    <mergeCell ref="AA88:AB88"/>
    <mergeCell ref="AC88:AD88"/>
    <mergeCell ref="AF88:AG88"/>
    <mergeCell ref="AH88:AI88"/>
    <mergeCell ref="B89:C89"/>
    <mergeCell ref="D89:E89"/>
    <mergeCell ref="G89:H89"/>
    <mergeCell ref="I89:J89"/>
    <mergeCell ref="L89:M89"/>
    <mergeCell ref="N89:O89"/>
    <mergeCell ref="Q89:R89"/>
    <mergeCell ref="S89:T89"/>
    <mergeCell ref="V89:W89"/>
    <mergeCell ref="X89:Y89"/>
    <mergeCell ref="AA89:AB89"/>
    <mergeCell ref="AC89:AD89"/>
    <mergeCell ref="AF89:AG89"/>
    <mergeCell ref="AH89:AI89"/>
  </mergeCell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showGridLines="0" workbookViewId="0">
      <pane ySplit="3" topLeftCell="A4" activePane="bottomLeft" state="frozen"/>
      <selection/>
      <selection pane="bottomLeft" activeCell="G36" sqref="G36"/>
    </sheetView>
  </sheetViews>
  <sheetFormatPr defaultColWidth="9" defaultRowHeight="16.5"/>
  <cols>
    <col min="1" max="1" width="13.25" style="1" customWidth="1"/>
    <col min="2" max="2" width="19.375" style="1" customWidth="1"/>
    <col min="3" max="3" width="18.375" style="1" customWidth="1"/>
    <col min="4" max="4" width="14.375" style="1" customWidth="1"/>
    <col min="5" max="9" width="12.375" style="99" customWidth="1"/>
    <col min="10" max="12" width="9" style="1"/>
    <col min="13" max="13" width="12.625" style="1"/>
    <col min="14" max="16384" width="9" style="1"/>
  </cols>
  <sheetData>
    <row r="1" ht="51" customHeight="1" spans="1:9">
      <c r="A1" s="100"/>
      <c r="B1" s="101" t="s">
        <v>447</v>
      </c>
      <c r="C1" s="101"/>
      <c r="D1" s="101"/>
      <c r="E1" s="101"/>
      <c r="F1" s="101"/>
      <c r="G1" s="101"/>
      <c r="H1" s="101"/>
      <c r="I1" s="102"/>
    </row>
    <row r="2" ht="60" customHeight="1" spans="1:9">
      <c r="A2" s="39" t="s">
        <v>294</v>
      </c>
      <c r="B2" s="40"/>
      <c r="C2" s="40"/>
      <c r="D2" s="40"/>
      <c r="E2" s="40"/>
      <c r="F2" s="40"/>
      <c r="G2" s="40"/>
      <c r="H2" s="40"/>
      <c r="I2" s="40"/>
    </row>
    <row r="3" ht="48" customHeight="1" spans="1:9">
      <c r="A3" s="42" t="s">
        <v>148</v>
      </c>
      <c r="B3" s="42" t="s">
        <v>151</v>
      </c>
      <c r="C3" s="42" t="s">
        <v>192</v>
      </c>
      <c r="D3" s="41" t="s">
        <v>448</v>
      </c>
      <c r="E3" s="103" t="s">
        <v>8</v>
      </c>
      <c r="F3" s="103" t="s">
        <v>239</v>
      </c>
      <c r="G3" s="103" t="s">
        <v>103</v>
      </c>
      <c r="H3" s="104" t="s">
        <v>261</v>
      </c>
      <c r="I3" s="105" t="s">
        <v>296</v>
      </c>
    </row>
    <row r="4" ht="36" customHeight="1" spans="1:9">
      <c r="A4" s="54" t="s">
        <v>161</v>
      </c>
      <c r="B4" s="106" t="s">
        <v>437</v>
      </c>
      <c r="C4" s="107" t="s">
        <v>93</v>
      </c>
      <c r="D4" s="108">
        <f>'②【海外】研究资源成本估算 (v1.0)'!$G$14</f>
        <v>200</v>
      </c>
      <c r="E4" s="109">
        <f>VLOOKUP($D$4,'【海外】问卷调研-数据源'!$B$5:$E$18,2,TRUE)</f>
        <v>0</v>
      </c>
      <c r="F4" s="109">
        <f>VLOOKUP($D$4,'【海外】问卷调研-数据源'!$B$5:$E$18,3,TRUE)</f>
        <v>0.432</v>
      </c>
      <c r="G4" s="109">
        <f>VLOOKUP($D$4,'【海外】问卷调研-数据源'!$B$5:$E$18,4,TRUE)</f>
        <v>0</v>
      </c>
      <c r="H4" s="109">
        <f t="shared" ref="H4:H45" si="0">E4+F4+G4</f>
        <v>0.432</v>
      </c>
      <c r="I4" s="109">
        <f>D4*'【海外】问卷调研-数据源'!D4</f>
        <v>2800</v>
      </c>
    </row>
    <row r="5" ht="36" customHeight="1" spans="1:9">
      <c r="A5" s="54" t="s">
        <v>168</v>
      </c>
      <c r="B5" s="110"/>
      <c r="C5" s="107" t="s">
        <v>94</v>
      </c>
      <c r="D5" s="108">
        <f>'②【海外】研究资源成本估算 (v1.0)'!$G$14</f>
        <v>200</v>
      </c>
      <c r="E5" s="109">
        <f>VLOOKUP($D$5,'【海外】问卷调研-数据源'!$G$5:$J$18,2,TRUE)</f>
        <v>0</v>
      </c>
      <c r="F5" s="109">
        <f>VLOOKUP($D$5,'【海外】问卷调研-数据源'!$G$5:$J$18,3,TRUE)</f>
        <v>0.5184</v>
      </c>
      <c r="G5" s="109">
        <f>VLOOKUP($D$5,'【海外】问卷调研-数据源'!$G$5:$J$18,4,TRUE)</f>
        <v>0</v>
      </c>
      <c r="H5" s="109">
        <f t="shared" si="0"/>
        <v>0.5184</v>
      </c>
      <c r="I5" s="109">
        <f>D5*'【海外】问卷调研-数据源'!I4</f>
        <v>3200</v>
      </c>
    </row>
    <row r="6" ht="36" customHeight="1" spans="1:9">
      <c r="A6" s="54" t="s">
        <v>171</v>
      </c>
      <c r="B6" s="110"/>
      <c r="C6" s="107" t="s">
        <v>95</v>
      </c>
      <c r="D6" s="108">
        <f>'②【海外】研究资源成本估算 (v1.0)'!$G$14</f>
        <v>200</v>
      </c>
      <c r="E6" s="109">
        <f>VLOOKUP($D$6,'【海外】问卷调研-数据源'!$L$5:$O$18,2,TRUE)</f>
        <v>0</v>
      </c>
      <c r="F6" s="109">
        <f>VLOOKUP($D$6,'【海外】问卷调研-数据源'!$L$5:$O$18,3,TRUE)</f>
        <v>0.62208</v>
      </c>
      <c r="G6" s="109">
        <f>VLOOKUP($D$6,'【海外】问卷调研-数据源'!$L$5:$O$18,4,TRUE)</f>
        <v>0</v>
      </c>
      <c r="H6" s="109">
        <f t="shared" si="0"/>
        <v>0.62208</v>
      </c>
      <c r="I6" s="109">
        <f>D6*'【海外】问卷调研-数据源'!N4</f>
        <v>4800</v>
      </c>
    </row>
    <row r="7" ht="36" customHeight="1" spans="1:9">
      <c r="A7" s="54" t="s">
        <v>173</v>
      </c>
      <c r="B7" s="110"/>
      <c r="C7" s="107" t="s">
        <v>96</v>
      </c>
      <c r="D7" s="108">
        <f>'②【海外】研究资源成本估算 (v1.0)'!$G$14</f>
        <v>200</v>
      </c>
      <c r="E7" s="109">
        <f>VLOOKUP($D$7,'【海外】问卷调研-数据源'!$Q$5:$T$18,2,TRUE)</f>
        <v>0</v>
      </c>
      <c r="F7" s="109">
        <f>VLOOKUP($D$7,'【海外】问卷调研-数据源'!$Q$5:$T$18,3,TRUE)</f>
        <v>0.684288</v>
      </c>
      <c r="G7" s="109">
        <f>VLOOKUP($D$7,'【海外】问卷调研-数据源'!$Q$5:$T$18,4,TRUE)</f>
        <v>0</v>
      </c>
      <c r="H7" s="109">
        <f t="shared" si="0"/>
        <v>0.684288</v>
      </c>
      <c r="I7" s="109">
        <f>D7*'【海外】问卷调研-数据源'!S4</f>
        <v>6800</v>
      </c>
    </row>
    <row r="8" ht="36" customHeight="1" spans="1:9">
      <c r="A8" s="54" t="s">
        <v>175</v>
      </c>
      <c r="B8" s="110"/>
      <c r="C8" s="107" t="s">
        <v>207</v>
      </c>
      <c r="D8" s="108">
        <f>'②【海外】研究资源成本估算 (v1.0)'!$G$14</f>
        <v>200</v>
      </c>
      <c r="E8" s="109">
        <f>VLOOKUP($D$8,'【海外】问卷调研-数据源'!$V$5:$Y$18,2,TRUE)</f>
        <v>0</v>
      </c>
      <c r="F8" s="109">
        <f>VLOOKUP($D$8,'【海外】问卷调研-数据源'!$V$5:$Y$18,3,TRUE)</f>
        <v>0.7527168</v>
      </c>
      <c r="G8" s="109">
        <f>VLOOKUP($D$8,'【海外】问卷调研-数据源'!$V$5:$Y$18,4,TRUE)</f>
        <v>0</v>
      </c>
      <c r="H8" s="109">
        <f t="shared" si="0"/>
        <v>0.7527168</v>
      </c>
      <c r="I8" s="109">
        <f>D8*'【海外】问卷调研-数据源'!X4</f>
        <v>8000</v>
      </c>
    </row>
    <row r="9" ht="36" customHeight="1" spans="1:9">
      <c r="A9" s="54" t="s">
        <v>175</v>
      </c>
      <c r="B9" s="110"/>
      <c r="C9" s="107" t="s">
        <v>209</v>
      </c>
      <c r="D9" s="108">
        <f>'②【海外】研究资源成本估算 (v1.0)'!$G$14</f>
        <v>200</v>
      </c>
      <c r="E9" s="109">
        <f>VLOOKUP($D$9,'【海外】问卷调研-数据源'!$AA$5:$AD$18,2,TRUE)</f>
        <v>0</v>
      </c>
      <c r="F9" s="109">
        <f>VLOOKUP($D$9,'【海外】问卷调研-数据源'!$AA$5:$AD$18,3,TRUE)</f>
        <v>0.82798848</v>
      </c>
      <c r="G9" s="109">
        <f>VLOOKUP($D$9,'【海外】问卷调研-数据源'!$AA$5:$AD$18,4,TRUE)</f>
        <v>0</v>
      </c>
      <c r="H9" s="109">
        <f t="shared" si="0"/>
        <v>0.82798848</v>
      </c>
      <c r="I9" s="109">
        <f>D9*'【海外】问卷调研-数据源'!AC4</f>
        <v>8800</v>
      </c>
    </row>
    <row r="10" ht="36" customHeight="1" spans="1:9">
      <c r="A10" s="54" t="s">
        <v>175</v>
      </c>
      <c r="B10" s="111"/>
      <c r="C10" s="107" t="s">
        <v>211</v>
      </c>
      <c r="D10" s="108">
        <f>'②【海外】研究资源成本估算 (v1.0)'!$G$14</f>
        <v>200</v>
      </c>
      <c r="E10" s="109">
        <f>VLOOKUP($D$10,'【海外】问卷调研-数据源'!$AF$5:$AI$18,2,TRUE)</f>
        <v>0</v>
      </c>
      <c r="F10" s="109">
        <f>VLOOKUP($D$10,'【海外】问卷调研-数据源'!$AF$5:$AI$18,3,TRUE)</f>
        <v>1.076385024</v>
      </c>
      <c r="G10" s="109">
        <f>VLOOKUP($D$10,'【海外】问卷调研-数据源'!$AF$5:$AI$18,4,TRUE)</f>
        <v>0</v>
      </c>
      <c r="H10" s="109">
        <f t="shared" si="0"/>
        <v>1.076385024</v>
      </c>
      <c r="I10" s="109">
        <f>D10*'【海外】问卷调研-数据源'!AH4</f>
        <v>9600</v>
      </c>
    </row>
    <row r="11" ht="36" customHeight="1" spans="1:9">
      <c r="A11" s="54" t="s">
        <v>177</v>
      </c>
      <c r="B11" s="106" t="s">
        <v>442</v>
      </c>
      <c r="C11" s="107" t="s">
        <v>93</v>
      </c>
      <c r="D11" s="108">
        <f>'②【海外】研究资源成本估算 (v1.0)'!$G$15</f>
        <v>500</v>
      </c>
      <c r="E11" s="109">
        <f>VLOOKUP($D$11,'【海外】问卷调研-数据源'!$B$23:$E$36,2,TRUE)</f>
        <v>0.1</v>
      </c>
      <c r="F11" s="109">
        <f>VLOOKUP($D$11,'【海外】问卷调研-数据源'!$B$23:$E$36,3,TRUE)</f>
        <v>0.93312</v>
      </c>
      <c r="G11" s="109">
        <f>VLOOKUP($D$11,'【海外】问卷调研-数据源'!$B$23:$E$36,4,TRUE)</f>
        <v>0</v>
      </c>
      <c r="H11" s="109">
        <f t="shared" si="0"/>
        <v>1.03312</v>
      </c>
      <c r="I11" s="109">
        <f>D11*'【海外】问卷调研-数据源'!D22</f>
        <v>9000</v>
      </c>
    </row>
    <row r="12" ht="36" customHeight="1" spans="1:9">
      <c r="A12" s="54" t="s">
        <v>182</v>
      </c>
      <c r="B12" s="110"/>
      <c r="C12" s="107" t="s">
        <v>94</v>
      </c>
      <c r="D12" s="108">
        <f>'②【海外】研究资源成本估算 (v1.0)'!$G$15</f>
        <v>500</v>
      </c>
      <c r="E12" s="109">
        <f>VLOOKUP($D$12,'【海外】问卷调研-数据源'!$G$23:$J$36,2,TRUE)</f>
        <v>0.1</v>
      </c>
      <c r="F12" s="109">
        <f>VLOOKUP($D$12,'【海外】问卷调研-数据源'!$G$23:$J$36,3,TRUE)</f>
        <v>1.119744</v>
      </c>
      <c r="G12" s="109">
        <f>VLOOKUP($D$12,'【海外】问卷调研-数据源'!$G$23:$J$36,4,TRUE)</f>
        <v>0</v>
      </c>
      <c r="H12" s="109">
        <f t="shared" si="0"/>
        <v>1.219744</v>
      </c>
      <c r="I12" s="109">
        <f>D12*'【海外】问卷调研-数据源'!I22</f>
        <v>11000</v>
      </c>
    </row>
    <row r="13" ht="36" customHeight="1" spans="1:9">
      <c r="A13" s="54" t="s">
        <v>185</v>
      </c>
      <c r="B13" s="110"/>
      <c r="C13" s="107" t="s">
        <v>95</v>
      </c>
      <c r="D13" s="108">
        <f>'②【海外】研究资源成本估算 (v1.0)'!$G$15</f>
        <v>500</v>
      </c>
      <c r="E13" s="109">
        <f>VLOOKUP($D$13,'【海外】问卷调研-数据源'!$L$23:$O$36,2,TRUE)</f>
        <v>0.1</v>
      </c>
      <c r="F13" s="109">
        <f>VLOOKUP($D$13,'【海外】问卷调研-数据源'!$L$23:$O$36,3,TRUE)</f>
        <v>1.3436928</v>
      </c>
      <c r="G13" s="109">
        <f>VLOOKUP($D$13,'【海外】问卷调研-数据源'!$L$23:$O$36,4,TRUE)</f>
        <v>0</v>
      </c>
      <c r="H13" s="109">
        <f t="shared" si="0"/>
        <v>1.4436928</v>
      </c>
      <c r="I13" s="109">
        <f>D13*'【海外】问卷调研-数据源'!N22</f>
        <v>15000</v>
      </c>
    </row>
    <row r="14" ht="36" customHeight="1" spans="1:9">
      <c r="A14" s="54" t="s">
        <v>186</v>
      </c>
      <c r="B14" s="110"/>
      <c r="C14" s="107" t="s">
        <v>96</v>
      </c>
      <c r="D14" s="108">
        <f>'②【海外】研究资源成本估算 (v1.0)'!$G$15</f>
        <v>500</v>
      </c>
      <c r="E14" s="109">
        <f>VLOOKUP($D$14,'【海外】问卷调研-数据源'!$Q$23:$T$36,2,TRUE)</f>
        <v>0.1</v>
      </c>
      <c r="F14" s="109">
        <f>VLOOKUP($D$14,'【海外】问卷调研-数据源'!$Q$23:$T$36,3,TRUE)</f>
        <v>1.47806208</v>
      </c>
      <c r="G14" s="109">
        <f>VLOOKUP($D$14,'【海外】问卷调研-数据源'!$Q$23:$T$36,4,TRUE)</f>
        <v>0</v>
      </c>
      <c r="H14" s="109">
        <f t="shared" si="0"/>
        <v>1.57806208</v>
      </c>
      <c r="I14" s="109">
        <f>D14*'【海外】问卷调研-数据源'!S22</f>
        <v>19000</v>
      </c>
    </row>
    <row r="15" ht="36" customHeight="1" spans="1:9">
      <c r="A15" s="54" t="s">
        <v>188</v>
      </c>
      <c r="B15" s="110"/>
      <c r="C15" s="107" t="s">
        <v>207</v>
      </c>
      <c r="D15" s="108">
        <f>'②【海外】研究资源成本估算 (v1.0)'!$G$15</f>
        <v>500</v>
      </c>
      <c r="E15" s="109">
        <f>VLOOKUP($D$15,'【海外】问卷调研-数据源'!$V$23:$Y$36,2,TRUE)</f>
        <v>0.1</v>
      </c>
      <c r="F15" s="109">
        <f>VLOOKUP($D$15,'【海外】问卷调研-数据源'!$V$23:$Y$36,3,TRUE)</f>
        <v>1.625868288</v>
      </c>
      <c r="G15" s="109">
        <f>VLOOKUP($D$15,'【海外】问卷调研-数据源'!$V$23:$Y$36,4,TRUE)</f>
        <v>0</v>
      </c>
      <c r="H15" s="109">
        <f t="shared" si="0"/>
        <v>1.725868288</v>
      </c>
      <c r="I15" s="109">
        <f>D15*'【海外】问卷调研-数据源'!X22</f>
        <v>22000</v>
      </c>
    </row>
    <row r="16" ht="36" customHeight="1" spans="1:9">
      <c r="A16" s="54" t="s">
        <v>175</v>
      </c>
      <c r="B16" s="110"/>
      <c r="C16" s="107" t="s">
        <v>209</v>
      </c>
      <c r="D16" s="108">
        <f>'②【海外】研究资源成本估算 (v1.0)'!$G$15</f>
        <v>500</v>
      </c>
      <c r="E16" s="109">
        <f>VLOOKUP($D$16,'【海外】问卷调研-数据源'!$AA$23:$AD$36,2,TRUE)</f>
        <v>0.1</v>
      </c>
      <c r="F16" s="109">
        <f>VLOOKUP($D$16,'【海外】问卷调研-数据源'!$AA$23:$AD$36,3,TRUE)</f>
        <v>1.7884551168</v>
      </c>
      <c r="G16" s="109">
        <f>VLOOKUP($D$16,'【海外】问卷调研-数据源'!$AA$23:$AD$36,4,TRUE)</f>
        <v>0</v>
      </c>
      <c r="H16" s="109">
        <f t="shared" si="0"/>
        <v>1.8884551168</v>
      </c>
      <c r="I16" s="109">
        <f>D16*'【海外】问卷调研-数据源'!AC22</f>
        <v>25000</v>
      </c>
    </row>
    <row r="17" ht="36" customHeight="1" spans="1:9">
      <c r="A17" s="54" t="s">
        <v>175</v>
      </c>
      <c r="B17" s="111"/>
      <c r="C17" s="107" t="s">
        <v>211</v>
      </c>
      <c r="D17" s="108">
        <f>'②【海外】研究资源成本估算 (v1.0)'!$G$15</f>
        <v>500</v>
      </c>
      <c r="E17" s="109">
        <f>VLOOKUP($D$17,'【海外】问卷调研-数据源'!$AF$23:$AI$36,2,TRUE)</f>
        <v>0.1</v>
      </c>
      <c r="F17" s="109">
        <f>VLOOKUP($D$17,'【海外】问卷调研-数据源'!$AF$23:$AI$36,3,TRUE)</f>
        <v>1.96730062848</v>
      </c>
      <c r="G17" s="109">
        <f>VLOOKUP($D$17,'【海外】问卷调研-数据源'!$AF$23:$AI$36,4,TRUE)</f>
        <v>0</v>
      </c>
      <c r="H17" s="109">
        <f t="shared" si="0"/>
        <v>2.06730062848</v>
      </c>
      <c r="I17" s="109">
        <f>D17*'【海外】问卷调研-数据源'!AH22</f>
        <v>28000</v>
      </c>
    </row>
    <row r="18" ht="36" customHeight="1" spans="1:9">
      <c r="A18" s="54" t="s">
        <v>198</v>
      </c>
      <c r="B18" s="112" t="s">
        <v>449</v>
      </c>
      <c r="C18" s="107" t="s">
        <v>93</v>
      </c>
      <c r="D18" s="108">
        <f>'②【海外】研究资源成本估算 (v1.0)'!$G$16</f>
        <v>1000</v>
      </c>
      <c r="E18" s="109">
        <f>VLOOKUP($D$18,'【海外】问卷调研-数据源'!$B$41:$E$54,2,TRUE)</f>
        <v>0.2</v>
      </c>
      <c r="F18" s="109">
        <f>VLOOKUP($D$18,'【海外】问卷调研-数据源'!$B$41:$E$54,3,TRUE)</f>
        <v>1.344</v>
      </c>
      <c r="G18" s="109">
        <f>VLOOKUP($D$18,'【海外】问卷调研-数据源'!$B$41:$E$54,4,TRUE)</f>
        <v>0</v>
      </c>
      <c r="H18" s="109">
        <f t="shared" si="0"/>
        <v>1.544</v>
      </c>
      <c r="I18" s="109">
        <f>D18*'【海外】问卷调研-数据源'!D40</f>
        <v>10000</v>
      </c>
    </row>
    <row r="19" ht="36" customHeight="1" spans="1:9">
      <c r="A19" s="54" t="s">
        <v>202</v>
      </c>
      <c r="B19" s="113"/>
      <c r="C19" s="107" t="s">
        <v>94</v>
      </c>
      <c r="D19" s="108">
        <f>'②【海外】研究资源成本估算 (v1.0)'!$G$16</f>
        <v>1000</v>
      </c>
      <c r="E19" s="109">
        <f>VLOOKUP($D$19,'【海外】问卷调研-数据源'!$G$41:$J$54,2,TRUE)</f>
        <v>0.2</v>
      </c>
      <c r="F19" s="109">
        <f>VLOOKUP($D$19,'【海外】问卷调研-数据源'!$G$41:$J$54,3,TRUE)</f>
        <v>1.68</v>
      </c>
      <c r="G19" s="109">
        <f>VLOOKUP($D$19,'【海外】问卷调研-数据源'!$G$41:$J$54,4,TRUE)</f>
        <v>0</v>
      </c>
      <c r="H19" s="109">
        <f t="shared" si="0"/>
        <v>1.88</v>
      </c>
      <c r="I19" s="109">
        <f>D19*'【海外】问卷调研-数据源'!I40</f>
        <v>14000</v>
      </c>
    </row>
    <row r="20" ht="36" customHeight="1" spans="1:9">
      <c r="A20" s="54" t="s">
        <v>204</v>
      </c>
      <c r="B20" s="113"/>
      <c r="C20" s="107" t="s">
        <v>95</v>
      </c>
      <c r="D20" s="108">
        <f>'②【海外】研究资源成本估算 (v1.0)'!$G$16</f>
        <v>1000</v>
      </c>
      <c r="E20" s="109">
        <f>VLOOKUP($D$20,'【海外】问卷调研-数据源'!$L$41:$O$54,2,TRUE)</f>
        <v>0.2</v>
      </c>
      <c r="F20" s="109">
        <f>VLOOKUP($D$20,'【海外】问卷调研-数据源'!$L$41:$O$54,3,TRUE)</f>
        <v>2.1</v>
      </c>
      <c r="G20" s="109">
        <f>VLOOKUP($D$20,'【海外】问卷调研-数据源'!$L$41:$O$54,4,TRUE)</f>
        <v>0</v>
      </c>
      <c r="H20" s="109">
        <f t="shared" si="0"/>
        <v>2.3</v>
      </c>
      <c r="I20" s="109">
        <f>D20*'【海外】问卷调研-数据源'!N40</f>
        <v>16000</v>
      </c>
    </row>
    <row r="21" ht="36" customHeight="1" spans="1:9">
      <c r="A21" s="54" t="s">
        <v>205</v>
      </c>
      <c r="B21" s="113"/>
      <c r="C21" s="107" t="s">
        <v>96</v>
      </c>
      <c r="D21" s="108">
        <f>'②【海外】研究资源成本估算 (v1.0)'!$G$16</f>
        <v>1000</v>
      </c>
      <c r="E21" s="109">
        <f>VLOOKUP($D$21,'【海外】问卷调研-数据源'!$V$41:$Y$54,2,TRUE)</f>
        <v>0.2</v>
      </c>
      <c r="F21" s="109">
        <f>VLOOKUP($D$21,'【海外】问卷调研-数据源'!$V$41:$Y$54,3,TRUE)</f>
        <v>2.541</v>
      </c>
      <c r="G21" s="109">
        <f>VLOOKUP($D$21,'【海外】问卷调研-数据源'!$V$41:$Y$54,4,TRUE)</f>
        <v>0</v>
      </c>
      <c r="H21" s="109">
        <f t="shared" si="0"/>
        <v>2.741</v>
      </c>
      <c r="I21" s="109">
        <f>D21*'【海外】问卷调研-数据源'!S40</f>
        <v>20000</v>
      </c>
    </row>
    <row r="22" ht="36" customHeight="1" spans="1:9">
      <c r="A22" s="54" t="s">
        <v>206</v>
      </c>
      <c r="B22" s="113"/>
      <c r="C22" s="107" t="s">
        <v>207</v>
      </c>
      <c r="D22" s="108">
        <f>'②【海外】研究资源成本估算 (v1.0)'!$G$16</f>
        <v>1000</v>
      </c>
      <c r="E22" s="109">
        <f>VLOOKUP($D$22,'【海外】问卷调研-数据源'!$V$41:$Y$54,2,TRUE)</f>
        <v>0.2</v>
      </c>
      <c r="F22" s="109">
        <f>VLOOKUP($D$22,'【海外】问卷调研-数据源'!$V$41:$Y$54,3,TRUE)</f>
        <v>2.541</v>
      </c>
      <c r="G22" s="109">
        <f>VLOOKUP($D$22,'【海外】问卷调研-数据源'!$V$41:$Y$54,4,TRUE)</f>
        <v>0</v>
      </c>
      <c r="H22" s="109">
        <f t="shared" si="0"/>
        <v>2.741</v>
      </c>
      <c r="I22" s="109">
        <f>D22*'【海外】问卷调研-数据源'!X40</f>
        <v>25000</v>
      </c>
    </row>
    <row r="23" ht="36" customHeight="1" spans="1:9">
      <c r="A23" s="54" t="s">
        <v>175</v>
      </c>
      <c r="B23" s="113"/>
      <c r="C23" s="107" t="s">
        <v>209</v>
      </c>
      <c r="D23" s="108">
        <f>'②【海外】研究资源成本估算 (v1.0)'!$G$16</f>
        <v>1000</v>
      </c>
      <c r="E23" s="109">
        <f>VLOOKUP($D$23,'【海外】问卷调研-数据源'!$AA$41:$AD$54,2,TRUE)</f>
        <v>0.2</v>
      </c>
      <c r="F23" s="109">
        <f>VLOOKUP($D$23,'【海外】问卷调研-数据源'!$AA$41:$AD$54,3,TRUE)</f>
        <v>2.7951</v>
      </c>
      <c r="G23" s="109">
        <f>VLOOKUP($D$23,'【海外】问卷调研-数据源'!$AA$41:$AD$54,4,TRUE)</f>
        <v>0</v>
      </c>
      <c r="H23" s="109">
        <f t="shared" si="0"/>
        <v>2.9951</v>
      </c>
      <c r="I23" s="109">
        <f>D23*'【海外】问卷调研-数据源'!AC40</f>
        <v>30000</v>
      </c>
    </row>
    <row r="24" ht="36" customHeight="1" spans="1:9">
      <c r="A24" s="54" t="s">
        <v>175</v>
      </c>
      <c r="B24" s="114"/>
      <c r="C24" s="107" t="s">
        <v>211</v>
      </c>
      <c r="D24" s="108">
        <f>'②【海外】研究资源成本估算 (v1.0)'!$G$16</f>
        <v>1000</v>
      </c>
      <c r="E24" s="109">
        <f>VLOOKUP($D$24,'【海外】问卷调研-数据源'!$AF$41:$AI$54,2,TRUE)</f>
        <v>0.2</v>
      </c>
      <c r="F24" s="109">
        <f>VLOOKUP($D$24,'【海外】问卷调研-数据源'!$AF$41:$AI$54,3,TRUE)</f>
        <v>3.63363</v>
      </c>
      <c r="G24" s="109">
        <f>VLOOKUP($D$24,'【海外】问卷调研-数据源'!$AF$41:$AI$54,4,TRUE)</f>
        <v>0</v>
      </c>
      <c r="H24" s="109">
        <f t="shared" si="0"/>
        <v>3.83363</v>
      </c>
      <c r="I24" s="109">
        <f>D24*'【海外】问卷调研-数据源'!AH40</f>
        <v>40000</v>
      </c>
    </row>
    <row r="25" ht="36" customHeight="1" spans="1:9">
      <c r="A25" s="54" t="s">
        <v>198</v>
      </c>
      <c r="B25" s="112" t="s">
        <v>450</v>
      </c>
      <c r="C25" s="107" t="s">
        <v>93</v>
      </c>
      <c r="D25" s="108">
        <f>'②【海外】研究资源成本估算 (v1.0)'!$G$17</f>
        <v>500</v>
      </c>
      <c r="E25" s="109">
        <f>VLOOKUP($D$25,'【海外】问卷调研-数据源'!$B$59:$E$72,2,TRUE)</f>
        <v>0.1</v>
      </c>
      <c r="F25" s="109">
        <f>VLOOKUP($D$25,'【海外】问卷调研-数据源'!$B$59:$E$72,3,TRUE)</f>
        <v>1.2096</v>
      </c>
      <c r="G25" s="109">
        <f>VLOOKUP($D$25,'【海外】问卷调研-数据源'!$B$59:$E$72,4,TRUE)</f>
        <v>0</v>
      </c>
      <c r="H25" s="109">
        <f t="shared" si="0"/>
        <v>1.3096</v>
      </c>
      <c r="I25" s="109">
        <f>D25*'【海外】问卷调研-数据源'!D58</f>
        <v>9000</v>
      </c>
    </row>
    <row r="26" ht="36" customHeight="1" spans="1:9">
      <c r="A26" s="54" t="s">
        <v>202</v>
      </c>
      <c r="B26" s="113"/>
      <c r="C26" s="107" t="s">
        <v>94</v>
      </c>
      <c r="D26" s="108">
        <f>'②【海外】研究资源成本估算 (v1.0)'!$G$17</f>
        <v>500</v>
      </c>
      <c r="E26" s="109">
        <f>VLOOKUP($D$26,'【海外】问卷调研-数据源'!$G$59:$J$72,2,TRUE)</f>
        <v>0.1</v>
      </c>
      <c r="F26" s="109">
        <f>VLOOKUP($D$26,'【海外】问卷调研-数据源'!$G$59:$J$72,3,TRUE)</f>
        <v>1.45152</v>
      </c>
      <c r="G26" s="109">
        <f>VLOOKUP($D$26,'【海外】问卷调研-数据源'!$G$59:$J$72,4,TRUE)</f>
        <v>0</v>
      </c>
      <c r="H26" s="109">
        <f t="shared" si="0"/>
        <v>1.55152</v>
      </c>
      <c r="I26" s="109">
        <f>D26*'【海外】问卷调研-数据源'!I58</f>
        <v>10500</v>
      </c>
    </row>
    <row r="27" ht="36" customHeight="1" spans="1:9">
      <c r="A27" s="54" t="s">
        <v>204</v>
      </c>
      <c r="B27" s="113"/>
      <c r="C27" s="107" t="s">
        <v>95</v>
      </c>
      <c r="D27" s="108">
        <f>'②【海外】研究资源成本估算 (v1.0)'!$G$17</f>
        <v>500</v>
      </c>
      <c r="E27" s="109">
        <f>VLOOKUP($D$27,'【海外】问卷调研-数据源'!$L$59:$O$72,2,TRUE)</f>
        <v>0.1</v>
      </c>
      <c r="F27" s="109">
        <f>VLOOKUP($D$27,'【海外】问卷调研-数据源'!$L$59:$O$72,3,TRUE)</f>
        <v>1.741824</v>
      </c>
      <c r="G27" s="109">
        <f>VLOOKUP($D$27,'【海外】问卷调研-数据源'!$L$59:$O$72,4,TRUE)</f>
        <v>0</v>
      </c>
      <c r="H27" s="109">
        <f t="shared" si="0"/>
        <v>1.841824</v>
      </c>
      <c r="I27" s="109">
        <f>D27*'【海外】问卷调研-数据源'!N58</f>
        <v>12500</v>
      </c>
    </row>
    <row r="28" ht="36" customHeight="1" spans="1:9">
      <c r="A28" s="54" t="s">
        <v>205</v>
      </c>
      <c r="B28" s="113"/>
      <c r="C28" s="107" t="s">
        <v>96</v>
      </c>
      <c r="D28" s="108">
        <f>'②【海外】研究资源成本估算 (v1.0)'!$G$17</f>
        <v>500</v>
      </c>
      <c r="E28" s="109">
        <f>VLOOKUP($D$28,'【海外】问卷调研-数据源'!$Q$59:$T$72,2,TRUE)</f>
        <v>0.1</v>
      </c>
      <c r="F28" s="109">
        <f>VLOOKUP($D$28,'【海外】问卷调研-数据源'!$Q$59:$T$72,3,TRUE)</f>
        <v>1.9160064</v>
      </c>
      <c r="G28" s="109">
        <f>VLOOKUP($D$28,'【海外】问卷调研-数据源'!$Q$59:$T$72,4,TRUE)</f>
        <v>0</v>
      </c>
      <c r="H28" s="109">
        <f t="shared" si="0"/>
        <v>2.0160064</v>
      </c>
      <c r="I28" s="109">
        <f>D28*'【海外】问卷调研-数据源'!S58</f>
        <v>15000</v>
      </c>
    </row>
    <row r="29" ht="36" customHeight="1" spans="1:9">
      <c r="A29" s="54" t="s">
        <v>206</v>
      </c>
      <c r="B29" s="113"/>
      <c r="C29" s="107" t="s">
        <v>207</v>
      </c>
      <c r="D29" s="108">
        <f>'②【海外】研究资源成本估算 (v1.0)'!$G$17</f>
        <v>500</v>
      </c>
      <c r="E29" s="109">
        <f>VLOOKUP($D$29,'【海外】问卷调研-数据源'!$V$59:$Y$72,2,TRUE)</f>
        <v>0.1</v>
      </c>
      <c r="F29" s="109">
        <f>VLOOKUP($D$29,'【海外】问卷调研-数据源'!$V$59:$Y$72,3,TRUE)</f>
        <v>2.10760704</v>
      </c>
      <c r="G29" s="109">
        <f>VLOOKUP($D$29,'【海外】问卷调研-数据源'!$V$59:$Y$72,4,TRUE)</f>
        <v>0</v>
      </c>
      <c r="H29" s="109">
        <f t="shared" si="0"/>
        <v>2.20760704</v>
      </c>
      <c r="I29" s="109">
        <f>D29*'【海外】问卷调研-数据源'!X58</f>
        <v>19000</v>
      </c>
    </row>
    <row r="30" ht="36" customHeight="1" spans="1:9">
      <c r="A30" s="54" t="s">
        <v>175</v>
      </c>
      <c r="B30" s="113"/>
      <c r="C30" s="107" t="s">
        <v>209</v>
      </c>
      <c r="D30" s="108">
        <f>'②【海外】研究资源成本估算 (v1.0)'!$G$17</f>
        <v>500</v>
      </c>
      <c r="E30" s="109">
        <f>VLOOKUP($D$30,'【海外】问卷调研-数据源'!$AA$59:$AD$72,2,TRUE)</f>
        <v>0.1</v>
      </c>
      <c r="F30" s="109">
        <f>VLOOKUP($D$30,'【海外】问卷调研-数据源'!$AA$59:$AD$72,3,TRUE)</f>
        <v>2.318367744</v>
      </c>
      <c r="G30" s="109">
        <f>VLOOKUP($D$30,'【海外】问卷调研-数据源'!$AA$59:$AD$72,4,TRUE)</f>
        <v>0</v>
      </c>
      <c r="H30" s="109">
        <f t="shared" si="0"/>
        <v>2.418367744</v>
      </c>
      <c r="I30" s="109">
        <f>D30*'【海外】问卷调研-数据源'!AC58</f>
        <v>21000</v>
      </c>
    </row>
    <row r="31" ht="36" customHeight="1" spans="1:9">
      <c r="A31" s="54" t="s">
        <v>175</v>
      </c>
      <c r="B31" s="114"/>
      <c r="C31" s="107" t="s">
        <v>211</v>
      </c>
      <c r="D31" s="108">
        <f>'②【海外】研究资源成本估算 (v1.0)'!$G$17</f>
        <v>500</v>
      </c>
      <c r="E31" s="109">
        <f>VLOOKUP($D$31,'【海外】问卷调研-数据源'!$AF$59:$AI$72,2,TRUE)</f>
        <v>0.1</v>
      </c>
      <c r="F31" s="109">
        <f>VLOOKUP($D$31,'【海外】问卷调研-数据源'!$AF$59:$AI$72,3,TRUE)</f>
        <v>2.718367744</v>
      </c>
      <c r="G31" s="109">
        <f>VLOOKUP($D$31,'【海外】问卷调研-数据源'!$AF$59:$AI$72,4,TRUE)</f>
        <v>0</v>
      </c>
      <c r="H31" s="109">
        <f t="shared" si="0"/>
        <v>2.818367744</v>
      </c>
      <c r="I31" s="109">
        <f>D31*'【海外】问卷调研-数据源'!AH58</f>
        <v>24000</v>
      </c>
    </row>
    <row r="32" ht="36" customHeight="1" spans="1:9">
      <c r="A32" s="54" t="s">
        <v>198</v>
      </c>
      <c r="B32" s="115" t="s">
        <v>451</v>
      </c>
      <c r="C32" s="107" t="s">
        <v>93</v>
      </c>
      <c r="D32" s="108">
        <f>'②【海外】研究资源成本估算 (v1.0)'!$G$18</f>
        <v>500</v>
      </c>
      <c r="E32" s="109">
        <f>VLOOKUP($D$32,'【海外】问卷调研-数据源'!$B$77:$E$85,2,TRUE)</f>
        <v>0.2</v>
      </c>
      <c r="F32" s="109">
        <f>VLOOKUP($D$32,'【海外】问卷调研-数据源'!$B$77:$E$85,3,TRUE)</f>
        <v>0.7</v>
      </c>
      <c r="G32" s="109">
        <f>VLOOKUP($D$32,'【海外】问卷调研-数据源'!$B$77:$E$85,4,TRUE)</f>
        <v>0</v>
      </c>
      <c r="H32" s="109">
        <f t="shared" si="0"/>
        <v>0.9</v>
      </c>
      <c r="I32" s="109">
        <f>D32*'【海外】问卷调研-数据源'!D76</f>
        <v>4000</v>
      </c>
    </row>
    <row r="33" ht="36" customHeight="1" spans="1:9">
      <c r="A33" s="54" t="s">
        <v>202</v>
      </c>
      <c r="B33" s="116"/>
      <c r="C33" s="107" t="s">
        <v>94</v>
      </c>
      <c r="D33" s="108">
        <f>'②【海外】研究资源成本估算 (v1.0)'!$G$18</f>
        <v>500</v>
      </c>
      <c r="E33" s="109">
        <f>VLOOKUP($D$33,'【海外】问卷调研-数据源'!$G$77:$J$85,2,TRUE)</f>
        <v>0.2</v>
      </c>
      <c r="F33" s="109">
        <f>VLOOKUP($D$26,'【海外】问卷调研-数据源'!$G$77:$J$85,3,TRUE)</f>
        <v>0.8</v>
      </c>
      <c r="G33" s="109">
        <f>VLOOKUP($D$26,'【海外】问卷调研-数据源'!$G$72:$J$85,4,TRUE)</f>
        <v>0</v>
      </c>
      <c r="H33" s="109">
        <f t="shared" si="0"/>
        <v>1</v>
      </c>
      <c r="I33" s="109">
        <f>D33*'【海外】问卷调研-数据源'!I76</f>
        <v>4500</v>
      </c>
    </row>
    <row r="34" ht="36" customHeight="1" spans="1:9">
      <c r="A34" s="54" t="s">
        <v>204</v>
      </c>
      <c r="B34" s="116"/>
      <c r="C34" s="107" t="s">
        <v>95</v>
      </c>
      <c r="D34" s="108">
        <f>'②【海外】研究资源成本估算 (v1.0)'!$G$18</f>
        <v>500</v>
      </c>
      <c r="E34" s="109">
        <f>VLOOKUP($D$34,'【海外】问卷调研-数据源'!$L$77:$O$85,2,TRUE)</f>
        <v>0.2</v>
      </c>
      <c r="F34" s="109">
        <f>VLOOKUP($D$27,'【海外】问卷调研-数据源'!$L$77:$O$85,3,TRUE)</f>
        <v>1</v>
      </c>
      <c r="G34" s="109">
        <f>VLOOKUP($D$27,'【海外】问卷调研-数据源'!$L$77:$O$85,4,TRUE)</f>
        <v>0</v>
      </c>
      <c r="H34" s="109">
        <f t="shared" si="0"/>
        <v>1.2</v>
      </c>
      <c r="I34" s="109">
        <f>D34*'【海外】问卷调研-数据源'!N76</f>
        <v>5000</v>
      </c>
    </row>
    <row r="35" ht="36" customHeight="1" spans="1:9">
      <c r="A35" s="54" t="s">
        <v>205</v>
      </c>
      <c r="B35" s="116"/>
      <c r="C35" s="107" t="s">
        <v>96</v>
      </c>
      <c r="D35" s="108">
        <f>'②【海外】研究资源成本估算 (v1.0)'!$G$18</f>
        <v>500</v>
      </c>
      <c r="E35" s="109">
        <f>VLOOKUP($D$35,'【海外】问卷调研-数据源'!$Q$77:$T$85,2,TRUE)</f>
        <v>0.2</v>
      </c>
      <c r="F35" s="109">
        <f>VLOOKUP($D$28,'【海外】问卷调研-数据源'!$Q$77:$T$85,3,TRUE)</f>
        <v>1.3</v>
      </c>
      <c r="G35" s="109">
        <f>VLOOKUP($D$28,'【海外】问卷调研-数据源'!$Q$77:$T$85,4,TRUE)</f>
        <v>0</v>
      </c>
      <c r="H35" s="109">
        <f t="shared" si="0"/>
        <v>1.5</v>
      </c>
      <c r="I35" s="109">
        <f>D35*'【海外】问卷调研-数据源'!S76</f>
        <v>6000</v>
      </c>
    </row>
    <row r="36" ht="36" customHeight="1" spans="1:9">
      <c r="A36" s="54" t="s">
        <v>206</v>
      </c>
      <c r="B36" s="116"/>
      <c r="C36" s="107" t="s">
        <v>207</v>
      </c>
      <c r="D36" s="108">
        <f>'②【海外】研究资源成本估算 (v1.0)'!$G$18</f>
        <v>500</v>
      </c>
      <c r="E36" s="109">
        <f>VLOOKUP($D$36,'【海外】问卷调研-数据源'!$V$77:$Y$85,2,TRUE)</f>
        <v>0.2</v>
      </c>
      <c r="F36" s="109">
        <f>VLOOKUP($D$29,'【海外】问卷调研-数据源'!$V$59:$Y$72,3,TRUE)</f>
        <v>2.10760704</v>
      </c>
      <c r="G36" s="109">
        <f>VLOOKUP($D$29,'【海外】问卷调研-数据源'!$V$59:$Y$72,4,TRUE)</f>
        <v>0</v>
      </c>
      <c r="H36" s="109">
        <f t="shared" si="0"/>
        <v>2.30760704</v>
      </c>
      <c r="I36" s="109">
        <f>D36*'【海外】问卷调研-数据源'!X76</f>
        <v>8000</v>
      </c>
    </row>
    <row r="37" ht="36" customHeight="1" spans="1:9">
      <c r="A37" s="54" t="s">
        <v>175</v>
      </c>
      <c r="B37" s="116"/>
      <c r="C37" s="107" t="s">
        <v>209</v>
      </c>
      <c r="D37" s="108">
        <f>'②【海外】研究资源成本估算 (v1.0)'!$G$18</f>
        <v>500</v>
      </c>
      <c r="E37" s="109">
        <f>VLOOKUP($D$37,'【海外】问卷调研-数据源'!$AA$77:$AD$85,2,TRUE)</f>
        <v>0.2</v>
      </c>
      <c r="F37" s="109">
        <f>VLOOKUP($D$37,'【海外】问卷调研-数据源'!$AA$77:$AD$85,3,TRUE)</f>
        <v>2.1</v>
      </c>
      <c r="G37" s="109">
        <f>VLOOKUP($D$37,'【海外】问卷调研-数据源'!$AA$77:$AD$85,4,TRUE)</f>
        <v>0</v>
      </c>
      <c r="H37" s="109">
        <f t="shared" si="0"/>
        <v>2.3</v>
      </c>
      <c r="I37" s="109">
        <f>D37*'【海外】问卷调研-数据源'!AC76</f>
        <v>9000</v>
      </c>
    </row>
    <row r="38" ht="36" customHeight="1" spans="1:9">
      <c r="A38" s="54" t="s">
        <v>175</v>
      </c>
      <c r="B38" s="117"/>
      <c r="C38" s="107" t="s">
        <v>211</v>
      </c>
      <c r="D38" s="108">
        <f>'②【海外】研究资源成本估算 (v1.0)'!$G$18</f>
        <v>500</v>
      </c>
      <c r="E38" s="109">
        <f>VLOOKUP($D$38,'【海外】问卷调研-数据源'!$AF$77:$AI$85,2,TRUE)</f>
        <v>0.2</v>
      </c>
      <c r="F38" s="109">
        <f>VLOOKUP($D$38,'【海外】问卷调研-数据源'!$AF$77:$AI$85,3,TRUE)</f>
        <v>2.5</v>
      </c>
      <c r="G38" s="109">
        <f>VLOOKUP($D$38,'【海外】问卷调研-数据源'!$AF$77:$AI$85,4,TRUE)</f>
        <v>0</v>
      </c>
      <c r="H38" s="109">
        <f t="shared" si="0"/>
        <v>2.7</v>
      </c>
      <c r="I38" s="109">
        <f>D38*'【海外】问卷调研-数据源'!AH76</f>
        <v>10000</v>
      </c>
    </row>
    <row r="39" ht="36" customHeight="1" spans="1:9">
      <c r="A39" s="54" t="s">
        <v>198</v>
      </c>
      <c r="B39" s="115" t="s">
        <v>452</v>
      </c>
      <c r="C39" s="107" t="s">
        <v>93</v>
      </c>
      <c r="D39" s="108">
        <f>'②【海外】研究资源成本估算 (v1.0)'!$G$19</f>
        <v>500</v>
      </c>
      <c r="E39" s="109">
        <f>VLOOKUP($D$39,'【海外】问卷调研-数据源'!$B$90:$E$98,2,TRUE)</f>
        <v>0.3</v>
      </c>
      <c r="F39" s="109">
        <f>VLOOKUP($D$39,'【海外】问卷调研-数据源'!$B$90:$E$98,3,TRUE)</f>
        <v>1.1</v>
      </c>
      <c r="G39" s="109">
        <f>VLOOKUP($D$39,'【海外】问卷调研-数据源'!$B$90:$E$98,4,TRUE)</f>
        <v>0</v>
      </c>
      <c r="H39" s="109">
        <f t="shared" si="0"/>
        <v>1.4</v>
      </c>
      <c r="I39" s="109">
        <f>D39*'【海外】问卷调研-数据源'!D89</f>
        <v>10000</v>
      </c>
    </row>
    <row r="40" ht="36" customHeight="1" spans="1:9">
      <c r="A40" s="54" t="s">
        <v>202</v>
      </c>
      <c r="B40" s="116"/>
      <c r="C40" s="107" t="s">
        <v>94</v>
      </c>
      <c r="D40" s="108">
        <f>'②【海外】研究资源成本估算 (v1.0)'!$G$19</f>
        <v>500</v>
      </c>
      <c r="E40" s="109" t="e">
        <f>VLOOKUP($D$40,#REF!,2,TRUE)</f>
        <v>#REF!</v>
      </c>
      <c r="F40" s="109" t="e">
        <f>VLOOKUP($D$19,#REF!,3,TRUE)</f>
        <v>#REF!</v>
      </c>
      <c r="G40" s="109" t="e">
        <f>VLOOKUP($D$19,#REF!,4,TRUE)</f>
        <v>#REF!</v>
      </c>
      <c r="H40" s="109" t="e">
        <f t="shared" si="0"/>
        <v>#REF!</v>
      </c>
      <c r="I40" s="109">
        <f>D40*'【海外】问卷调研-数据源'!I89</f>
        <v>11000</v>
      </c>
    </row>
    <row r="41" ht="36" customHeight="1" spans="1:9">
      <c r="A41" s="54" t="s">
        <v>204</v>
      </c>
      <c r="B41" s="116"/>
      <c r="C41" s="107" t="s">
        <v>95</v>
      </c>
      <c r="D41" s="108">
        <f>'②【海外】研究资源成本估算 (v1.0)'!$G$19</f>
        <v>500</v>
      </c>
      <c r="E41" s="109" t="e">
        <f>VLOOKUP($D$41,#REF!,2,TRUE)</f>
        <v>#REF!</v>
      </c>
      <c r="F41" s="109" t="e">
        <f>VLOOKUP($D$20,#REF!,3,TRUE)</f>
        <v>#REF!</v>
      </c>
      <c r="G41" s="109" t="e">
        <f>VLOOKUP($D$20,#REF!,4,TRUE)</f>
        <v>#REF!</v>
      </c>
      <c r="H41" s="109" t="e">
        <f t="shared" si="0"/>
        <v>#REF!</v>
      </c>
      <c r="I41" s="109">
        <f>D41*'【海外】问卷调研-数据源'!N89</f>
        <v>12000</v>
      </c>
    </row>
    <row r="42" ht="36" customHeight="1" spans="1:9">
      <c r="A42" s="54" t="s">
        <v>205</v>
      </c>
      <c r="B42" s="116"/>
      <c r="C42" s="107" t="s">
        <v>96</v>
      </c>
      <c r="D42" s="108">
        <f>'②【海外】研究资源成本估算 (v1.0)'!$G$19</f>
        <v>500</v>
      </c>
      <c r="E42" s="109" t="e">
        <f>VLOOKUP($D$42,#REF!,2,TRUE)</f>
        <v>#REF!</v>
      </c>
      <c r="F42" s="109" t="e">
        <f>VLOOKUP($D$21,#REF!,3,TRUE)</f>
        <v>#REF!</v>
      </c>
      <c r="G42" s="109" t="e">
        <f>VLOOKUP($D$21,#REF!,4,TRUE)</f>
        <v>#REF!</v>
      </c>
      <c r="H42" s="109" t="e">
        <f t="shared" si="0"/>
        <v>#REF!</v>
      </c>
      <c r="I42" s="109">
        <f>D42*'【海外】问卷调研-数据源'!S89</f>
        <v>13000</v>
      </c>
    </row>
    <row r="43" ht="36" customHeight="1" spans="1:9">
      <c r="A43" s="54" t="s">
        <v>206</v>
      </c>
      <c r="B43" s="116"/>
      <c r="C43" s="107" t="s">
        <v>207</v>
      </c>
      <c r="D43" s="108">
        <f>'②【海外】研究资源成本估算 (v1.0)'!$G$19</f>
        <v>500</v>
      </c>
      <c r="E43" s="109" t="e">
        <f>VLOOKUP($D$43,#REF!,2,TRUE)</f>
        <v>#REF!</v>
      </c>
      <c r="F43" s="109" t="e">
        <f>VLOOKUP($D$43,#REF!,3,TRUE)</f>
        <v>#REF!</v>
      </c>
      <c r="G43" s="109" t="e">
        <f>VLOOKUP($D$43,#REF!,4,TRUE)</f>
        <v>#REF!</v>
      </c>
      <c r="H43" s="109" t="e">
        <f t="shared" si="0"/>
        <v>#REF!</v>
      </c>
      <c r="I43" s="109">
        <f>D43*'【海外】问卷调研-数据源'!X89</f>
        <v>14000</v>
      </c>
    </row>
    <row r="44" ht="36" customHeight="1" spans="1:9">
      <c r="A44" s="54" t="s">
        <v>175</v>
      </c>
      <c r="B44" s="116"/>
      <c r="C44" s="107" t="s">
        <v>209</v>
      </c>
      <c r="D44" s="108">
        <f>'②【海外】研究资源成本估算 (v1.0)'!$G$19</f>
        <v>500</v>
      </c>
      <c r="E44" s="109" t="e">
        <f>VLOOKUP($D$44,#REF!,2,TRUE)</f>
        <v>#REF!</v>
      </c>
      <c r="F44" s="109" t="e">
        <f>VLOOKUP($D$44,#REF!,3,TRUE)</f>
        <v>#REF!</v>
      </c>
      <c r="G44" s="109" t="e">
        <f>VLOOKUP($D$44,#REF!,4,TRUE)</f>
        <v>#REF!</v>
      </c>
      <c r="H44" s="109" t="e">
        <f t="shared" si="0"/>
        <v>#REF!</v>
      </c>
      <c r="I44" s="109">
        <f>D44*'【海外】问卷调研-数据源'!AC89</f>
        <v>15000</v>
      </c>
    </row>
    <row r="45" ht="36" customHeight="1" spans="1:9">
      <c r="A45" s="54" t="s">
        <v>175</v>
      </c>
      <c r="B45" s="117"/>
      <c r="C45" s="107" t="s">
        <v>211</v>
      </c>
      <c r="D45" s="108">
        <f>'②【海外】研究资源成本估算 (v1.0)'!$G$19</f>
        <v>500</v>
      </c>
      <c r="E45" s="109" t="e">
        <f>VLOOKUP($D$45,#REF!,2,TRUE)</f>
        <v>#REF!</v>
      </c>
      <c r="F45" s="109" t="e">
        <f>VLOOKUP($D$45,#REF!,3,TRUE)</f>
        <v>#REF!</v>
      </c>
      <c r="G45" s="109" t="e">
        <f>VLOOKUP($D$45,#REF!,4,TRUE)</f>
        <v>#REF!</v>
      </c>
      <c r="H45" s="109" t="e">
        <f t="shared" si="0"/>
        <v>#REF!</v>
      </c>
      <c r="I45" s="109">
        <f>D45*'【海外】问卷调研-数据源'!AH89</f>
        <v>16000</v>
      </c>
    </row>
  </sheetData>
  <sheetProtection password="B841" sheet="1" objects="1"/>
  <mergeCells count="7">
    <mergeCell ref="A2:I2"/>
    <mergeCell ref="B4:B10"/>
    <mergeCell ref="B11:B17"/>
    <mergeCell ref="B18:B24"/>
    <mergeCell ref="B25:B31"/>
    <mergeCell ref="B32:B38"/>
    <mergeCell ref="B39:B45"/>
  </mergeCells>
  <dataValidations count="1">
    <dataValidation allowBlank="1" showInputMessage="1" showErrorMessage="1" sqref="D4:D45"/>
  </dataValidations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EV20"/>
  <sheetViews>
    <sheetView showGridLines="0" zoomScale="80" zoomScaleNormal="80" workbookViewId="0">
      <selection activeCell="G36" sqref="G36"/>
    </sheetView>
  </sheetViews>
  <sheetFormatPr defaultColWidth="9" defaultRowHeight="16.5"/>
  <cols>
    <col min="1" max="1" width="8.75" style="1" customWidth="1"/>
    <col min="2" max="2" width="12.25" style="1" customWidth="1"/>
    <col min="3" max="4" width="16.5" style="1" customWidth="1"/>
    <col min="5" max="6" width="33.375" style="1" customWidth="1"/>
    <col min="7" max="16376" width="9" style="1"/>
  </cols>
  <sheetData>
    <row r="1" ht="30" customHeight="1" spans="2:6 16374:16376">
      <c r="B1" s="3" t="s">
        <v>142</v>
      </c>
      <c r="C1" s="3"/>
      <c r="D1" s="37"/>
    </row>
    <row r="2" ht="36.95" customHeight="1" spans="2:6 16374:16376">
      <c r="B2" s="3" t="s">
        <v>453</v>
      </c>
      <c r="C2" s="3"/>
      <c r="D2" s="37"/>
    </row>
    <row r="3" ht="33" customHeight="1" spans="2:6 16374:16376">
      <c r="B3" s="78" t="s">
        <v>454</v>
      </c>
      <c r="C3" s="78"/>
      <c r="D3" s="78"/>
      <c r="E3" s="78"/>
      <c r="F3" s="78"/>
    </row>
    <row r="4" ht="60.95" customHeight="1" spans="2:6 16374:16376">
      <c r="B4" s="79" t="s">
        <v>455</v>
      </c>
      <c r="C4" s="80"/>
      <c r="D4" s="80"/>
      <c r="E4" s="81"/>
      <c r="F4" s="81"/>
    </row>
    <row r="5" ht="24" customHeight="1" spans="2:6 16374:16376">
      <c r="B5" s="82" t="s">
        <v>151</v>
      </c>
      <c r="C5" s="83" t="s">
        <v>456</v>
      </c>
      <c r="D5" s="84"/>
      <c r="E5" s="85" t="s">
        <v>457</v>
      </c>
      <c r="F5" s="86"/>
      <c r="XET5"/>
      <c r="XEU5"/>
      <c r="XEV5"/>
    </row>
    <row r="6" ht="36.95" customHeight="1" spans="2:6 16374:16376">
      <c r="B6" s="87" t="s">
        <v>1</v>
      </c>
      <c r="C6" s="88" t="s">
        <v>458</v>
      </c>
      <c r="D6" s="89"/>
      <c r="E6" s="90" t="s">
        <v>459</v>
      </c>
      <c r="F6" s="91"/>
      <c r="XET6"/>
      <c r="XEU6"/>
      <c r="XEV6"/>
    </row>
    <row r="7" ht="48.95" customHeight="1" spans="2:6 16374:16376">
      <c r="B7" s="87" t="s">
        <v>3</v>
      </c>
      <c r="C7" s="88" t="s">
        <v>460</v>
      </c>
      <c r="D7" s="89"/>
      <c r="E7" s="90" t="s">
        <v>461</v>
      </c>
      <c r="F7" s="91"/>
      <c r="XET7"/>
      <c r="XEU7"/>
      <c r="XEV7"/>
    </row>
    <row r="8" ht="60" customHeight="1" spans="2:6 16374:16376">
      <c r="B8" s="87" t="s">
        <v>4</v>
      </c>
      <c r="C8" s="88" t="s">
        <v>462</v>
      </c>
      <c r="D8" s="89"/>
      <c r="E8" s="90" t="s">
        <v>463</v>
      </c>
      <c r="F8" s="91"/>
      <c r="XET8"/>
      <c r="XEU8"/>
      <c r="XEV8"/>
    </row>
    <row r="9" ht="50.1" customHeight="1" spans="2:6 16374:16376">
      <c r="B9" s="87" t="s">
        <v>5</v>
      </c>
      <c r="C9" s="88" t="s">
        <v>464</v>
      </c>
      <c r="D9" s="89"/>
      <c r="E9" s="90" t="s">
        <v>465</v>
      </c>
      <c r="F9" s="91"/>
      <c r="XET9"/>
      <c r="XEU9"/>
      <c r="XEV9"/>
    </row>
    <row r="10" ht="32.1" customHeight="1" spans="2:6 16374:16376">
      <c r="B10" s="87" t="s">
        <v>123</v>
      </c>
      <c r="C10" s="88" t="s">
        <v>466</v>
      </c>
      <c r="D10" s="89"/>
      <c r="E10" s="90" t="s">
        <v>467</v>
      </c>
      <c r="F10" s="91"/>
      <c r="XET10"/>
      <c r="XEU10"/>
      <c r="XEV10"/>
    </row>
    <row r="11" ht="27" customHeight="1" spans="2:6 16374:16376">
      <c r="B11" s="82" t="s">
        <v>468</v>
      </c>
      <c r="C11" s="82"/>
      <c r="D11" s="82"/>
      <c r="E11" s="82"/>
      <c r="F11" s="82"/>
    </row>
    <row r="12" ht="21" customHeight="1" spans="2:6 16374:16376">
      <c r="B12" s="92" t="s">
        <v>469</v>
      </c>
      <c r="C12" s="7" t="s">
        <v>470</v>
      </c>
      <c r="D12" s="7" t="s">
        <v>471</v>
      </c>
      <c r="E12" s="7"/>
      <c r="F12" s="7"/>
    </row>
    <row r="13" s="77" customFormat="1" ht="32.1" customHeight="1" spans="2:6 16374:16376">
      <c r="B13" s="92"/>
      <c r="C13" s="93" t="s">
        <v>472</v>
      </c>
      <c r="D13" s="94" t="s">
        <v>473</v>
      </c>
      <c r="E13" s="94"/>
      <c r="F13" s="94"/>
    </row>
    <row r="14" s="77" customFormat="1" ht="32.1" customHeight="1" spans="2:6 16374:16376">
      <c r="B14" s="92"/>
      <c r="C14" s="93" t="s">
        <v>474</v>
      </c>
      <c r="D14" s="94" t="s">
        <v>475</v>
      </c>
      <c r="E14" s="94"/>
      <c r="F14" s="94"/>
    </row>
    <row r="15" s="77" customFormat="1" ht="32.1" customHeight="1" spans="2:6 16374:16376">
      <c r="B15" s="92"/>
      <c r="C15" s="93" t="s">
        <v>476</v>
      </c>
      <c r="D15" s="94" t="s">
        <v>477</v>
      </c>
      <c r="E15" s="94"/>
      <c r="F15" s="94"/>
    </row>
    <row r="16" ht="23.1" customHeight="1" spans="2:6 16374:16376">
      <c r="B16" s="95" t="s">
        <v>478</v>
      </c>
      <c r="C16" s="7" t="s">
        <v>479</v>
      </c>
      <c r="D16" s="7" t="s">
        <v>471</v>
      </c>
      <c r="E16" s="7"/>
      <c r="F16" s="7"/>
    </row>
    <row r="17" ht="66" customHeight="1" spans="2:6">
      <c r="B17" s="95"/>
      <c r="C17" s="93" t="s">
        <v>480</v>
      </c>
      <c r="D17" s="96" t="s">
        <v>481</v>
      </c>
      <c r="E17" s="96"/>
      <c r="F17" s="96"/>
    </row>
    <row r="18" ht="126" customHeight="1" spans="2:6">
      <c r="B18" s="95"/>
      <c r="C18" s="87" t="s">
        <v>482</v>
      </c>
      <c r="D18" s="96" t="s">
        <v>483</v>
      </c>
      <c r="E18" s="96"/>
      <c r="F18" s="96"/>
    </row>
    <row r="19" ht="105.95" customHeight="1" spans="2:6">
      <c r="B19" s="95"/>
      <c r="C19" s="87" t="s">
        <v>484</v>
      </c>
      <c r="D19" s="96" t="s">
        <v>485</v>
      </c>
      <c r="E19" s="96"/>
      <c r="F19" s="96"/>
    </row>
    <row r="20" ht="180" customHeight="1" spans="2:6">
      <c r="B20" s="97" t="s">
        <v>486</v>
      </c>
      <c r="C20" s="98"/>
      <c r="D20" s="98"/>
      <c r="E20" s="98"/>
      <c r="F20" s="98"/>
    </row>
  </sheetData>
  <mergeCells count="28">
    <mergeCell ref="B1:C1"/>
    <mergeCell ref="B2:C2"/>
    <mergeCell ref="B3:F3"/>
    <mergeCell ref="B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B11:F11"/>
    <mergeCell ref="D12:F12"/>
    <mergeCell ref="D13:F13"/>
    <mergeCell ref="D14:F14"/>
    <mergeCell ref="D15:F15"/>
    <mergeCell ref="D16:F16"/>
    <mergeCell ref="D17:F17"/>
    <mergeCell ref="D18:F18"/>
    <mergeCell ref="D19:F19"/>
    <mergeCell ref="B20:F20"/>
    <mergeCell ref="B12:B15"/>
    <mergeCell ref="B16:B19"/>
  </mergeCells>
  <hyperlinks>
    <hyperlink ref="B2:C2" location="'①【国内】研究资源成本估算 (v1.0)'!A1" display="  点击返回【国内资源成本估算表】"/>
    <hyperlink ref="B1:C1" location="'【注】使用说明&amp;目录'!A1" display="点击返回【使用说明&amp;目录】"/>
  </hyperlink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D31"/>
  <sheetViews>
    <sheetView showGridLines="0" topLeftCell="A7" workbookViewId="0">
      <selection activeCell="G36" sqref="G36"/>
    </sheetView>
  </sheetViews>
  <sheetFormatPr defaultColWidth="9" defaultRowHeight="16.5"/>
  <cols>
    <col min="1" max="1" width="6.75" style="1" customWidth="1"/>
    <col min="2" max="2" width="16.875" style="1" customWidth="1"/>
    <col min="3" max="6" width="22.5" style="1" customWidth="1"/>
    <col min="7" max="7" width="14.375" style="1" customWidth="1"/>
    <col min="8" max="8" width="16.875" style="1" customWidth="1"/>
    <col min="9" max="9" width="22.5" style="1" customWidth="1"/>
    <col min="10" max="10" width="52.75" style="1" customWidth="1"/>
    <col min="11" max="16384" width="9" style="1"/>
  </cols>
  <sheetData>
    <row r="1" ht="30" customHeight="1" spans="2:10 16378:16384">
      <c r="B1" s="3" t="s">
        <v>142</v>
      </c>
      <c r="C1" s="3"/>
      <c r="D1" s="37"/>
      <c r="XEX1"/>
      <c r="XEY1"/>
      <c r="XEZ1"/>
      <c r="XFA1"/>
      <c r="XFB1"/>
      <c r="XFC1"/>
      <c r="XFD1"/>
    </row>
    <row r="2" ht="36.95" customHeight="1" spans="2:10 16378:16384">
      <c r="B2" s="3" t="s">
        <v>453</v>
      </c>
      <c r="C2" s="3"/>
      <c r="D2" s="37"/>
      <c r="XEX2"/>
      <c r="XEY2"/>
      <c r="XEZ2"/>
      <c r="XFA2"/>
      <c r="XFB2"/>
      <c r="XFC2"/>
      <c r="XFD2"/>
    </row>
    <row r="3" ht="32.1" customHeight="1" spans="2:10 16378:16384">
      <c r="B3" s="61" t="s">
        <v>487</v>
      </c>
      <c r="C3" s="61"/>
      <c r="D3" s="61"/>
      <c r="E3" s="61"/>
      <c r="F3" s="61"/>
      <c r="H3" s="61" t="s">
        <v>488</v>
      </c>
      <c r="I3" s="61"/>
      <c r="J3" s="61"/>
    </row>
    <row r="4" ht="32.1" customHeight="1" spans="2:10 16378:16384">
      <c r="B4" s="62" t="s">
        <v>489</v>
      </c>
      <c r="C4" s="62"/>
      <c r="D4" s="62"/>
      <c r="E4" s="62"/>
      <c r="F4" s="62"/>
      <c r="H4" s="62" t="s">
        <v>489</v>
      </c>
      <c r="I4" s="62"/>
      <c r="J4" s="62"/>
    </row>
    <row r="5" ht="32.1" customHeight="1" spans="2:10 16378:16384">
      <c r="B5" s="63" t="s">
        <v>151</v>
      </c>
      <c r="C5" s="63" t="s">
        <v>490</v>
      </c>
      <c r="D5" s="63"/>
      <c r="E5" s="63" t="s">
        <v>457</v>
      </c>
      <c r="F5" s="63"/>
      <c r="H5" s="63" t="s">
        <v>151</v>
      </c>
      <c r="I5" s="63" t="s">
        <v>491</v>
      </c>
      <c r="J5" s="63" t="s">
        <v>492</v>
      </c>
    </row>
    <row r="6" ht="74.1" customHeight="1" spans="2:10 16378:16384">
      <c r="B6" s="64" t="s">
        <v>1</v>
      </c>
      <c r="C6" s="65" t="s">
        <v>493</v>
      </c>
      <c r="D6" s="65"/>
      <c r="E6" s="66" t="s">
        <v>494</v>
      </c>
      <c r="F6" s="66"/>
      <c r="H6" s="64" t="s">
        <v>1</v>
      </c>
      <c r="I6" s="67" t="s">
        <v>495</v>
      </c>
      <c r="J6" s="66" t="s">
        <v>496</v>
      </c>
    </row>
    <row r="7" ht="74.1" customHeight="1" spans="2:10 16378:16384">
      <c r="B7" s="64" t="s">
        <v>3</v>
      </c>
      <c r="C7" s="65" t="s">
        <v>497</v>
      </c>
      <c r="D7" s="65"/>
      <c r="E7" s="66" t="s">
        <v>498</v>
      </c>
      <c r="F7" s="66"/>
      <c r="H7" s="64" t="s">
        <v>3</v>
      </c>
      <c r="I7" s="67" t="s">
        <v>499</v>
      </c>
      <c r="J7" s="66"/>
    </row>
    <row r="8" ht="74.1" customHeight="1" spans="2:10 16378:16384">
      <c r="B8" s="64" t="s">
        <v>4</v>
      </c>
      <c r="C8" s="65" t="s">
        <v>500</v>
      </c>
      <c r="D8" s="65"/>
      <c r="E8" s="66" t="s">
        <v>501</v>
      </c>
      <c r="F8" s="66"/>
      <c r="H8" s="64" t="s">
        <v>4</v>
      </c>
      <c r="I8" s="65" t="s">
        <v>502</v>
      </c>
      <c r="J8" s="66"/>
    </row>
    <row r="9" ht="74.1" customHeight="1" spans="2:10 16378:16384">
      <c r="B9" s="64" t="s">
        <v>5</v>
      </c>
      <c r="C9" s="65" t="s">
        <v>503</v>
      </c>
      <c r="D9" s="65"/>
      <c r="E9" s="66" t="s">
        <v>504</v>
      </c>
      <c r="F9" s="66"/>
      <c r="H9" s="64" t="s">
        <v>5</v>
      </c>
      <c r="I9" s="65" t="s">
        <v>505</v>
      </c>
      <c r="J9" s="66"/>
    </row>
    <row r="10" ht="27" customHeight="1" spans="2:10 16378:16384">
      <c r="B10" s="63" t="s">
        <v>468</v>
      </c>
      <c r="C10" s="63"/>
      <c r="D10" s="63"/>
      <c r="E10" s="63"/>
      <c r="F10" s="63"/>
    </row>
    <row r="11" ht="21" customHeight="1" spans="2:10 16378:16384">
      <c r="B11" s="68" t="s">
        <v>469</v>
      </c>
      <c r="C11" s="69" t="s">
        <v>506</v>
      </c>
      <c r="D11" s="69" t="s">
        <v>471</v>
      </c>
      <c r="E11" s="69"/>
      <c r="F11" s="69"/>
    </row>
    <row r="12" ht="36" customHeight="1" spans="2:10 16378:16384">
      <c r="B12" s="70"/>
      <c r="C12" s="71" t="s">
        <v>472</v>
      </c>
      <c r="D12" s="72" t="s">
        <v>507</v>
      </c>
      <c r="E12" s="72"/>
      <c r="F12" s="72"/>
    </row>
    <row r="13" ht="36" customHeight="1" spans="2:10 16378:16384">
      <c r="B13" s="70"/>
      <c r="C13" s="71" t="s">
        <v>474</v>
      </c>
      <c r="D13" s="72" t="s">
        <v>508</v>
      </c>
      <c r="E13" s="72"/>
      <c r="F13" s="72"/>
    </row>
    <row r="14" ht="36" customHeight="1" spans="2:10 16378:16384">
      <c r="B14" s="70"/>
      <c r="C14" s="71" t="s">
        <v>509</v>
      </c>
      <c r="D14" s="72" t="s">
        <v>475</v>
      </c>
      <c r="E14" s="72"/>
      <c r="F14" s="72"/>
    </row>
    <row r="15" ht="36" customHeight="1" spans="2:10 16378:16384">
      <c r="B15" s="70"/>
      <c r="C15" s="71" t="s">
        <v>476</v>
      </c>
      <c r="D15" s="72" t="s">
        <v>477</v>
      </c>
      <c r="E15" s="72"/>
      <c r="F15" s="72"/>
    </row>
    <row r="16" ht="21" customHeight="1" spans="2:10 16378:16384">
      <c r="B16" s="73" t="s">
        <v>478</v>
      </c>
      <c r="C16" s="69" t="s">
        <v>479</v>
      </c>
      <c r="D16" s="69" t="s">
        <v>471</v>
      </c>
      <c r="E16" s="69"/>
      <c r="F16" s="69"/>
    </row>
    <row r="17" ht="30" customHeight="1" spans="2:10">
      <c r="B17" s="73"/>
      <c r="C17" s="74" t="s">
        <v>510</v>
      </c>
      <c r="D17" s="72" t="s">
        <v>511</v>
      </c>
      <c r="E17" s="75"/>
      <c r="F17" s="75"/>
    </row>
    <row r="18" ht="30" customHeight="1" spans="2:10">
      <c r="B18" s="73"/>
      <c r="C18" s="76" t="s">
        <v>512</v>
      </c>
      <c r="D18" s="72" t="s">
        <v>513</v>
      </c>
      <c r="E18" s="75"/>
      <c r="F18" s="75"/>
    </row>
    <row r="19" ht="30" customHeight="1" spans="2:10">
      <c r="B19" s="73"/>
      <c r="C19" s="76" t="s">
        <v>514</v>
      </c>
      <c r="D19" s="72" t="s">
        <v>515</v>
      </c>
      <c r="E19" s="75"/>
      <c r="F19" s="75"/>
    </row>
    <row r="20" ht="21" customHeight="1"/>
    <row r="21" ht="21" customHeight="1"/>
    <row r="22" ht="32.1" customHeight="1"/>
    <row r="23" ht="26.1" customHeight="1"/>
    <row r="24" s="60" customFormat="1" ht="33" customHeight="1" spans="2:10">
      <c r="B24" s="1"/>
      <c r="C24" s="1"/>
      <c r="F24" s="1"/>
      <c r="H24" s="1"/>
      <c r="I24" s="1"/>
      <c r="J24" s="1"/>
    </row>
    <row r="25" s="60" customFormat="1" ht="33" customHeight="1" spans="2:10">
      <c r="B25" s="1"/>
      <c r="C25" s="1"/>
      <c r="F25" s="1"/>
      <c r="H25" s="1"/>
      <c r="I25" s="1"/>
      <c r="J25" s="1"/>
    </row>
    <row r="26" s="60" customFormat="1" ht="33" customHeight="1" spans="2:10">
      <c r="B26" s="1"/>
      <c r="C26" s="1"/>
      <c r="F26" s="1"/>
      <c r="H26" s="1"/>
      <c r="I26" s="1"/>
      <c r="J26" s="1"/>
    </row>
    <row r="27" s="60" customFormat="1" ht="33" customHeight="1" spans="2:10">
      <c r="B27" s="1"/>
      <c r="C27" s="1"/>
      <c r="F27" s="1"/>
      <c r="H27" s="1"/>
      <c r="I27" s="1"/>
      <c r="J27" s="1"/>
    </row>
    <row r="28" ht="26.1" customHeight="1"/>
    <row r="29" ht="26.1" customHeight="1"/>
    <row r="30" ht="26.1" customHeight="1"/>
    <row r="31" ht="26.1" customHeight="1"/>
  </sheetData>
  <mergeCells count="29">
    <mergeCell ref="B1:C1"/>
    <mergeCell ref="B2:C2"/>
    <mergeCell ref="B3:F3"/>
    <mergeCell ref="H3:J3"/>
    <mergeCell ref="B4:F4"/>
    <mergeCell ref="H4:J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B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B11:B15"/>
    <mergeCell ref="B16:B19"/>
    <mergeCell ref="J6:J9"/>
  </mergeCells>
  <hyperlinks>
    <hyperlink ref="B2:C2" location="'①【国内】研究资源成本估算 (v1.0)'!A1" display="  点击返回【国内资源成本估算表】"/>
    <hyperlink ref="B1:C1" location="'【注】使用说明&amp;目录'!A1" display="点击返回【使用说明&amp;目录】"/>
  </hyperlink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2"/>
  <sheetViews>
    <sheetView showGridLines="0" workbookViewId="0">
      <selection activeCell="G36" sqref="G36"/>
    </sheetView>
  </sheetViews>
  <sheetFormatPr defaultColWidth="9" defaultRowHeight="16.5" outlineLevelCol="6"/>
  <cols>
    <col min="1" max="1" width="8.75" style="1" customWidth="1"/>
    <col min="2" max="2" width="12.25" style="1" customWidth="1"/>
    <col min="3" max="3" width="16.5" style="1" customWidth="1"/>
    <col min="4" max="6" width="27.875" style="1" customWidth="1"/>
    <col min="7" max="7" width="33" style="1" customWidth="1"/>
    <col min="8" max="16377" width="9" style="1"/>
  </cols>
  <sheetData>
    <row r="1" ht="30" customHeight="1" spans="2:7">
      <c r="B1" s="3" t="s">
        <v>142</v>
      </c>
      <c r="C1" s="3"/>
      <c r="D1" s="37"/>
    </row>
    <row r="2" ht="36.95" customHeight="1" spans="2:7">
      <c r="B2" s="3" t="s">
        <v>453</v>
      </c>
      <c r="C2" s="3"/>
      <c r="D2" s="37"/>
    </row>
    <row r="3" ht="33.95" customHeight="1" spans="2:7">
      <c r="B3" s="38" t="s">
        <v>516</v>
      </c>
      <c r="C3" s="38"/>
      <c r="D3" s="38"/>
      <c r="E3" s="38"/>
      <c r="F3" s="38"/>
      <c r="G3" s="38"/>
    </row>
    <row r="4" ht="51.95" customHeight="1" spans="2:7">
      <c r="B4" s="39" t="s">
        <v>517</v>
      </c>
      <c r="C4" s="40"/>
      <c r="D4" s="40"/>
      <c r="E4" s="40"/>
      <c r="F4" s="40"/>
      <c r="G4" s="40"/>
    </row>
    <row r="5" ht="27" customHeight="1" spans="2:7">
      <c r="B5" s="41" t="s">
        <v>151</v>
      </c>
      <c r="C5" s="42" t="s">
        <v>518</v>
      </c>
      <c r="D5" s="42"/>
      <c r="E5" s="42"/>
      <c r="F5" s="42"/>
      <c r="G5" s="42" t="s">
        <v>490</v>
      </c>
    </row>
    <row r="6" ht="53.1" customHeight="1" spans="2:7">
      <c r="B6" s="43" t="s">
        <v>1</v>
      </c>
      <c r="C6" s="44" t="s">
        <v>519</v>
      </c>
      <c r="D6" s="45"/>
      <c r="E6" s="45"/>
      <c r="F6" s="46"/>
      <c r="G6" s="47" t="s">
        <v>520</v>
      </c>
    </row>
    <row r="7" ht="62.1" customHeight="1" spans="2:7">
      <c r="B7" s="43" t="s">
        <v>3</v>
      </c>
      <c r="C7" s="44" t="s">
        <v>521</v>
      </c>
      <c r="D7" s="45"/>
      <c r="E7" s="45"/>
      <c r="F7" s="46"/>
      <c r="G7" s="48" t="s">
        <v>522</v>
      </c>
    </row>
    <row r="8" ht="69" customHeight="1" spans="2:7">
      <c r="B8" s="43" t="s">
        <v>4</v>
      </c>
      <c r="C8" s="44" t="s">
        <v>523</v>
      </c>
      <c r="D8" s="45"/>
      <c r="E8" s="45"/>
      <c r="F8" s="46"/>
      <c r="G8" s="48" t="s">
        <v>524</v>
      </c>
    </row>
    <row r="9" ht="54" customHeight="1" spans="2:7">
      <c r="B9" s="43" t="s">
        <v>5</v>
      </c>
      <c r="C9" s="44" t="s">
        <v>525</v>
      </c>
      <c r="D9" s="45"/>
      <c r="E9" s="45"/>
      <c r="F9" s="46"/>
      <c r="G9" s="48" t="s">
        <v>526</v>
      </c>
    </row>
    <row r="10" ht="50.1" customHeight="1" spans="2:7">
      <c r="B10" s="43" t="s">
        <v>123</v>
      </c>
      <c r="C10" s="44" t="s">
        <v>527</v>
      </c>
      <c r="D10" s="45"/>
      <c r="E10" s="45"/>
      <c r="F10" s="46"/>
      <c r="G10" s="48" t="s">
        <v>528</v>
      </c>
    </row>
    <row r="11" ht="38.1" customHeight="1" spans="2:7">
      <c r="B11" s="43" t="s">
        <v>124</v>
      </c>
      <c r="C11" s="49" t="s">
        <v>529</v>
      </c>
      <c r="D11" s="45"/>
      <c r="E11" s="45"/>
      <c r="F11" s="46"/>
      <c r="G11" s="47" t="s">
        <v>530</v>
      </c>
    </row>
    <row r="12" ht="27" customHeight="1" spans="2:7">
      <c r="B12" s="42" t="s">
        <v>531</v>
      </c>
      <c r="C12" s="42"/>
      <c r="D12" s="42"/>
      <c r="E12" s="42"/>
      <c r="F12" s="42"/>
      <c r="G12" s="42"/>
    </row>
    <row r="13" ht="27" customHeight="1" spans="2:7">
      <c r="B13" s="50" t="s">
        <v>151</v>
      </c>
      <c r="C13" s="50"/>
      <c r="D13" s="50" t="s">
        <v>532</v>
      </c>
      <c r="E13" s="50" t="s">
        <v>533</v>
      </c>
      <c r="F13" s="50" t="s">
        <v>492</v>
      </c>
      <c r="G13" s="50"/>
    </row>
    <row r="14" ht="27" customHeight="1" spans="2:7">
      <c r="B14" s="51" t="s">
        <v>1</v>
      </c>
      <c r="C14" s="51"/>
      <c r="D14" s="47" t="s">
        <v>534</v>
      </c>
      <c r="E14" s="47" t="s">
        <v>535</v>
      </c>
      <c r="F14" s="52" t="s">
        <v>536</v>
      </c>
      <c r="G14" s="52"/>
    </row>
    <row r="15" ht="27" customHeight="1" spans="2:7">
      <c r="B15" s="51" t="s">
        <v>3</v>
      </c>
      <c r="C15" s="51"/>
      <c r="D15" s="47" t="s">
        <v>534</v>
      </c>
      <c r="E15" s="47" t="s">
        <v>537</v>
      </c>
      <c r="F15" s="52"/>
      <c r="G15" s="52"/>
    </row>
    <row r="16" ht="27" customHeight="1" spans="2:7">
      <c r="B16" s="51"/>
      <c r="C16" s="51"/>
      <c r="D16" s="47" t="s">
        <v>538</v>
      </c>
      <c r="E16" s="47" t="s">
        <v>535</v>
      </c>
      <c r="F16" s="52"/>
      <c r="G16" s="52"/>
    </row>
    <row r="17" ht="27" customHeight="1" spans="2:7">
      <c r="B17" s="51" t="s">
        <v>4</v>
      </c>
      <c r="C17" s="51"/>
      <c r="D17" s="47" t="s">
        <v>534</v>
      </c>
      <c r="E17" s="47" t="s">
        <v>539</v>
      </c>
      <c r="F17" s="52"/>
      <c r="G17" s="52"/>
    </row>
    <row r="18" ht="27" customHeight="1" spans="2:7">
      <c r="B18" s="51"/>
      <c r="C18" s="51"/>
      <c r="D18" s="47" t="s">
        <v>538</v>
      </c>
      <c r="E18" s="47" t="s">
        <v>537</v>
      </c>
      <c r="F18" s="52"/>
      <c r="G18" s="52"/>
    </row>
    <row r="19" ht="27" customHeight="1" spans="2:7">
      <c r="B19" s="51"/>
      <c r="C19" s="51"/>
      <c r="D19" s="47" t="s">
        <v>540</v>
      </c>
      <c r="E19" s="47" t="s">
        <v>535</v>
      </c>
      <c r="F19" s="52"/>
      <c r="G19" s="52"/>
    </row>
    <row r="20" ht="27" customHeight="1" spans="2:7">
      <c r="B20" s="51" t="s">
        <v>5</v>
      </c>
      <c r="C20" s="51"/>
      <c r="D20" s="47" t="s">
        <v>538</v>
      </c>
      <c r="E20" s="47" t="s">
        <v>539</v>
      </c>
      <c r="F20" s="52"/>
      <c r="G20" s="52"/>
    </row>
    <row r="21" ht="27" customHeight="1" spans="2:7">
      <c r="B21" s="51"/>
      <c r="C21" s="51"/>
      <c r="D21" s="47" t="s">
        <v>540</v>
      </c>
      <c r="E21" s="47" t="s">
        <v>537</v>
      </c>
      <c r="F21" s="52"/>
      <c r="G21" s="52"/>
    </row>
    <row r="22" ht="27" customHeight="1" spans="2:7">
      <c r="B22" s="51" t="s">
        <v>123</v>
      </c>
      <c r="C22" s="51"/>
      <c r="D22" s="47" t="s">
        <v>540</v>
      </c>
      <c r="E22" s="47" t="s">
        <v>539</v>
      </c>
      <c r="F22" s="52"/>
      <c r="G22" s="52"/>
    </row>
    <row r="23" ht="27.95" customHeight="1" spans="2:7">
      <c r="B23" s="42" t="s">
        <v>468</v>
      </c>
      <c r="C23" s="42"/>
      <c r="D23" s="42"/>
      <c r="E23" s="42"/>
      <c r="F23" s="42"/>
      <c r="G23" s="42"/>
    </row>
    <row r="24" ht="39.95" customHeight="1" spans="2:7">
      <c r="B24" s="53" t="s">
        <v>532</v>
      </c>
      <c r="C24" s="54" t="s">
        <v>534</v>
      </c>
      <c r="D24" s="55" t="s">
        <v>541</v>
      </c>
      <c r="E24" s="55"/>
      <c r="F24" s="55"/>
      <c r="G24" s="55"/>
    </row>
    <row r="25" ht="39.95" customHeight="1" spans="2:7">
      <c r="B25" s="53"/>
      <c r="C25" s="54" t="s">
        <v>538</v>
      </c>
      <c r="D25" s="55" t="s">
        <v>542</v>
      </c>
      <c r="E25" s="55"/>
      <c r="F25" s="55"/>
      <c r="G25" s="55"/>
    </row>
    <row r="26" ht="39.95" customHeight="1" spans="2:7">
      <c r="B26" s="53"/>
      <c r="C26" s="54" t="s">
        <v>540</v>
      </c>
      <c r="D26" s="55" t="s">
        <v>543</v>
      </c>
      <c r="E26" s="55"/>
      <c r="F26" s="55"/>
      <c r="G26" s="55"/>
    </row>
    <row r="27" ht="39.95" customHeight="1" spans="2:7">
      <c r="B27" s="56" t="s">
        <v>533</v>
      </c>
      <c r="C27" s="54" t="s">
        <v>535</v>
      </c>
      <c r="D27" s="55" t="s">
        <v>544</v>
      </c>
      <c r="E27" s="55"/>
      <c r="F27" s="55"/>
      <c r="G27" s="55"/>
    </row>
    <row r="28" ht="39.95" customHeight="1" spans="2:7">
      <c r="B28" s="56"/>
      <c r="C28" s="54" t="s">
        <v>537</v>
      </c>
      <c r="D28" s="55" t="s">
        <v>545</v>
      </c>
      <c r="E28" s="55"/>
      <c r="F28" s="55"/>
      <c r="G28" s="55"/>
    </row>
    <row r="29" ht="39.95" customHeight="1" spans="2:7">
      <c r="B29" s="56"/>
      <c r="C29" s="54" t="s">
        <v>539</v>
      </c>
      <c r="D29" s="55" t="s">
        <v>546</v>
      </c>
      <c r="E29" s="55"/>
      <c r="F29" s="55"/>
      <c r="G29" s="55"/>
    </row>
    <row r="30" ht="39.95" customHeight="1" spans="2:7">
      <c r="B30" s="57" t="s">
        <v>547</v>
      </c>
      <c r="C30" s="54" t="s">
        <v>548</v>
      </c>
      <c r="D30" s="55" t="s">
        <v>549</v>
      </c>
      <c r="E30" s="55"/>
      <c r="F30" s="55"/>
      <c r="G30" s="55"/>
    </row>
    <row r="31" ht="39.95" customHeight="1" spans="2:7">
      <c r="B31" s="57"/>
      <c r="C31" s="54" t="s">
        <v>550</v>
      </c>
      <c r="D31" s="55" t="s">
        <v>551</v>
      </c>
      <c r="E31" s="55"/>
      <c r="F31" s="55"/>
      <c r="G31" s="55"/>
    </row>
    <row r="35" spans="7:7">
      <c r="G35" s="58"/>
    </row>
    <row r="50" spans="4:6">
      <c r="D50" s="59"/>
    </row>
    <row r="51" spans="4:6">
      <c r="D51" s="58"/>
    </row>
    <row r="52" spans="4:6">
      <c r="D52" s="58"/>
      <c r="E52" s="58"/>
      <c r="F52" s="58"/>
    </row>
    <row r="53" spans="4:6">
      <c r="D53" s="58"/>
      <c r="E53" s="58"/>
      <c r="F53" s="58"/>
    </row>
    <row r="54" spans="4:6">
      <c r="E54" s="58"/>
      <c r="F54" s="58"/>
    </row>
    <row r="55" spans="4:6">
      <c r="D55" s="59"/>
      <c r="E55" s="58"/>
      <c r="F55" s="58"/>
    </row>
    <row r="56" spans="4:6">
      <c r="D56" s="58"/>
      <c r="E56" s="58"/>
      <c r="F56" s="58"/>
    </row>
    <row r="57" spans="4:6">
      <c r="D57" s="58"/>
      <c r="E57" s="58"/>
      <c r="F57" s="58"/>
    </row>
    <row r="58" spans="4:6">
      <c r="D58" s="58"/>
    </row>
    <row r="60" spans="4:6">
      <c r="D60" s="59"/>
    </row>
    <row r="61" spans="4:6">
      <c r="D61" s="58"/>
    </row>
    <row r="62" spans="4:6">
      <c r="D62" s="58"/>
    </row>
  </sheetData>
  <sheetProtection password="B841" sheet="1" objects="1"/>
  <mergeCells count="32">
    <mergeCell ref="B1:C1"/>
    <mergeCell ref="B2:C2"/>
    <mergeCell ref="B3:G3"/>
    <mergeCell ref="B4:G4"/>
    <mergeCell ref="C5:F5"/>
    <mergeCell ref="C6:F6"/>
    <mergeCell ref="C7:F7"/>
    <mergeCell ref="C8:F8"/>
    <mergeCell ref="C9:F9"/>
    <mergeCell ref="C10:F10"/>
    <mergeCell ref="C11:F11"/>
    <mergeCell ref="B12:G12"/>
    <mergeCell ref="B13:C13"/>
    <mergeCell ref="F13:G13"/>
    <mergeCell ref="B14:C14"/>
    <mergeCell ref="B22:C22"/>
    <mergeCell ref="B23:G23"/>
    <mergeCell ref="D24:G24"/>
    <mergeCell ref="D25:G25"/>
    <mergeCell ref="D26:G26"/>
    <mergeCell ref="D27:G27"/>
    <mergeCell ref="D28:G28"/>
    <mergeCell ref="D29:G29"/>
    <mergeCell ref="D30:G30"/>
    <mergeCell ref="D31:G31"/>
    <mergeCell ref="B24:B26"/>
    <mergeCell ref="B27:B29"/>
    <mergeCell ref="B30:B31"/>
    <mergeCell ref="F14:G22"/>
    <mergeCell ref="B15:C16"/>
    <mergeCell ref="B17:C19"/>
    <mergeCell ref="B20:C21"/>
  </mergeCells>
  <hyperlinks>
    <hyperlink ref="B2:C2" location="'①【国内】研究资源成本估算 (v1.0)'!A1" display="  点击返回【国内资源成本估算表】"/>
    <hyperlink ref="B1:C1" location="'【注】使用说明&amp;目录'!A1" display="点击返回【使用说明&amp;目录】"/>
  </hyperlink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39"/>
  <sheetViews>
    <sheetView showGridLines="0" topLeftCell="A14" workbookViewId="0">
      <selection activeCell="G36" sqref="G36:G37"/>
    </sheetView>
  </sheetViews>
  <sheetFormatPr defaultColWidth="9" defaultRowHeight="16.5"/>
  <cols>
    <col min="1" max="1" width="7" customWidth="1"/>
    <col min="2" max="2" width="14.625" style="1" customWidth="1"/>
    <col min="3" max="3" width="34.75" style="1" customWidth="1"/>
    <col min="4" max="5" width="15.125" style="1" customWidth="1"/>
    <col min="6" max="7" width="28.5" style="1" customWidth="1"/>
    <col min="8" max="8" width="10" customWidth="1"/>
    <col min="9" max="9" width="14.375" style="1" customWidth="1"/>
    <col min="10" max="15" width="10.75" style="1" customWidth="1"/>
    <col min="17" max="17" width="13.125" customWidth="1"/>
    <col min="20" max="21" width="11" customWidth="1"/>
    <col min="22" max="23" width="12.125" customWidth="1"/>
    <col min="25" max="25" width="11.5" customWidth="1"/>
    <col min="26" max="27" width="20" style="2" customWidth="1"/>
  </cols>
  <sheetData>
    <row r="1" ht="26.1" customHeight="1" spans="2:27">
      <c r="B1" s="3" t="s">
        <v>142</v>
      </c>
      <c r="C1" s="3"/>
    </row>
    <row r="2" ht="26.1" customHeight="1" spans="2:27">
      <c r="B2" s="3" t="s">
        <v>453</v>
      </c>
      <c r="C2" s="3"/>
    </row>
    <row r="3" ht="26.1" customHeight="1" spans="2:27">
      <c r="B3" s="3" t="s">
        <v>552</v>
      </c>
      <c r="C3" s="3"/>
    </row>
    <row r="4" ht="36.95" customHeight="1" spans="2:27">
      <c r="B4" s="4" t="s">
        <v>553</v>
      </c>
      <c r="C4" s="4"/>
      <c r="D4" s="4"/>
      <c r="E4" s="4"/>
      <c r="F4" s="4"/>
      <c r="G4" s="4"/>
      <c r="I4" s="5" t="s">
        <v>554</v>
      </c>
      <c r="J4" s="6"/>
      <c r="K4" s="6"/>
      <c r="L4" s="6"/>
      <c r="M4" s="6"/>
      <c r="N4" s="6"/>
      <c r="O4" s="6"/>
      <c r="Q4" s="5" t="s">
        <v>555</v>
      </c>
      <c r="R4" s="5"/>
      <c r="S4" s="5"/>
      <c r="T4" s="5"/>
      <c r="U4" s="5"/>
      <c r="V4" s="5"/>
      <c r="W4" s="5"/>
      <c r="Y4" s="4" t="s">
        <v>556</v>
      </c>
      <c r="Z4" s="4"/>
      <c r="AA4" s="4"/>
    </row>
    <row r="5" ht="33.95" customHeight="1" spans="2:27">
      <c r="B5" s="7" t="s">
        <v>557</v>
      </c>
      <c r="C5" s="7" t="s">
        <v>149</v>
      </c>
      <c r="D5" s="8" t="s">
        <v>340</v>
      </c>
      <c r="E5" s="9"/>
      <c r="F5" s="7" t="s">
        <v>558</v>
      </c>
      <c r="G5" s="7" t="s">
        <v>559</v>
      </c>
      <c r="I5" s="7" t="s">
        <v>192</v>
      </c>
      <c r="J5" s="7" t="s">
        <v>1</v>
      </c>
      <c r="K5" s="7" t="s">
        <v>3</v>
      </c>
      <c r="L5" s="7" t="s">
        <v>4</v>
      </c>
      <c r="M5" s="7" t="s">
        <v>5</v>
      </c>
      <c r="N5" s="7" t="s">
        <v>123</v>
      </c>
      <c r="O5" s="7" t="s">
        <v>124</v>
      </c>
      <c r="Q5" s="7" t="s">
        <v>236</v>
      </c>
      <c r="R5" s="10" t="s">
        <v>237</v>
      </c>
      <c r="S5" s="7"/>
      <c r="T5" s="7" t="s">
        <v>560</v>
      </c>
      <c r="U5" s="7"/>
      <c r="V5" s="7" t="s">
        <v>561</v>
      </c>
      <c r="W5" s="7"/>
      <c r="Y5" s="7" t="s">
        <v>214</v>
      </c>
      <c r="Z5" s="10" t="s">
        <v>562</v>
      </c>
      <c r="AA5" s="10" t="s">
        <v>563</v>
      </c>
    </row>
    <row r="6" ht="23.1" customHeight="1" spans="2:27">
      <c r="B6" s="11" t="s">
        <v>87</v>
      </c>
      <c r="C6" s="12" t="s">
        <v>564</v>
      </c>
      <c r="D6" s="13" t="s">
        <v>565</v>
      </c>
      <c r="E6" s="14"/>
      <c r="F6" s="15" t="s">
        <v>566</v>
      </c>
      <c r="G6" s="15" t="s">
        <v>567</v>
      </c>
      <c r="I6" s="16" t="s">
        <v>568</v>
      </c>
      <c r="J6" s="16"/>
      <c r="K6" s="16"/>
      <c r="L6" s="16"/>
      <c r="M6" s="16"/>
      <c r="N6" s="16"/>
      <c r="O6" s="16"/>
      <c r="Q6" s="17" t="s">
        <v>242</v>
      </c>
      <c r="R6" s="18" t="s">
        <v>414</v>
      </c>
      <c r="S6" s="18"/>
      <c r="T6" s="18">
        <v>0</v>
      </c>
      <c r="U6" s="18"/>
      <c r="V6" s="18">
        <v>16</v>
      </c>
      <c r="W6" s="18"/>
      <c r="Y6" s="19" t="s">
        <v>222</v>
      </c>
      <c r="Z6" s="19">
        <v>300</v>
      </c>
      <c r="AA6" s="19">
        <v>400</v>
      </c>
    </row>
    <row r="7" ht="23.1" customHeight="1" spans="2:27">
      <c r="B7" s="20"/>
      <c r="C7" s="21"/>
      <c r="D7" s="22"/>
      <c r="E7" s="23"/>
      <c r="F7" s="24"/>
      <c r="G7" s="24"/>
      <c r="I7" s="18" t="s">
        <v>199</v>
      </c>
      <c r="J7" s="18">
        <v>2</v>
      </c>
      <c r="K7" s="18">
        <v>3</v>
      </c>
      <c r="L7" s="18">
        <v>5</v>
      </c>
      <c r="M7" s="18">
        <v>7</v>
      </c>
      <c r="N7" s="18">
        <v>10</v>
      </c>
      <c r="O7" s="18">
        <v>12</v>
      </c>
      <c r="Q7" s="17"/>
      <c r="R7" s="18" t="s">
        <v>416</v>
      </c>
      <c r="S7" s="18"/>
      <c r="T7" s="18">
        <v>0</v>
      </c>
      <c r="U7" s="18"/>
      <c r="V7" s="18">
        <v>26</v>
      </c>
      <c r="W7" s="18"/>
      <c r="Y7" s="18" t="s">
        <v>226</v>
      </c>
      <c r="Z7" s="18">
        <v>600</v>
      </c>
      <c r="AA7" s="18">
        <v>800</v>
      </c>
    </row>
    <row r="8" ht="23.1" customHeight="1" spans="2:27">
      <c r="B8" s="20"/>
      <c r="C8" s="21"/>
      <c r="D8" s="13" t="s">
        <v>569</v>
      </c>
      <c r="E8" s="14"/>
      <c r="F8" s="15" t="s">
        <v>570</v>
      </c>
      <c r="G8" s="15" t="s">
        <v>571</v>
      </c>
      <c r="I8" s="18" t="s">
        <v>203</v>
      </c>
      <c r="J8" s="18">
        <v>3</v>
      </c>
      <c r="K8" s="18">
        <v>4</v>
      </c>
      <c r="L8" s="18">
        <v>6</v>
      </c>
      <c r="M8" s="18">
        <v>8.5</v>
      </c>
      <c r="N8" s="18">
        <v>12</v>
      </c>
      <c r="O8" s="18">
        <v>14</v>
      </c>
      <c r="Q8" s="25" t="s">
        <v>247</v>
      </c>
      <c r="R8" s="18" t="s">
        <v>251</v>
      </c>
      <c r="S8" s="18"/>
      <c r="T8" s="18">
        <v>100</v>
      </c>
      <c r="U8" s="18"/>
      <c r="V8" s="18">
        <v>11</v>
      </c>
      <c r="W8" s="18"/>
      <c r="Y8" s="18" t="s">
        <v>299</v>
      </c>
      <c r="Z8" s="18">
        <v>800</v>
      </c>
      <c r="AA8" s="18">
        <v>1000</v>
      </c>
    </row>
    <row r="9" ht="23.1" customHeight="1" spans="2:27">
      <c r="B9" s="20"/>
      <c r="C9" s="21"/>
      <c r="D9" s="22"/>
      <c r="E9" s="23"/>
      <c r="F9" s="24"/>
      <c r="G9" s="24"/>
      <c r="I9" s="18" t="s">
        <v>335</v>
      </c>
      <c r="J9" s="18">
        <v>4</v>
      </c>
      <c r="K9" s="18">
        <v>5</v>
      </c>
      <c r="L9" s="18">
        <v>7</v>
      </c>
      <c r="M9" s="18">
        <v>10</v>
      </c>
      <c r="N9" s="18">
        <v>14</v>
      </c>
      <c r="O9" s="18">
        <v>16</v>
      </c>
      <c r="Q9" s="26"/>
      <c r="R9" s="18" t="s">
        <v>572</v>
      </c>
      <c r="S9" s="18"/>
      <c r="T9" s="18">
        <v>100</v>
      </c>
      <c r="U9" s="18"/>
      <c r="V9" s="18">
        <v>26</v>
      </c>
      <c r="W9" s="18"/>
      <c r="Y9" s="18" t="s">
        <v>573</v>
      </c>
      <c r="Z9" s="18">
        <v>600</v>
      </c>
      <c r="AA9" s="18">
        <v>800</v>
      </c>
    </row>
    <row r="10" ht="23.1" customHeight="1" spans="2:27">
      <c r="B10" s="20"/>
      <c r="C10" s="21"/>
      <c r="D10" s="13" t="s">
        <v>574</v>
      </c>
      <c r="E10" s="14"/>
      <c r="F10" s="15" t="s">
        <v>575</v>
      </c>
      <c r="G10" s="15" t="s">
        <v>576</v>
      </c>
      <c r="I10" s="18" t="s">
        <v>438</v>
      </c>
      <c r="J10" s="18">
        <v>5</v>
      </c>
      <c r="K10" s="18">
        <v>6</v>
      </c>
      <c r="L10" s="18">
        <v>8</v>
      </c>
      <c r="M10" s="18">
        <v>11.5</v>
      </c>
      <c r="N10" s="18">
        <v>16</v>
      </c>
      <c r="O10" s="18">
        <v>18</v>
      </c>
      <c r="Q10" s="27"/>
      <c r="R10" s="18" t="s">
        <v>248</v>
      </c>
      <c r="S10" s="18"/>
      <c r="T10" s="18">
        <v>100</v>
      </c>
      <c r="U10" s="18"/>
      <c r="V10" s="18">
        <v>36</v>
      </c>
      <c r="W10" s="18"/>
      <c r="Y10" s="18" t="s">
        <v>310</v>
      </c>
      <c r="Z10" s="18">
        <v>300</v>
      </c>
      <c r="AA10" s="18">
        <v>400</v>
      </c>
    </row>
    <row r="11" ht="23.1" customHeight="1" spans="2:27">
      <c r="B11" s="20"/>
      <c r="C11" s="21"/>
      <c r="D11" s="22"/>
      <c r="E11" s="23"/>
      <c r="F11" s="24"/>
      <c r="G11" s="24"/>
      <c r="I11" s="18" t="s">
        <v>439</v>
      </c>
      <c r="J11" s="18">
        <v>6</v>
      </c>
      <c r="K11" s="18">
        <v>7</v>
      </c>
      <c r="L11" s="18">
        <v>9</v>
      </c>
      <c r="M11" s="18">
        <v>13</v>
      </c>
      <c r="N11" s="18">
        <v>18</v>
      </c>
      <c r="O11" s="18">
        <v>20</v>
      </c>
      <c r="Q11" s="17" t="s">
        <v>250</v>
      </c>
      <c r="R11" s="18" t="s">
        <v>415</v>
      </c>
      <c r="S11" s="18"/>
      <c r="T11" s="18">
        <v>180</v>
      </c>
      <c r="U11" s="18"/>
      <c r="V11" s="18">
        <v>15</v>
      </c>
      <c r="W11" s="18"/>
    </row>
    <row r="12" ht="23.1" customHeight="1" spans="2:27">
      <c r="B12" s="20"/>
      <c r="C12" s="21"/>
      <c r="D12" s="15" t="s">
        <v>577</v>
      </c>
      <c r="E12" s="15" t="s">
        <v>578</v>
      </c>
      <c r="F12" s="28" t="s">
        <v>579</v>
      </c>
      <c r="G12" s="29" t="s">
        <v>580</v>
      </c>
      <c r="I12" s="18" t="s">
        <v>440</v>
      </c>
      <c r="J12" s="18">
        <v>7</v>
      </c>
      <c r="K12" s="18">
        <v>8</v>
      </c>
      <c r="L12" s="18">
        <v>10</v>
      </c>
      <c r="M12" s="18">
        <v>14.5</v>
      </c>
      <c r="N12" s="18">
        <v>20</v>
      </c>
      <c r="O12" s="18">
        <v>22</v>
      </c>
      <c r="Q12" s="17"/>
      <c r="R12" s="18" t="s">
        <v>414</v>
      </c>
      <c r="S12" s="18"/>
      <c r="T12" s="18">
        <v>180</v>
      </c>
      <c r="U12" s="18"/>
      <c r="V12" s="18">
        <v>50</v>
      </c>
      <c r="W12" s="18"/>
    </row>
    <row r="13" ht="23.1" customHeight="1" spans="2:27">
      <c r="B13" s="20"/>
      <c r="C13" s="21"/>
      <c r="D13" s="30"/>
      <c r="E13" s="24"/>
      <c r="F13" s="31"/>
      <c r="G13" s="32"/>
      <c r="I13" s="18" t="s">
        <v>338</v>
      </c>
      <c r="J13" s="18">
        <v>8</v>
      </c>
      <c r="K13" s="18">
        <v>9</v>
      </c>
      <c r="L13" s="18">
        <v>11</v>
      </c>
      <c r="M13" s="18">
        <v>16</v>
      </c>
      <c r="N13" s="18">
        <v>22</v>
      </c>
      <c r="O13" s="18">
        <v>24</v>
      </c>
      <c r="Q13" s="17"/>
      <c r="R13" s="18" t="s">
        <v>416</v>
      </c>
      <c r="S13" s="18"/>
      <c r="T13" s="18">
        <v>180</v>
      </c>
      <c r="U13" s="18"/>
      <c r="V13" s="18">
        <v>70</v>
      </c>
      <c r="W13" s="18"/>
    </row>
    <row r="14" ht="23.1" customHeight="1" spans="2:27">
      <c r="B14" s="20"/>
      <c r="C14" s="21"/>
      <c r="D14" s="30"/>
      <c r="E14" s="15" t="s">
        <v>581</v>
      </c>
      <c r="F14" s="28" t="s">
        <v>582</v>
      </c>
      <c r="G14" s="32"/>
      <c r="Q14" s="17" t="s">
        <v>253</v>
      </c>
      <c r="R14" s="18" t="s">
        <v>583</v>
      </c>
      <c r="S14" s="18"/>
      <c r="T14" s="18">
        <v>0</v>
      </c>
      <c r="U14" s="18"/>
      <c r="V14" s="18">
        <v>200</v>
      </c>
      <c r="W14" s="18"/>
    </row>
    <row r="15" ht="23.1" customHeight="1" spans="2:27">
      <c r="B15" s="20"/>
      <c r="C15" s="21"/>
      <c r="D15" s="30"/>
      <c r="E15" s="24"/>
      <c r="F15" s="31"/>
      <c r="G15" s="32"/>
      <c r="I15" s="7" t="s">
        <v>192</v>
      </c>
      <c r="J15" s="16" t="s">
        <v>89</v>
      </c>
      <c r="K15" s="16"/>
      <c r="L15" s="16" t="s">
        <v>88</v>
      </c>
      <c r="M15" s="16"/>
      <c r="N15" s="16" t="s">
        <v>584</v>
      </c>
      <c r="O15" s="16"/>
      <c r="Q15" s="17"/>
      <c r="R15" s="18" t="s">
        <v>585</v>
      </c>
      <c r="S15" s="18"/>
      <c r="T15" s="18">
        <v>0</v>
      </c>
      <c r="U15" s="18"/>
      <c r="V15" s="18">
        <v>300</v>
      </c>
      <c r="W15" s="18"/>
    </row>
    <row r="16" ht="23.1" customHeight="1" spans="2:27">
      <c r="B16" s="20"/>
      <c r="C16" s="21"/>
      <c r="D16" s="30"/>
      <c r="E16" s="15" t="s">
        <v>586</v>
      </c>
      <c r="F16" s="28" t="s">
        <v>587</v>
      </c>
      <c r="G16" s="32"/>
      <c r="I16" s="7"/>
      <c r="J16" s="7" t="s">
        <v>588</v>
      </c>
      <c r="K16" s="7" t="s">
        <v>589</v>
      </c>
      <c r="L16" s="7" t="s">
        <v>588</v>
      </c>
      <c r="M16" s="7" t="s">
        <v>589</v>
      </c>
      <c r="N16" s="7" t="s">
        <v>588</v>
      </c>
      <c r="O16" s="7" t="s">
        <v>589</v>
      </c>
      <c r="Q16" s="17"/>
      <c r="R16" s="18" t="s">
        <v>590</v>
      </c>
      <c r="S16" s="18"/>
      <c r="T16" s="18">
        <v>0</v>
      </c>
      <c r="U16" s="18"/>
      <c r="V16" s="18">
        <v>400</v>
      </c>
      <c r="W16" s="18"/>
    </row>
    <row r="17" ht="23.1" customHeight="1" spans="2:15">
      <c r="B17" s="20"/>
      <c r="C17" s="21"/>
      <c r="D17" s="30"/>
      <c r="E17" s="24"/>
      <c r="F17" s="31"/>
      <c r="G17" s="32"/>
      <c r="I17" s="18" t="s">
        <v>199</v>
      </c>
      <c r="J17" s="18">
        <v>8</v>
      </c>
      <c r="K17" s="18">
        <v>20</v>
      </c>
      <c r="L17" s="18">
        <v>8</v>
      </c>
      <c r="M17" s="18">
        <v>18</v>
      </c>
      <c r="N17" s="18">
        <v>8</v>
      </c>
      <c r="O17" s="18">
        <v>20</v>
      </c>
    </row>
    <row r="18" ht="23.1" customHeight="1" spans="2:15">
      <c r="B18" s="20"/>
      <c r="C18" s="21"/>
      <c r="D18" s="30"/>
      <c r="E18" s="15" t="s">
        <v>591</v>
      </c>
      <c r="F18" s="28" t="s">
        <v>592</v>
      </c>
      <c r="G18" s="32"/>
      <c r="I18" s="18" t="s">
        <v>203</v>
      </c>
      <c r="J18" s="18">
        <v>9</v>
      </c>
      <c r="K18" s="18">
        <v>22</v>
      </c>
      <c r="L18" s="18">
        <v>9</v>
      </c>
      <c r="M18" s="18">
        <v>20</v>
      </c>
      <c r="N18" s="18">
        <v>9</v>
      </c>
      <c r="O18" s="18">
        <v>22</v>
      </c>
    </row>
    <row r="19" ht="23.1" customHeight="1" spans="2:15">
      <c r="B19" s="20"/>
      <c r="C19" s="33"/>
      <c r="D19" s="24"/>
      <c r="E19" s="24"/>
      <c r="F19" s="31"/>
      <c r="G19" s="34"/>
      <c r="I19" s="18" t="s">
        <v>335</v>
      </c>
      <c r="J19" s="18">
        <v>11</v>
      </c>
      <c r="K19" s="18">
        <v>24</v>
      </c>
      <c r="L19" s="18">
        <v>10</v>
      </c>
      <c r="M19" s="18">
        <v>22</v>
      </c>
      <c r="N19" s="18">
        <v>10</v>
      </c>
      <c r="O19" s="18">
        <v>24</v>
      </c>
    </row>
    <row r="20" ht="23.1" customHeight="1" spans="2:15">
      <c r="B20" s="20"/>
      <c r="C20" s="12" t="s">
        <v>593</v>
      </c>
      <c r="D20" s="13" t="s">
        <v>565</v>
      </c>
      <c r="E20" s="14"/>
      <c r="F20" s="15" t="s">
        <v>594</v>
      </c>
      <c r="G20" s="15" t="s">
        <v>595</v>
      </c>
      <c r="I20" s="18" t="s">
        <v>438</v>
      </c>
      <c r="J20" s="18">
        <v>13</v>
      </c>
      <c r="K20" s="18">
        <v>26</v>
      </c>
      <c r="L20" s="18">
        <v>12</v>
      </c>
      <c r="M20" s="18">
        <v>26</v>
      </c>
      <c r="N20" s="18">
        <v>12</v>
      </c>
      <c r="O20" s="18">
        <v>26</v>
      </c>
    </row>
    <row r="21" ht="23.1" customHeight="1" spans="2:15">
      <c r="B21" s="20"/>
      <c r="C21" s="21"/>
      <c r="D21" s="22"/>
      <c r="E21" s="23"/>
      <c r="F21" s="24"/>
      <c r="G21" s="24"/>
      <c r="I21" s="18" t="s">
        <v>439</v>
      </c>
      <c r="J21" s="18">
        <v>16</v>
      </c>
      <c r="K21" s="18">
        <v>28</v>
      </c>
      <c r="L21" s="18">
        <v>16</v>
      </c>
      <c r="M21" s="18">
        <v>28</v>
      </c>
      <c r="N21" s="18">
        <v>16</v>
      </c>
      <c r="O21" s="18">
        <v>28</v>
      </c>
    </row>
    <row r="22" ht="23.1" customHeight="1" spans="2:15">
      <c r="B22" s="20"/>
      <c r="C22" s="21"/>
      <c r="D22" s="13" t="s">
        <v>574</v>
      </c>
      <c r="E22" s="14"/>
      <c r="F22" s="15" t="s">
        <v>596</v>
      </c>
      <c r="G22" s="15" t="s">
        <v>597</v>
      </c>
      <c r="I22" s="18" t="s">
        <v>440</v>
      </c>
      <c r="J22" s="18">
        <v>18</v>
      </c>
      <c r="K22" s="18">
        <v>30</v>
      </c>
      <c r="L22" s="18">
        <v>18</v>
      </c>
      <c r="M22" s="18">
        <v>30</v>
      </c>
      <c r="N22" s="18">
        <v>18</v>
      </c>
      <c r="O22" s="18">
        <v>30</v>
      </c>
    </row>
    <row r="23" ht="23.1" customHeight="1" spans="2:15">
      <c r="B23" s="20"/>
      <c r="C23" s="33"/>
      <c r="D23" s="22"/>
      <c r="E23" s="23"/>
      <c r="F23" s="24"/>
      <c r="G23" s="35"/>
      <c r="I23" s="18" t="s">
        <v>338</v>
      </c>
      <c r="J23" s="18">
        <v>20</v>
      </c>
      <c r="K23" s="18">
        <v>32</v>
      </c>
      <c r="L23" s="18">
        <v>20</v>
      </c>
      <c r="M23" s="18">
        <v>32</v>
      </c>
      <c r="N23" s="18">
        <v>20</v>
      </c>
      <c r="O23" s="18">
        <v>32</v>
      </c>
    </row>
    <row r="24" ht="23.1" customHeight="1" spans="2:15">
      <c r="B24" s="20"/>
      <c r="C24" s="12" t="s">
        <v>598</v>
      </c>
      <c r="D24" s="13" t="s">
        <v>565</v>
      </c>
      <c r="E24" s="14"/>
      <c r="F24" s="15" t="s">
        <v>599</v>
      </c>
      <c r="G24" s="15" t="s">
        <v>600</v>
      </c>
    </row>
    <row r="25" ht="23.1" customHeight="1" spans="2:15">
      <c r="B25" s="20"/>
      <c r="C25" s="21"/>
      <c r="D25" s="22"/>
      <c r="E25" s="23"/>
      <c r="F25" s="35"/>
      <c r="G25" s="24"/>
    </row>
    <row r="26" ht="23.1" customHeight="1" spans="2:15">
      <c r="B26" s="20"/>
      <c r="C26" s="21"/>
      <c r="D26" s="13" t="s">
        <v>574</v>
      </c>
      <c r="E26" s="14"/>
      <c r="F26" s="15" t="s">
        <v>601</v>
      </c>
      <c r="G26" s="15" t="s">
        <v>600</v>
      </c>
    </row>
    <row r="27" ht="23.1" customHeight="1" spans="2:15">
      <c r="B27" s="36"/>
      <c r="C27" s="33"/>
      <c r="D27" s="22"/>
      <c r="E27" s="23"/>
      <c r="F27" s="35"/>
      <c r="G27" s="24"/>
    </row>
    <row r="28" ht="23.1" customHeight="1" spans="2:15">
      <c r="B28" s="11" t="s">
        <v>89</v>
      </c>
      <c r="C28" s="25" t="s">
        <v>602</v>
      </c>
      <c r="D28" s="13" t="s">
        <v>565</v>
      </c>
      <c r="E28" s="14"/>
      <c r="F28" s="15" t="s">
        <v>603</v>
      </c>
      <c r="G28" s="15" t="s">
        <v>604</v>
      </c>
    </row>
    <row r="29" ht="23.1" customHeight="1" spans="2:15">
      <c r="B29" s="20"/>
      <c r="C29" s="26"/>
      <c r="D29" s="22"/>
      <c r="E29" s="23"/>
      <c r="F29" s="35"/>
      <c r="G29" s="24"/>
    </row>
    <row r="30" ht="23.1" customHeight="1" spans="2:15">
      <c r="B30" s="20"/>
      <c r="C30" s="26"/>
      <c r="D30" s="13" t="s">
        <v>574</v>
      </c>
      <c r="E30" s="14"/>
      <c r="F30" s="15" t="s">
        <v>605</v>
      </c>
      <c r="G30" s="15" t="s">
        <v>606</v>
      </c>
    </row>
    <row r="31" ht="23.1" customHeight="1" spans="2:15">
      <c r="B31" s="36"/>
      <c r="C31" s="27"/>
      <c r="D31" s="22"/>
      <c r="E31" s="23"/>
      <c r="F31" s="24"/>
      <c r="G31" s="24"/>
    </row>
    <row r="32" ht="23.1" customHeight="1" spans="2:15">
      <c r="B32" s="11" t="s">
        <v>88</v>
      </c>
      <c r="C32" s="25" t="s">
        <v>602</v>
      </c>
      <c r="D32" s="13" t="s">
        <v>565</v>
      </c>
      <c r="E32" s="14"/>
      <c r="F32" s="15" t="s">
        <v>607</v>
      </c>
      <c r="G32" s="15" t="s">
        <v>604</v>
      </c>
    </row>
    <row r="33" ht="23.1" customHeight="1" spans="2:7">
      <c r="B33" s="20"/>
      <c r="C33" s="26"/>
      <c r="D33" s="22"/>
      <c r="E33" s="23"/>
      <c r="F33" s="24"/>
      <c r="G33" s="24"/>
    </row>
    <row r="34" ht="23.1" customHeight="1" spans="2:7">
      <c r="B34" s="20"/>
      <c r="C34" s="26"/>
      <c r="D34" s="13" t="s">
        <v>574</v>
      </c>
      <c r="E34" s="14"/>
      <c r="F34" s="15" t="s">
        <v>608</v>
      </c>
      <c r="G34" s="15" t="s">
        <v>609</v>
      </c>
    </row>
    <row r="35" ht="23.1" customHeight="1" spans="2:7">
      <c r="B35" s="36"/>
      <c r="C35" s="27"/>
      <c r="D35" s="22"/>
      <c r="E35" s="23"/>
      <c r="F35" s="24"/>
      <c r="G35" s="24"/>
    </row>
    <row r="36" ht="23.1" customHeight="1" spans="2:7">
      <c r="B36" s="11" t="s">
        <v>328</v>
      </c>
      <c r="C36" s="25" t="s">
        <v>610</v>
      </c>
      <c r="D36" s="13" t="s">
        <v>565</v>
      </c>
      <c r="E36" s="14"/>
      <c r="F36" s="15" t="s">
        <v>607</v>
      </c>
      <c r="G36" s="15" t="s">
        <v>604</v>
      </c>
    </row>
    <row r="37" ht="23.1" customHeight="1" spans="2:7">
      <c r="B37" s="20"/>
      <c r="C37" s="26"/>
      <c r="D37" s="22"/>
      <c r="E37" s="23"/>
      <c r="F37" s="24"/>
      <c r="G37" s="24"/>
    </row>
    <row r="38" ht="23.1" customHeight="1" spans="2:7">
      <c r="B38" s="20"/>
      <c r="C38" s="26"/>
      <c r="D38" s="13" t="s">
        <v>574</v>
      </c>
      <c r="E38" s="14"/>
      <c r="F38" s="15" t="s">
        <v>608</v>
      </c>
      <c r="G38" s="15" t="s">
        <v>609</v>
      </c>
    </row>
    <row r="39" ht="23.1" customHeight="1" spans="2:7">
      <c r="B39" s="36"/>
      <c r="C39" s="27"/>
      <c r="D39" s="22"/>
      <c r="E39" s="23"/>
      <c r="F39" s="24"/>
      <c r="G39" s="24"/>
    </row>
  </sheetData>
  <mergeCells count="112">
    <mergeCell ref="B1:C1"/>
    <mergeCell ref="B2:C2"/>
    <mergeCell ref="B3:C3"/>
    <mergeCell ref="B4:G4"/>
    <mergeCell ref="I4:O4"/>
    <mergeCell ref="Q4:W4"/>
    <mergeCell ref="Y4:AA4"/>
    <mergeCell ref="D5:E5"/>
    <mergeCell ref="R5:S5"/>
    <mergeCell ref="T5:U5"/>
    <mergeCell ref="V5:W5"/>
    <mergeCell ref="I6:O6"/>
    <mergeCell ref="R6:S6"/>
    <mergeCell ref="T6:U6"/>
    <mergeCell ref="V6:W6"/>
    <mergeCell ref="R7:S7"/>
    <mergeCell ref="T7:U7"/>
    <mergeCell ref="V7:W7"/>
    <mergeCell ref="R8:S8"/>
    <mergeCell ref="T8:U8"/>
    <mergeCell ref="V8:W8"/>
    <mergeCell ref="R9:S9"/>
    <mergeCell ref="T9:U9"/>
    <mergeCell ref="V9:W9"/>
    <mergeCell ref="R10:S10"/>
    <mergeCell ref="T10:U10"/>
    <mergeCell ref="V10:W10"/>
    <mergeCell ref="R11:S11"/>
    <mergeCell ref="T11:U11"/>
    <mergeCell ref="V11:W11"/>
    <mergeCell ref="R12:S12"/>
    <mergeCell ref="T12:U12"/>
    <mergeCell ref="V12:W12"/>
    <mergeCell ref="R13:S13"/>
    <mergeCell ref="T13:U13"/>
    <mergeCell ref="V13:W13"/>
    <mergeCell ref="R14:S14"/>
    <mergeCell ref="T14:U14"/>
    <mergeCell ref="V14:W14"/>
    <mergeCell ref="J15:K15"/>
    <mergeCell ref="L15:M15"/>
    <mergeCell ref="N15:O15"/>
    <mergeCell ref="R15:S15"/>
    <mergeCell ref="T15:U15"/>
    <mergeCell ref="V15:W15"/>
    <mergeCell ref="R16:S16"/>
    <mergeCell ref="T16:U16"/>
    <mergeCell ref="V16:W16"/>
    <mergeCell ref="B6:B27"/>
    <mergeCell ref="B28:B31"/>
    <mergeCell ref="B32:B35"/>
    <mergeCell ref="B36:B39"/>
    <mergeCell ref="C6:C19"/>
    <mergeCell ref="C20:C23"/>
    <mergeCell ref="C24:C27"/>
    <mergeCell ref="C28:C31"/>
    <mergeCell ref="C32:C35"/>
    <mergeCell ref="C36:C39"/>
    <mergeCell ref="D12:D19"/>
    <mergeCell ref="E12:E13"/>
    <mergeCell ref="E14:E15"/>
    <mergeCell ref="E16:E17"/>
    <mergeCell ref="E18:E19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G6:G7"/>
    <mergeCell ref="G8:G9"/>
    <mergeCell ref="G10:G11"/>
    <mergeCell ref="G12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I15:I16"/>
    <mergeCell ref="Q6:Q7"/>
    <mergeCell ref="Q8:Q10"/>
    <mergeCell ref="Q11:Q13"/>
    <mergeCell ref="Q14:Q16"/>
    <mergeCell ref="D24:E25"/>
    <mergeCell ref="D26:E27"/>
    <mergeCell ref="D28:E29"/>
    <mergeCell ref="D30:E31"/>
    <mergeCell ref="D32:E33"/>
    <mergeCell ref="D34:E35"/>
    <mergeCell ref="D36:E37"/>
    <mergeCell ref="D10:E11"/>
    <mergeCell ref="D38:E39"/>
    <mergeCell ref="D6:E7"/>
    <mergeCell ref="D8:E9"/>
    <mergeCell ref="D20:E21"/>
    <mergeCell ref="D22:E23"/>
  </mergeCells>
  <hyperlinks>
    <hyperlink ref="B2:C2" location="'①【国内】研究资源成本估算 (v1.0)'!A1" display="  点击返回【国内资源成本估算表】"/>
    <hyperlink ref="B1:C1" location="'【注】使用说明&amp;目录'!A1" display="点击返回【使用说明&amp;目录】"/>
    <hyperlink ref="B3:C3" location="'②【海外】研究资源成本估算 (v1.0)'!A1" display="  点击返回【海外资源成本估算表】"/>
  </hyperlink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 otherUserPermission="visible"/>
  <rangeList sheetStid="36" master="" otherUserPermission="visible"/>
  <rangeList sheetStid="32" master="" otherUserPermission="visible"/>
  <rangeList sheetStid="22" master="" otherUserPermission="visible"/>
  <rangeList sheetStid="28" master="" otherUserPermission="visible"/>
  <rangeList sheetStid="18" master="" otherUserPermission="visible">
    <arrUserId title="国内招募测试时长" rangeCreator="" othersAccessPermission="edit"/>
    <arrUserId title="国内招募难度" rangeCreator="" othersAccessPermission="edit"/>
    <arrUserId title="国内测试样本量" rangeCreator="" othersAccessPermission="edit"/>
    <arrUserId title="国内问卷样本量" rangeCreator="" othersAccessPermission="edit"/>
    <arrUserId title="国内问卷难度" rangeCreator="" othersAccessPermission="edit"/>
    <arrUserId title="国内兼职工作难度" rangeCreator="" othersAccessPermission="edit"/>
    <arrUserId title="国内兼职工作量" rangeCreator="" othersAccessPermission="edit"/>
    <arrUserId title="国内CAA素材量" rangeCreator="" othersAccessPermission="edit"/>
    <arrUserId title="国内CAA素材类型" rangeCreator="" othersAccessPermission="edit"/>
  </rangeList>
  <rangeList sheetStid="6" master="" otherUserPermission="visible"/>
  <rangeList sheetStid="34" master="" otherUserPermission="visible"/>
  <rangeList sheetStid="33" master="" otherUserPermission="visible"/>
  <rangeList sheetStid="13" master="" otherUserPermission="visible"/>
  <rangeList sheetStid="16" master="" otherUserPermission="visible"/>
  <rangeList sheetStid="15" master="" otherUserPermission="visible">
    <arrUserId title="海外测试样本量" rangeCreator="" othersAccessPermission="edit"/>
    <arrUserId title="海外测试时长" rangeCreator="" othersAccessPermission="edit"/>
    <arrUserId title="问卷样本量" rangeCreator="" othersAccessPermission="edit"/>
    <arrUserId title="问卷题目量" rangeCreator="" othersAccessPermission="edit"/>
  </rangeList>
  <rangeList sheetStid="24" master="" otherUserPermission="visible"/>
  <rangeList sheetStid="30" master="" otherUserPermission="visible"/>
  <rangeList sheetStid="17" master="" otherUserPermission="visible"/>
  <rangeList sheetStid="7" master="" otherUserPermission="visible"/>
  <rangeList sheetStid="29" master="" otherUserPermission="visible"/>
  <rangeList sheetStid="19" master="" otherUserPermission="visible"/>
  <rangeList sheetStid="21" master="" otherUserPermission="visible"/>
  <rangeList sheetStid="25" master="" otherUserPermission="visible"/>
  <rangeList sheetStid="27" master="" otherUserPermission="visible"/>
  <rangeList sheetStid="10" master="" otherUserPermission="visible"/>
  <rangeList sheetStid="12" master="" otherUserPermission="visible"/>
  <rangeList sheetStid="2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【国内】特殊&amp;小众用户招募-数据源</vt:lpstr>
      <vt:lpstr>24&amp;25年渠道人力对比</vt:lpstr>
      <vt:lpstr>【国内】问卷调研-数据源（P3单独执行） </vt:lpstr>
      <vt:lpstr>【注】使用说明&amp;目录</vt:lpstr>
      <vt:lpstr>成本估算</vt:lpstr>
      <vt:lpstr>①【国内】研究资源成本估算 (v1.0)</vt:lpstr>
      <vt:lpstr>【国内】用户招募成本估算（完整版）</vt:lpstr>
      <vt:lpstr>【国内】问卷调研-数据源（OP单独执行） </vt:lpstr>
      <vt:lpstr>【国内】问卷调研-数据源（混合执行）  (2)</vt:lpstr>
      <vt:lpstr>【国内】问卷投放成本估算（完整版）</vt:lpstr>
      <vt:lpstr>【全球】CAA测试-数据源</vt:lpstr>
      <vt:lpstr>②【海外】研究资源成本估算 (v1.0)</vt:lpstr>
      <vt:lpstr>【海外】用户招募-数据源</vt:lpstr>
      <vt:lpstr>【国内】常规用户招募-数据源 （正职）</vt:lpstr>
      <vt:lpstr>【国内】保密性导量测试-数据源</vt:lpstr>
      <vt:lpstr>【国内】常规用户招募-数据源(正职+OP混合执行）</vt:lpstr>
      <vt:lpstr>【国内】常规用户招募-数据源 (OP)</vt:lpstr>
      <vt:lpstr>【国内】兼职人力-数据源</vt:lpstr>
      <vt:lpstr>【海外】问卷调研-数据源</vt:lpstr>
      <vt:lpstr>【海外】问卷投放成本估算（完整版）</vt:lpstr>
      <vt:lpstr>③【国内】常规用户招募-难度等级评估</vt:lpstr>
      <vt:lpstr>④【国内】特殊&amp;小众用户招募-难度等级评估</vt:lpstr>
      <vt:lpstr>⑤【国内】问卷调研-难度等级评估</vt:lpstr>
      <vt:lpstr>⑥【概览】发包相关费用标准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xiexin</dc:creator>
  <cp:lastModifiedBy>ZJY</cp:lastModifiedBy>
  <dcterms:created xsi:type="dcterms:W3CDTF">2022-09-15T08:19:00Z</dcterms:created>
  <dcterms:modified xsi:type="dcterms:W3CDTF">2026-03-10T10:07:58Z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42390F696B044204A7D3792D6934AEAD_13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